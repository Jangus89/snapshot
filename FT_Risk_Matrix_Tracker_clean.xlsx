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Home/Downloads/"/>
    </mc:Choice>
  </mc:AlternateContent>
  <xr:revisionPtr revIDLastSave="0" documentId="13_ncr:1_{C1AD68BB-F85A-E945-BE39-1D22F7450BE8}" xr6:coauthVersionLast="47" xr6:coauthVersionMax="47" xr10:uidLastSave="{00000000-0000-0000-0000-000000000000}"/>
  <bookViews>
    <workbookView xWindow="0" yWindow="500" windowWidth="28800" windowHeight="15620" activeTab="8" xr2:uid="{00000000-000D-0000-FFFF-FFFF00000000}"/>
  </bookViews>
  <sheets>
    <sheet name="Dashboard" sheetId="1" r:id="rId1"/>
    <sheet name="Field Teams" sheetId="2" r:id="rId2"/>
    <sheet name="Settings" sheetId="3" r:id="rId3"/>
    <sheet name="Monthly Matrix" sheetId="4" r:id="rId4"/>
    <sheet name="Data - Skillko" sheetId="5" r:id="rId5"/>
    <sheet name="Data - HSQE Events" sheetId="6" r:id="rId6"/>
    <sheet name="Data - Post-Cut Quality" sheetId="7" r:id="rId7"/>
    <sheet name="Data - SSV" sheetId="8" r:id="rId8"/>
    <sheet name="Pole Results" sheetId="9" r:id="rId9"/>
    <sheet name="Historical Scores" sheetId="10" r:id="rId10"/>
    <sheet name="Action Log" sheetId="11" r:id="rId11"/>
    <sheet name="Audit Schedule" sheetId="12" r:id="rId12"/>
    <sheet name="FT Reps Meetings" sheetId="13" r:id="rId13"/>
    <sheet name="Monthly Import Guide" sheetId="14" r:id="rId14"/>
    <sheet name="Scoring Guide" sheetId="15" r:id="rId15"/>
    <sheet name="Debug Review" sheetId="16" r:id="rId16"/>
    <sheet name="PQ_Code"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8" i="10" l="1"/>
  <c r="M78" i="10"/>
  <c r="L78" i="10"/>
  <c r="K78" i="10"/>
  <c r="J78" i="10"/>
  <c r="I78" i="10"/>
  <c r="H78" i="10"/>
  <c r="G78" i="10"/>
  <c r="F78" i="10"/>
  <c r="E78" i="10"/>
  <c r="D78" i="10"/>
  <c r="C78" i="10"/>
  <c r="P77" i="10"/>
  <c r="O77" i="10"/>
  <c r="B77" i="10"/>
  <c r="A77" i="10"/>
  <c r="P76" i="10"/>
  <c r="O76" i="10"/>
  <c r="B76" i="10"/>
  <c r="A76" i="10"/>
  <c r="P75" i="10"/>
  <c r="O75" i="10"/>
  <c r="B75" i="10"/>
  <c r="A75" i="10"/>
  <c r="P74" i="10"/>
  <c r="O74" i="10"/>
  <c r="B74" i="10"/>
  <c r="A74" i="10"/>
  <c r="P73" i="10"/>
  <c r="O73" i="10"/>
  <c r="B73" i="10"/>
  <c r="A73" i="10"/>
  <c r="P72" i="10"/>
  <c r="O72" i="10"/>
  <c r="B72" i="10"/>
  <c r="A72" i="10"/>
  <c r="P71" i="10"/>
  <c r="O71" i="10"/>
  <c r="B71" i="10"/>
  <c r="A71" i="10"/>
  <c r="P70" i="10"/>
  <c r="O70" i="10"/>
  <c r="B70" i="10"/>
  <c r="A70" i="10"/>
  <c r="P69" i="10"/>
  <c r="O69" i="10"/>
  <c r="B69" i="10"/>
  <c r="A69" i="10"/>
  <c r="P68" i="10"/>
  <c r="O68" i="10"/>
  <c r="B68" i="10"/>
  <c r="A68" i="10"/>
  <c r="P67" i="10"/>
  <c r="O67" i="10"/>
  <c r="B67" i="10"/>
  <c r="A67" i="10"/>
  <c r="P66" i="10"/>
  <c r="O66" i="10"/>
  <c r="B66" i="10"/>
  <c r="A66" i="10"/>
  <c r="P65" i="10"/>
  <c r="O65" i="10"/>
  <c r="B65" i="10"/>
  <c r="A65" i="10"/>
  <c r="P64" i="10"/>
  <c r="O64" i="10"/>
  <c r="B64" i="10"/>
  <c r="A64" i="10"/>
  <c r="P63" i="10"/>
  <c r="O63" i="10"/>
  <c r="B63" i="10"/>
  <c r="A63" i="10"/>
  <c r="P62" i="10"/>
  <c r="O62" i="10"/>
  <c r="B62" i="10"/>
  <c r="A62" i="10"/>
  <c r="P61" i="10"/>
  <c r="O61" i="10"/>
  <c r="B61" i="10"/>
  <c r="A61" i="10"/>
  <c r="P60" i="10"/>
  <c r="O60" i="10"/>
  <c r="B60" i="10"/>
  <c r="A60" i="10"/>
  <c r="P59" i="10"/>
  <c r="O59" i="10"/>
  <c r="B59" i="10"/>
  <c r="A59" i="10"/>
  <c r="P58" i="10"/>
  <c r="O58" i="10"/>
  <c r="B58" i="10"/>
  <c r="A58" i="10"/>
  <c r="P57" i="10"/>
  <c r="O57" i="10"/>
  <c r="B57" i="10"/>
  <c r="A57" i="10"/>
  <c r="P56" i="10"/>
  <c r="O56" i="10"/>
  <c r="B56" i="10"/>
  <c r="A56" i="10"/>
  <c r="P55" i="10"/>
  <c r="O55" i="10"/>
  <c r="B55" i="10"/>
  <c r="A55" i="10"/>
  <c r="P54" i="10"/>
  <c r="O54" i="10"/>
  <c r="B54" i="10"/>
  <c r="A54" i="10"/>
  <c r="P53" i="10"/>
  <c r="O53" i="10"/>
  <c r="B53" i="10"/>
  <c r="A53" i="10"/>
  <c r="P52" i="10"/>
  <c r="O52" i="10"/>
  <c r="B52" i="10"/>
  <c r="A52" i="10"/>
  <c r="P51" i="10"/>
  <c r="O51" i="10"/>
  <c r="B51" i="10"/>
  <c r="A51" i="10"/>
  <c r="P50" i="10"/>
  <c r="O50" i="10"/>
  <c r="B50" i="10"/>
  <c r="A50" i="10"/>
  <c r="P49" i="10"/>
  <c r="O49" i="10"/>
  <c r="B49" i="10"/>
  <c r="A49" i="10"/>
  <c r="P48" i="10"/>
  <c r="O48" i="10"/>
  <c r="B48" i="10"/>
  <c r="A48" i="10"/>
  <c r="P47" i="10"/>
  <c r="O47" i="10"/>
  <c r="B47" i="10"/>
  <c r="A47" i="10"/>
  <c r="P46" i="10"/>
  <c r="O46" i="10"/>
  <c r="B46" i="10"/>
  <c r="A46" i="10"/>
  <c r="P45" i="10"/>
  <c r="O45" i="10"/>
  <c r="B45" i="10"/>
  <c r="A45" i="10"/>
  <c r="P44" i="10"/>
  <c r="O44" i="10"/>
  <c r="B44" i="10"/>
  <c r="A44" i="10"/>
  <c r="P43" i="10"/>
  <c r="O43" i="10"/>
  <c r="B43" i="10"/>
  <c r="A43" i="10"/>
  <c r="P42" i="10"/>
  <c r="O42" i="10"/>
  <c r="B42" i="10"/>
  <c r="A42" i="10"/>
  <c r="P41" i="10"/>
  <c r="O41" i="10"/>
  <c r="B41" i="10"/>
  <c r="A41" i="10"/>
  <c r="P40" i="10"/>
  <c r="O40" i="10"/>
  <c r="B40" i="10"/>
  <c r="A40" i="10"/>
  <c r="P39" i="10"/>
  <c r="O39" i="10"/>
  <c r="B39" i="10"/>
  <c r="A39" i="10"/>
  <c r="P38" i="10"/>
  <c r="O38" i="10"/>
  <c r="B38" i="10"/>
  <c r="A38" i="10"/>
  <c r="P37" i="10"/>
  <c r="O37" i="10"/>
  <c r="B37" i="10"/>
  <c r="A37" i="10"/>
  <c r="P36" i="10"/>
  <c r="O36" i="10"/>
  <c r="B36" i="10"/>
  <c r="A36" i="10"/>
  <c r="P35" i="10"/>
  <c r="O35" i="10"/>
  <c r="B35" i="10"/>
  <c r="A35" i="10"/>
  <c r="P34" i="10"/>
  <c r="O34" i="10"/>
  <c r="B34" i="10"/>
  <c r="A34" i="10"/>
  <c r="P33" i="10"/>
  <c r="O33" i="10"/>
  <c r="B33" i="10"/>
  <c r="A33" i="10"/>
  <c r="P32" i="10"/>
  <c r="O32" i="10"/>
  <c r="B32" i="10"/>
  <c r="A32" i="10"/>
  <c r="P31" i="10"/>
  <c r="O31" i="10"/>
  <c r="B31" i="10"/>
  <c r="A31" i="10"/>
  <c r="P30" i="10"/>
  <c r="O30" i="10"/>
  <c r="B30" i="10"/>
  <c r="A30" i="10"/>
  <c r="P29" i="10"/>
  <c r="O29" i="10"/>
  <c r="B29" i="10"/>
  <c r="A29" i="10"/>
  <c r="P28" i="10"/>
  <c r="O28" i="10"/>
  <c r="B28" i="10"/>
  <c r="A28" i="10"/>
  <c r="P27" i="10"/>
  <c r="O27" i="10"/>
  <c r="B27" i="10"/>
  <c r="A27" i="10"/>
  <c r="P26" i="10"/>
  <c r="O26" i="10"/>
  <c r="B26" i="10"/>
  <c r="A26" i="10"/>
  <c r="P25" i="10"/>
  <c r="O25" i="10"/>
  <c r="B25" i="10"/>
  <c r="A25" i="10"/>
  <c r="P24" i="10"/>
  <c r="O24" i="10"/>
  <c r="B24" i="10"/>
  <c r="A24" i="10"/>
  <c r="P23" i="10"/>
  <c r="O23" i="10"/>
  <c r="B23" i="10"/>
  <c r="A23" i="10"/>
  <c r="P22" i="10"/>
  <c r="O22" i="10"/>
  <c r="B22" i="10"/>
  <c r="A22" i="10"/>
  <c r="P21" i="10"/>
  <c r="O21" i="10"/>
  <c r="B21" i="10"/>
  <c r="A21" i="10"/>
  <c r="P20" i="10"/>
  <c r="O20" i="10"/>
  <c r="B20" i="10"/>
  <c r="A20" i="10"/>
  <c r="P19" i="10"/>
  <c r="O19" i="10"/>
  <c r="B19" i="10"/>
  <c r="A19" i="10"/>
  <c r="P18" i="10"/>
  <c r="O18" i="10"/>
  <c r="B18" i="10"/>
  <c r="A18" i="10"/>
  <c r="P17" i="10"/>
  <c r="O17" i="10"/>
  <c r="B17" i="10"/>
  <c r="A17" i="10"/>
  <c r="P16" i="10"/>
  <c r="O16" i="10"/>
  <c r="B16" i="10"/>
  <c r="A16" i="10"/>
  <c r="P15" i="10"/>
  <c r="O15" i="10"/>
  <c r="B15" i="10"/>
  <c r="A15" i="10"/>
  <c r="P14" i="10"/>
  <c r="O14" i="10"/>
  <c r="B14" i="10"/>
  <c r="A14" i="10"/>
  <c r="P13" i="10"/>
  <c r="O13" i="10"/>
  <c r="B13" i="10"/>
  <c r="A13" i="10"/>
  <c r="P12" i="10"/>
  <c r="O12" i="10"/>
  <c r="B12" i="10"/>
  <c r="A12" i="10"/>
  <c r="P11" i="10"/>
  <c r="O11" i="10"/>
  <c r="B11" i="10"/>
  <c r="A11" i="10"/>
  <c r="P10" i="10"/>
  <c r="O10" i="10"/>
  <c r="B10" i="10"/>
  <c r="A10" i="10"/>
  <c r="P9" i="10"/>
  <c r="O9" i="10"/>
  <c r="B9" i="10"/>
  <c r="A9" i="10"/>
  <c r="P8" i="10"/>
  <c r="O8" i="10"/>
  <c r="B8" i="10"/>
  <c r="A8" i="10"/>
  <c r="P7" i="10"/>
  <c r="O7" i="10"/>
  <c r="B7" i="10"/>
  <c r="A7" i="10"/>
  <c r="P6" i="10"/>
  <c r="O6" i="10"/>
  <c r="B6" i="10"/>
  <c r="A6" i="10"/>
  <c r="P5" i="10"/>
  <c r="O5" i="10"/>
  <c r="B5" i="10"/>
  <c r="A5" i="10"/>
  <c r="AH127" i="8"/>
  <c r="AG127" i="8"/>
  <c r="AF127" i="8"/>
  <c r="AE127" i="8"/>
  <c r="AG126" i="8"/>
  <c r="AH126" i="8" s="1"/>
  <c r="AF126" i="8"/>
  <c r="AE126" i="8"/>
  <c r="AH125" i="8"/>
  <c r="AG125" i="8"/>
  <c r="AF125" i="8"/>
  <c r="AE125" i="8"/>
  <c r="AH124" i="8"/>
  <c r="AG124" i="8"/>
  <c r="AF124" i="8"/>
  <c r="AE124" i="8"/>
  <c r="AH123" i="8"/>
  <c r="AG123" i="8"/>
  <c r="AF123" i="8"/>
  <c r="AE123" i="8"/>
  <c r="AH122" i="8"/>
  <c r="AG122" i="8"/>
  <c r="AF122" i="8"/>
  <c r="AE122" i="8"/>
  <c r="AH121" i="8"/>
  <c r="AG121" i="8"/>
  <c r="AF121" i="8"/>
  <c r="AE121" i="8"/>
  <c r="AH120" i="8"/>
  <c r="AG120" i="8"/>
  <c r="AF120" i="8"/>
  <c r="AE120" i="8"/>
  <c r="AH119" i="8"/>
  <c r="AG119" i="8"/>
  <c r="AF119" i="8"/>
  <c r="AE119" i="8"/>
  <c r="AH118" i="8"/>
  <c r="AG118" i="8"/>
  <c r="AF118" i="8"/>
  <c r="AE118" i="8"/>
  <c r="AH117" i="8"/>
  <c r="AG117" i="8"/>
  <c r="AF117" i="8"/>
  <c r="AE117" i="8"/>
  <c r="AH116" i="8"/>
  <c r="AG116" i="8"/>
  <c r="AF116" i="8"/>
  <c r="AE116" i="8"/>
  <c r="AH115" i="8"/>
  <c r="AG115" i="8"/>
  <c r="AF115" i="8"/>
  <c r="AE115" i="8"/>
  <c r="AG114" i="8"/>
  <c r="AH114" i="8" s="1"/>
  <c r="AF114" i="8"/>
  <c r="AE114" i="8"/>
  <c r="AG113" i="8"/>
  <c r="AH113" i="8" s="1"/>
  <c r="AF113" i="8"/>
  <c r="AE113" i="8"/>
  <c r="AG112" i="8"/>
  <c r="AH112" i="8" s="1"/>
  <c r="AF112" i="8"/>
  <c r="AE112" i="8"/>
  <c r="AG111" i="8"/>
  <c r="AH111" i="8" s="1"/>
  <c r="AF111" i="8"/>
  <c r="AE111" i="8"/>
  <c r="AG110" i="8"/>
  <c r="AH110" i="8" s="1"/>
  <c r="AF110" i="8"/>
  <c r="AE110" i="8"/>
  <c r="AG109" i="8"/>
  <c r="AH109" i="8" s="1"/>
  <c r="AF109" i="8"/>
  <c r="AE109" i="8"/>
  <c r="AG108" i="8"/>
  <c r="AH108" i="8" s="1"/>
  <c r="AF108" i="8"/>
  <c r="AE108" i="8"/>
  <c r="AG107" i="8"/>
  <c r="AH107" i="8" s="1"/>
  <c r="AF107" i="8"/>
  <c r="AE107" i="8"/>
  <c r="AG106" i="8"/>
  <c r="AH106" i="8" s="1"/>
  <c r="AF106" i="8"/>
  <c r="AE106" i="8"/>
  <c r="AH105" i="8"/>
  <c r="AG105" i="8"/>
  <c r="AF105" i="8"/>
  <c r="AE105" i="8"/>
  <c r="AH104" i="8"/>
  <c r="AG104" i="8"/>
  <c r="AF104" i="8"/>
  <c r="AE104" i="8"/>
  <c r="AH103" i="8"/>
  <c r="AG103" i="8"/>
  <c r="AF103" i="8"/>
  <c r="AE103" i="8"/>
  <c r="AH102" i="8"/>
  <c r="AG102" i="8"/>
  <c r="AF102" i="8"/>
  <c r="AE102" i="8"/>
  <c r="AG101" i="8"/>
  <c r="AH101" i="8" s="1"/>
  <c r="AF101" i="8"/>
  <c r="AE101" i="8"/>
  <c r="AG100" i="8"/>
  <c r="AH100" i="8" s="1"/>
  <c r="AF100" i="8"/>
  <c r="AE100" i="8"/>
  <c r="AG99" i="8"/>
  <c r="AH99" i="8" s="1"/>
  <c r="AF99" i="8"/>
  <c r="AE99" i="8"/>
  <c r="AG98" i="8"/>
  <c r="AH98" i="8" s="1"/>
  <c r="AF98" i="8"/>
  <c r="AE98" i="8"/>
  <c r="AG97" i="8"/>
  <c r="AH97" i="8" s="1"/>
  <c r="AF97" i="8"/>
  <c r="AE97" i="8"/>
  <c r="AG96" i="8"/>
  <c r="AH96" i="8" s="1"/>
  <c r="AF96" i="8"/>
  <c r="AE96" i="8"/>
  <c r="AH95" i="8"/>
  <c r="AG95" i="8"/>
  <c r="AF95" i="8"/>
  <c r="AE95" i="8"/>
  <c r="AG94" i="8"/>
  <c r="AH94" i="8" s="1"/>
  <c r="AF94" i="8"/>
  <c r="AE94" i="8"/>
  <c r="AH93" i="8"/>
  <c r="AG93" i="8"/>
  <c r="AF93" i="8"/>
  <c r="AE93" i="8"/>
  <c r="AH92" i="8"/>
  <c r="AG92" i="8"/>
  <c r="AF92" i="8"/>
  <c r="AE92" i="8"/>
  <c r="AH91" i="8"/>
  <c r="AG91" i="8"/>
  <c r="AF91" i="8"/>
  <c r="AE91" i="8"/>
  <c r="AH90" i="8"/>
  <c r="AG90" i="8"/>
  <c r="AF90" i="8"/>
  <c r="AE90" i="8"/>
  <c r="AH89" i="8"/>
  <c r="AG89" i="8"/>
  <c r="AF89" i="8"/>
  <c r="AE89" i="8"/>
  <c r="AH88" i="8"/>
  <c r="AG88" i="8"/>
  <c r="AF88" i="8"/>
  <c r="AE88" i="8"/>
  <c r="AG87" i="8"/>
  <c r="AH87" i="8" s="1"/>
  <c r="AF87" i="8"/>
  <c r="AE87" i="8"/>
  <c r="AG86" i="8"/>
  <c r="AH86" i="8" s="1"/>
  <c r="AF86" i="8"/>
  <c r="AE86" i="8"/>
  <c r="AH85" i="8"/>
  <c r="AG85" i="8"/>
  <c r="AF85" i="8"/>
  <c r="AE85" i="8"/>
  <c r="AH84" i="8"/>
  <c r="AG84" i="8"/>
  <c r="AF84" i="8"/>
  <c r="AE84" i="8"/>
  <c r="AH83" i="8"/>
  <c r="AG83" i="8"/>
  <c r="AF83" i="8"/>
  <c r="AE83" i="8"/>
  <c r="AG82" i="8"/>
  <c r="AH82" i="8" s="1"/>
  <c r="AF82" i="8"/>
  <c r="AE82" i="8"/>
  <c r="AH81" i="8"/>
  <c r="AG81" i="8"/>
  <c r="AF81" i="8"/>
  <c r="AE81" i="8"/>
  <c r="AH80" i="8"/>
  <c r="AG80" i="8"/>
  <c r="AF80" i="8"/>
  <c r="AE80" i="8"/>
  <c r="AH79" i="8"/>
  <c r="AG79" i="8"/>
  <c r="AF79" i="8"/>
  <c r="AE79" i="8"/>
  <c r="AH78" i="8"/>
  <c r="AG78" i="8"/>
  <c r="AF78" i="8"/>
  <c r="AE78" i="8"/>
  <c r="AH77" i="8"/>
  <c r="AG77" i="8"/>
  <c r="AF77" i="8"/>
  <c r="AE77" i="8"/>
  <c r="AH76" i="8"/>
  <c r="AG76" i="8"/>
  <c r="AF76" i="8"/>
  <c r="AE76" i="8"/>
  <c r="AH75" i="8"/>
  <c r="AG75" i="8"/>
  <c r="AF75" i="8"/>
  <c r="AE75" i="8"/>
  <c r="AH74" i="8"/>
  <c r="AG74" i="8"/>
  <c r="AF74" i="8"/>
  <c r="AE74" i="8"/>
  <c r="AG73" i="8"/>
  <c r="AH73" i="8" s="1"/>
  <c r="AF73" i="8"/>
  <c r="AE73" i="8"/>
  <c r="AH72" i="8"/>
  <c r="AG72" i="8"/>
  <c r="AF72" i="8"/>
  <c r="AE72" i="8"/>
  <c r="AH71" i="8"/>
  <c r="AG71" i="8"/>
  <c r="AF71" i="8"/>
  <c r="AE71" i="8"/>
  <c r="AG70" i="8"/>
  <c r="AH70" i="8" s="1"/>
  <c r="AF70" i="8"/>
  <c r="AE70" i="8"/>
  <c r="AH69" i="8"/>
  <c r="AG69" i="8"/>
  <c r="AF69" i="8"/>
  <c r="AE69" i="8"/>
  <c r="AH68" i="8"/>
  <c r="AG68" i="8"/>
  <c r="AF68" i="8"/>
  <c r="AE68" i="8"/>
  <c r="AH67" i="8"/>
  <c r="AG67" i="8"/>
  <c r="AF67" i="8"/>
  <c r="AE67" i="8"/>
  <c r="AG66" i="8"/>
  <c r="AH66" i="8" s="1"/>
  <c r="AF66" i="8"/>
  <c r="AE66" i="8"/>
  <c r="AH65" i="8"/>
  <c r="AG65" i="8"/>
  <c r="AF65" i="8"/>
  <c r="AE65" i="8"/>
  <c r="AH64" i="8"/>
  <c r="AG64" i="8"/>
  <c r="AF64" i="8"/>
  <c r="AE64" i="8"/>
  <c r="AH63" i="8"/>
  <c r="AG63" i="8"/>
  <c r="AF63" i="8"/>
  <c r="AE63" i="8"/>
  <c r="AH62" i="8"/>
  <c r="AG62" i="8"/>
  <c r="AF62" i="8"/>
  <c r="AE62" i="8"/>
  <c r="AH61" i="8"/>
  <c r="AG61" i="8"/>
  <c r="AF61" i="8"/>
  <c r="AE61" i="8"/>
  <c r="AG60" i="8"/>
  <c r="AH60" i="8" s="1"/>
  <c r="AF60" i="8"/>
  <c r="AE60" i="8"/>
  <c r="AH59" i="8"/>
  <c r="AG59" i="8"/>
  <c r="AF59" i="8"/>
  <c r="AE59" i="8"/>
  <c r="AH58" i="8"/>
  <c r="AG58" i="8"/>
  <c r="AF58" i="8"/>
  <c r="AE58" i="8"/>
  <c r="AH57" i="8"/>
  <c r="AG57" i="8"/>
  <c r="AF57" i="8"/>
  <c r="AE57" i="8"/>
  <c r="AH56" i="8"/>
  <c r="AG56" i="8"/>
  <c r="AF56" i="8"/>
  <c r="AE56" i="8"/>
  <c r="AH55" i="8"/>
  <c r="AG55" i="8"/>
  <c r="AF55" i="8"/>
  <c r="AE55" i="8"/>
  <c r="AH54" i="8"/>
  <c r="AG54" i="8"/>
  <c r="AF54" i="8"/>
  <c r="AE54" i="8"/>
  <c r="AH53" i="8"/>
  <c r="AG53" i="8"/>
  <c r="AF53" i="8"/>
  <c r="AE53" i="8"/>
  <c r="AH52" i="8"/>
  <c r="AG52" i="8"/>
  <c r="AF52" i="8"/>
  <c r="AE52" i="8"/>
  <c r="AH51" i="8"/>
  <c r="AG51" i="8"/>
  <c r="AF51" i="8"/>
  <c r="AE51" i="8"/>
  <c r="AH50" i="8"/>
  <c r="AG50" i="8"/>
  <c r="AF50" i="8"/>
  <c r="AE50" i="8"/>
  <c r="AH49" i="8"/>
  <c r="AG49" i="8"/>
  <c r="AF49" i="8"/>
  <c r="AE49" i="8"/>
  <c r="AH48" i="8"/>
  <c r="AG48" i="8"/>
  <c r="AF48" i="8"/>
  <c r="AE48" i="8"/>
  <c r="AH47" i="8"/>
  <c r="AG47" i="8"/>
  <c r="AF47" i="8"/>
  <c r="AE47" i="8"/>
  <c r="AH46" i="8"/>
  <c r="AG46" i="8"/>
  <c r="AF46" i="8"/>
  <c r="AE46" i="8"/>
  <c r="AH45" i="8"/>
  <c r="AG45" i="8"/>
  <c r="AF45" i="8"/>
  <c r="AE45" i="8"/>
  <c r="AH44" i="8"/>
  <c r="AG44" i="8"/>
  <c r="AF44" i="8"/>
  <c r="AE44" i="8"/>
  <c r="AH43" i="8"/>
  <c r="AG43" i="8"/>
  <c r="AF43" i="8"/>
  <c r="AE43" i="8"/>
  <c r="AH42" i="8"/>
  <c r="AG42" i="8"/>
  <c r="AF42" i="8"/>
  <c r="AE42" i="8"/>
  <c r="AH41" i="8"/>
  <c r="AG41" i="8"/>
  <c r="AF41" i="8"/>
  <c r="AE41" i="8"/>
  <c r="AH40" i="8"/>
  <c r="AG40" i="8"/>
  <c r="AF40" i="8"/>
  <c r="AE40" i="8"/>
  <c r="AH39" i="8"/>
  <c r="AG39" i="8"/>
  <c r="AF39" i="8"/>
  <c r="AE39" i="8"/>
  <c r="AH38" i="8"/>
  <c r="AG38" i="8"/>
  <c r="AF38" i="8"/>
  <c r="AE38" i="8"/>
  <c r="AH37" i="8"/>
  <c r="AG37" i="8"/>
  <c r="AF37" i="8"/>
  <c r="AE37" i="8"/>
  <c r="AH36" i="8"/>
  <c r="AG36" i="8"/>
  <c r="AF36" i="8"/>
  <c r="AE36" i="8"/>
  <c r="AH35" i="8"/>
  <c r="AG35" i="8"/>
  <c r="AF35" i="8"/>
  <c r="AE35" i="8"/>
  <c r="AH34" i="8"/>
  <c r="AG34" i="8"/>
  <c r="AF34" i="8"/>
  <c r="AE34" i="8"/>
  <c r="AH33" i="8"/>
  <c r="AG33" i="8"/>
  <c r="AF33" i="8"/>
  <c r="AE33" i="8"/>
  <c r="AH32" i="8"/>
  <c r="AG32" i="8"/>
  <c r="AF32" i="8"/>
  <c r="AE32" i="8"/>
  <c r="AH31" i="8"/>
  <c r="AG31" i="8"/>
  <c r="AF31" i="8"/>
  <c r="AE31" i="8"/>
  <c r="AH30" i="8"/>
  <c r="AG30" i="8"/>
  <c r="AF30" i="8"/>
  <c r="AE30" i="8"/>
  <c r="AH29" i="8"/>
  <c r="AG29" i="8"/>
  <c r="AF29" i="8"/>
  <c r="AE29" i="8"/>
  <c r="AH28" i="8"/>
  <c r="AG28" i="8"/>
  <c r="AF28" i="8"/>
  <c r="AE28" i="8"/>
  <c r="AH27" i="8"/>
  <c r="AG27" i="8"/>
  <c r="AF27" i="8"/>
  <c r="AE27" i="8"/>
  <c r="AH26" i="8"/>
  <c r="AG26" i="8"/>
  <c r="AF26" i="8"/>
  <c r="AE26" i="8"/>
  <c r="AH25" i="8"/>
  <c r="AG25" i="8"/>
  <c r="AF25" i="8"/>
  <c r="AE25" i="8"/>
  <c r="AH24" i="8"/>
  <c r="AG24" i="8"/>
  <c r="AF24" i="8"/>
  <c r="AE24" i="8"/>
  <c r="AH23" i="8"/>
  <c r="AG23" i="8"/>
  <c r="AF23" i="8"/>
  <c r="AE23" i="8"/>
  <c r="AH22" i="8"/>
  <c r="AG22" i="8"/>
  <c r="AF22" i="8"/>
  <c r="AE22" i="8"/>
  <c r="AH21" i="8"/>
  <c r="AG21" i="8"/>
  <c r="AF21" i="8"/>
  <c r="AE21" i="8"/>
  <c r="AH20" i="8"/>
  <c r="AG20" i="8"/>
  <c r="AF20" i="8"/>
  <c r="AE20" i="8"/>
  <c r="AH19" i="8"/>
  <c r="AG19" i="8"/>
  <c r="AF19" i="8"/>
  <c r="AE19" i="8"/>
  <c r="AH18" i="8"/>
  <c r="AG18" i="8"/>
  <c r="AF18" i="8"/>
  <c r="AE18" i="8"/>
  <c r="AH17" i="8"/>
  <c r="AG17" i="8"/>
  <c r="AF17" i="8"/>
  <c r="AE17" i="8"/>
  <c r="AH16" i="8"/>
  <c r="AG16" i="8"/>
  <c r="AF16" i="8"/>
  <c r="AE16" i="8"/>
  <c r="AH15" i="8"/>
  <c r="AG15" i="8"/>
  <c r="AF15" i="8"/>
  <c r="AE15" i="8"/>
  <c r="AH14" i="8"/>
  <c r="AG14" i="8"/>
  <c r="AF14" i="8"/>
  <c r="AE14" i="8"/>
  <c r="AH13" i="8"/>
  <c r="AG13" i="8"/>
  <c r="AF13" i="8"/>
  <c r="AE13" i="8"/>
  <c r="AH12" i="8"/>
  <c r="AG12" i="8"/>
  <c r="AF12" i="8"/>
  <c r="AE12" i="8"/>
  <c r="AH11" i="8"/>
  <c r="AG11" i="8"/>
  <c r="AF11" i="8"/>
  <c r="AE11" i="8"/>
  <c r="AH10" i="8"/>
  <c r="AG10" i="8"/>
  <c r="AF10" i="8"/>
  <c r="AE10" i="8"/>
  <c r="AH9" i="8"/>
  <c r="AG9" i="8"/>
  <c r="AF9" i="8"/>
  <c r="AE9" i="8"/>
  <c r="AH8" i="8"/>
  <c r="AG8" i="8"/>
  <c r="AF8" i="8"/>
  <c r="AE8" i="8"/>
  <c r="AH7" i="8"/>
  <c r="AG7" i="8"/>
  <c r="AF7" i="8"/>
  <c r="AE7" i="8"/>
  <c r="AH6" i="8"/>
  <c r="AG6" i="8"/>
  <c r="AF6" i="8"/>
  <c r="AE6" i="8"/>
  <c r="AB1999" i="7"/>
  <c r="AA1999" i="7"/>
  <c r="Z1999" i="7"/>
  <c r="Y1999" i="7"/>
  <c r="Z1998" i="7" s="1"/>
  <c r="AB1998" i="7"/>
  <c r="AA1998" i="7"/>
  <c r="Y1998" i="7"/>
  <c r="Z1997" i="7" s="1"/>
  <c r="AB1997" i="7"/>
  <c r="AA1997" i="7"/>
  <c r="Y1997" i="7"/>
  <c r="Z1996" i="7" s="1"/>
  <c r="AB1996" i="7"/>
  <c r="AA1996" i="7"/>
  <c r="Y1996" i="7"/>
  <c r="Z1995" i="7" s="1"/>
  <c r="AB1995" i="7"/>
  <c r="AA1995" i="7"/>
  <c r="Y1995" i="7"/>
  <c r="Z1994" i="7" s="1"/>
  <c r="AB1994" i="7"/>
  <c r="AA1994" i="7"/>
  <c r="Y1994" i="7"/>
  <c r="Z1993" i="7" s="1"/>
  <c r="AB1993" i="7"/>
  <c r="AA1993" i="7"/>
  <c r="Y1993" i="7"/>
  <c r="Z1992" i="7" s="1"/>
  <c r="AB1992" i="7"/>
  <c r="AA1992" i="7"/>
  <c r="Y1992" i="7"/>
  <c r="AB1991" i="7"/>
  <c r="AA1991" i="7"/>
  <c r="Z1991" i="7"/>
  <c r="Y1991" i="7"/>
  <c r="Z1990" i="7" s="1"/>
  <c r="AB1990" i="7"/>
  <c r="AA1990" i="7"/>
  <c r="Y1990" i="7"/>
  <c r="Z1989" i="7" s="1"/>
  <c r="AB1989" i="7"/>
  <c r="AA1989" i="7"/>
  <c r="Y1989" i="7"/>
  <c r="Z1988" i="7" s="1"/>
  <c r="AB1988" i="7"/>
  <c r="AA1988" i="7"/>
  <c r="Y1988" i="7"/>
  <c r="Z1987" i="7" s="1"/>
  <c r="AB1987" i="7"/>
  <c r="AA1987" i="7"/>
  <c r="Y1987" i="7"/>
  <c r="Z1986" i="7" s="1"/>
  <c r="AB1986" i="7"/>
  <c r="AA1986" i="7"/>
  <c r="Y1986" i="7"/>
  <c r="Z1985" i="7" s="1"/>
  <c r="AB1985" i="7"/>
  <c r="AA1985" i="7"/>
  <c r="Y1985" i="7"/>
  <c r="Z1984" i="7" s="1"/>
  <c r="AB1984" i="7"/>
  <c r="AA1984" i="7"/>
  <c r="Y1984" i="7"/>
  <c r="Z1983" i="7" s="1"/>
  <c r="AB1983" i="7"/>
  <c r="AA1983" i="7"/>
  <c r="Y1983" i="7"/>
  <c r="Z1982" i="7" s="1"/>
  <c r="AB1982" i="7"/>
  <c r="AA1982" i="7"/>
  <c r="Y1982" i="7"/>
  <c r="Z1981" i="7" s="1"/>
  <c r="AB1981" i="7"/>
  <c r="AA1981" i="7"/>
  <c r="Y1981" i="7"/>
  <c r="Z1980" i="7" s="1"/>
  <c r="AB1980" i="7"/>
  <c r="AA1980" i="7"/>
  <c r="Y1980" i="7"/>
  <c r="Z1979" i="7" s="1"/>
  <c r="AB1979" i="7"/>
  <c r="AA1979" i="7"/>
  <c r="Y1979" i="7"/>
  <c r="Z1978" i="7" s="1"/>
  <c r="AB1978" i="7"/>
  <c r="AA1978" i="7"/>
  <c r="Y1978" i="7"/>
  <c r="Z1977" i="7" s="1"/>
  <c r="AB1977" i="7"/>
  <c r="AA1977" i="7"/>
  <c r="Y1977" i="7"/>
  <c r="Z1976" i="7" s="1"/>
  <c r="AB1976" i="7"/>
  <c r="AA1976" i="7"/>
  <c r="Y1976" i="7"/>
  <c r="Z1975" i="7" s="1"/>
  <c r="AB1975" i="7"/>
  <c r="AA1975" i="7"/>
  <c r="Y1975" i="7"/>
  <c r="Z1974" i="7" s="1"/>
  <c r="AB1974" i="7"/>
  <c r="AA1974" i="7"/>
  <c r="Y1974" i="7"/>
  <c r="Z1973" i="7" s="1"/>
  <c r="AB1973" i="7"/>
  <c r="AA1973" i="7"/>
  <c r="Y1973" i="7"/>
  <c r="Z1972" i="7" s="1"/>
  <c r="AB1972" i="7"/>
  <c r="AA1972" i="7"/>
  <c r="Y1972" i="7"/>
  <c r="Z1971" i="7" s="1"/>
  <c r="AB1971" i="7"/>
  <c r="AA1971" i="7"/>
  <c r="Y1971" i="7"/>
  <c r="Z1970" i="7" s="1"/>
  <c r="AB1970" i="7"/>
  <c r="AA1970" i="7"/>
  <c r="Y1970" i="7"/>
  <c r="Z1969" i="7" s="1"/>
  <c r="AB1969" i="7"/>
  <c r="AA1969" i="7"/>
  <c r="Y1969" i="7"/>
  <c r="Z1968" i="7" s="1"/>
  <c r="AB1968" i="7"/>
  <c r="AA1968" i="7"/>
  <c r="Y1968" i="7"/>
  <c r="Z1967" i="7" s="1"/>
  <c r="AB1967" i="7"/>
  <c r="AA1967" i="7"/>
  <c r="Y1967" i="7"/>
  <c r="Z1966" i="7" s="1"/>
  <c r="AB1966" i="7"/>
  <c r="AA1966" i="7"/>
  <c r="Y1966" i="7"/>
  <c r="Z1965" i="7" s="1"/>
  <c r="AB1965" i="7"/>
  <c r="AA1965" i="7"/>
  <c r="Y1965" i="7"/>
  <c r="Z1964" i="7" s="1"/>
  <c r="AB1964" i="7"/>
  <c r="AA1964" i="7"/>
  <c r="Y1964" i="7"/>
  <c r="Z1963" i="7" s="1"/>
  <c r="AB1963" i="7"/>
  <c r="AA1963" i="7"/>
  <c r="Y1963" i="7"/>
  <c r="Z1962" i="7" s="1"/>
  <c r="AB1962" i="7"/>
  <c r="AA1962" i="7"/>
  <c r="Y1962" i="7"/>
  <c r="Z1961" i="7" s="1"/>
  <c r="AB1961" i="7"/>
  <c r="AA1961" i="7"/>
  <c r="Y1961" i="7"/>
  <c r="Z1960" i="7" s="1"/>
  <c r="AB1960" i="7"/>
  <c r="AA1960" i="7"/>
  <c r="Y1960" i="7"/>
  <c r="Z1959" i="7" s="1"/>
  <c r="AB1959" i="7"/>
  <c r="AA1959" i="7"/>
  <c r="Y1959" i="7"/>
  <c r="Z1958" i="7" s="1"/>
  <c r="AB1958" i="7"/>
  <c r="AA1958" i="7"/>
  <c r="Y1958" i="7"/>
  <c r="Z1957" i="7" s="1"/>
  <c r="AB1957" i="7"/>
  <c r="AA1957" i="7"/>
  <c r="Y1957" i="7"/>
  <c r="Z1956" i="7" s="1"/>
  <c r="AB1956" i="7"/>
  <c r="AA1956" i="7"/>
  <c r="Y1956" i="7"/>
  <c r="Z1955" i="7" s="1"/>
  <c r="AB1955" i="7"/>
  <c r="AA1955" i="7"/>
  <c r="Y1955" i="7"/>
  <c r="Z1954" i="7" s="1"/>
  <c r="AB1954" i="7"/>
  <c r="AA1954" i="7"/>
  <c r="Y1954" i="7"/>
  <c r="Z1953" i="7" s="1"/>
  <c r="AB1953" i="7"/>
  <c r="AA1953" i="7"/>
  <c r="Y1953" i="7"/>
  <c r="Z1952" i="7" s="1"/>
  <c r="AB1952" i="7"/>
  <c r="AA1952" i="7"/>
  <c r="Y1952" i="7"/>
  <c r="AB1951" i="7"/>
  <c r="AA1951" i="7"/>
  <c r="Z1951" i="7"/>
  <c r="Y1951" i="7"/>
  <c r="Z1950" i="7" s="1"/>
  <c r="AB1950" i="7"/>
  <c r="AA1950" i="7"/>
  <c r="Y1950" i="7"/>
  <c r="Z1949" i="7" s="1"/>
  <c r="AB1949" i="7"/>
  <c r="AA1949" i="7"/>
  <c r="Y1949" i="7"/>
  <c r="Z1948" i="7" s="1"/>
  <c r="AB1948" i="7"/>
  <c r="AA1948" i="7"/>
  <c r="Y1948" i="7"/>
  <c r="Z1947" i="7" s="1"/>
  <c r="AB1947" i="7"/>
  <c r="AA1947" i="7"/>
  <c r="Y1947" i="7"/>
  <c r="Z1946" i="7" s="1"/>
  <c r="AB1946" i="7"/>
  <c r="AA1946" i="7"/>
  <c r="Y1946" i="7"/>
  <c r="Z1945" i="7" s="1"/>
  <c r="AB1945" i="7"/>
  <c r="AA1945" i="7"/>
  <c r="Y1945" i="7"/>
  <c r="Z1944" i="7" s="1"/>
  <c r="AB1944" i="7"/>
  <c r="AA1944" i="7"/>
  <c r="Y1944" i="7"/>
  <c r="Z1943" i="7" s="1"/>
  <c r="AB1943" i="7"/>
  <c r="AA1943" i="7"/>
  <c r="Y1943" i="7"/>
  <c r="Z1942" i="7" s="1"/>
  <c r="AB1942" i="7"/>
  <c r="AA1942" i="7"/>
  <c r="Y1942" i="7"/>
  <c r="AB1941" i="7"/>
  <c r="AA1941" i="7"/>
  <c r="Z1941" i="7"/>
  <c r="Y1941" i="7"/>
  <c r="Z1940" i="7" s="1"/>
  <c r="AB1940" i="7"/>
  <c r="AA1940" i="7"/>
  <c r="Y1940" i="7"/>
  <c r="Z1939" i="7" s="1"/>
  <c r="AB1939" i="7"/>
  <c r="AA1939" i="7"/>
  <c r="Y1939" i="7"/>
  <c r="Z1938" i="7" s="1"/>
  <c r="AB1938" i="7"/>
  <c r="AA1938" i="7"/>
  <c r="Y1938" i="7"/>
  <c r="Z1937" i="7" s="1"/>
  <c r="AB1937" i="7"/>
  <c r="AA1937" i="7"/>
  <c r="Y1937" i="7"/>
  <c r="Z1936" i="7" s="1"/>
  <c r="AB1936" i="7"/>
  <c r="AA1936" i="7"/>
  <c r="Y1936" i="7"/>
  <c r="AB1935" i="7"/>
  <c r="AA1935" i="7"/>
  <c r="Z1935" i="7"/>
  <c r="Y1935" i="7"/>
  <c r="Z1934" i="7" s="1"/>
  <c r="AB1934" i="7"/>
  <c r="AA1934" i="7"/>
  <c r="Y1934" i="7"/>
  <c r="Z1933" i="7" s="1"/>
  <c r="AB1933" i="7"/>
  <c r="AA1933" i="7"/>
  <c r="Y1933" i="7"/>
  <c r="Z1932" i="7" s="1"/>
  <c r="AB1932" i="7"/>
  <c r="AA1932" i="7"/>
  <c r="Y1932" i="7"/>
  <c r="Z1931" i="7" s="1"/>
  <c r="AB1931" i="7"/>
  <c r="AA1931" i="7"/>
  <c r="Y1931" i="7"/>
  <c r="Z1930" i="7" s="1"/>
  <c r="AB1930" i="7"/>
  <c r="AA1930" i="7"/>
  <c r="Y1930" i="7"/>
  <c r="Z1929" i="7" s="1"/>
  <c r="AB1929" i="7"/>
  <c r="AA1929" i="7"/>
  <c r="Y1929" i="7"/>
  <c r="Z1928" i="7" s="1"/>
  <c r="AB1928" i="7"/>
  <c r="AA1928" i="7"/>
  <c r="Y1928" i="7"/>
  <c r="Z1927" i="7" s="1"/>
  <c r="AB1927" i="7"/>
  <c r="AA1927" i="7"/>
  <c r="Y1927" i="7"/>
  <c r="Z1926" i="7" s="1"/>
  <c r="AB1926" i="7"/>
  <c r="AA1926" i="7"/>
  <c r="Y1926" i="7"/>
  <c r="Z1925" i="7" s="1"/>
  <c r="AB1925" i="7"/>
  <c r="AA1925" i="7"/>
  <c r="Y1925" i="7"/>
  <c r="Z1924" i="7" s="1"/>
  <c r="AB1924" i="7"/>
  <c r="AA1924" i="7"/>
  <c r="Y1924" i="7"/>
  <c r="Z1923" i="7" s="1"/>
  <c r="AB1923" i="7"/>
  <c r="AA1923" i="7"/>
  <c r="Y1923" i="7"/>
  <c r="Z1922" i="7" s="1"/>
  <c r="AB1922" i="7"/>
  <c r="AA1922" i="7"/>
  <c r="Y1922" i="7"/>
  <c r="Z1921" i="7" s="1"/>
  <c r="AB1921" i="7"/>
  <c r="AA1921" i="7"/>
  <c r="Y1921" i="7"/>
  <c r="Z1920" i="7" s="1"/>
  <c r="AB1920" i="7"/>
  <c r="AA1920" i="7"/>
  <c r="Y1920" i="7"/>
  <c r="Z1919" i="7" s="1"/>
  <c r="AB1919" i="7"/>
  <c r="AA1919" i="7"/>
  <c r="Y1919" i="7"/>
  <c r="Z1918" i="7" s="1"/>
  <c r="AB1918" i="7"/>
  <c r="AA1918" i="7"/>
  <c r="Y1918" i="7"/>
  <c r="Z1917" i="7" s="1"/>
  <c r="AB1917" i="7"/>
  <c r="AA1917" i="7"/>
  <c r="Y1917" i="7"/>
  <c r="Z1916" i="7" s="1"/>
  <c r="AB1916" i="7"/>
  <c r="AA1916" i="7"/>
  <c r="Y1916" i="7"/>
  <c r="Z1915" i="7" s="1"/>
  <c r="AB1915" i="7"/>
  <c r="AA1915" i="7"/>
  <c r="Y1915" i="7"/>
  <c r="Z1914" i="7" s="1"/>
  <c r="AB1914" i="7"/>
  <c r="AA1914" i="7"/>
  <c r="Y1914" i="7"/>
  <c r="Z1913" i="7" s="1"/>
  <c r="AB1913" i="7"/>
  <c r="AA1913" i="7"/>
  <c r="Y1913" i="7"/>
  <c r="Z1912" i="7" s="1"/>
  <c r="AB1912" i="7"/>
  <c r="AA1912" i="7"/>
  <c r="Y1912" i="7"/>
  <c r="Z1911" i="7" s="1"/>
  <c r="AB1911" i="7"/>
  <c r="AA1911" i="7"/>
  <c r="Y1911" i="7"/>
  <c r="Z1910" i="7" s="1"/>
  <c r="AB1910" i="7"/>
  <c r="AA1910" i="7"/>
  <c r="Y1910" i="7"/>
  <c r="Z1909" i="7" s="1"/>
  <c r="AB1909" i="7"/>
  <c r="AA1909" i="7"/>
  <c r="Y1909" i="7"/>
  <c r="Z1908" i="7" s="1"/>
  <c r="AB1908" i="7"/>
  <c r="AA1908" i="7"/>
  <c r="Y1908" i="7"/>
  <c r="Z1907" i="7" s="1"/>
  <c r="AB1907" i="7"/>
  <c r="AA1907" i="7"/>
  <c r="Y1907" i="7"/>
  <c r="Z1906" i="7" s="1"/>
  <c r="AB1906" i="7"/>
  <c r="AA1906" i="7"/>
  <c r="Y1906" i="7"/>
  <c r="Z1905" i="7" s="1"/>
  <c r="AB1905" i="7"/>
  <c r="AA1905" i="7"/>
  <c r="Y1905" i="7"/>
  <c r="Z1904" i="7" s="1"/>
  <c r="AB1904" i="7"/>
  <c r="AA1904" i="7"/>
  <c r="Y1904" i="7"/>
  <c r="Z1903" i="7" s="1"/>
  <c r="AB1903" i="7"/>
  <c r="AA1903" i="7"/>
  <c r="Y1903" i="7"/>
  <c r="Z1902" i="7" s="1"/>
  <c r="AB1902" i="7"/>
  <c r="AA1902" i="7"/>
  <c r="Y1902" i="7"/>
  <c r="Z1901" i="7" s="1"/>
  <c r="AB1901" i="7"/>
  <c r="AA1901" i="7"/>
  <c r="Y1901" i="7"/>
  <c r="Z1900" i="7" s="1"/>
  <c r="AB1900" i="7"/>
  <c r="AA1900" i="7"/>
  <c r="Y1900" i="7"/>
  <c r="Z1899" i="7" s="1"/>
  <c r="AB1899" i="7"/>
  <c r="AA1899" i="7"/>
  <c r="Y1899" i="7"/>
  <c r="Z1898" i="7" s="1"/>
  <c r="AB1898" i="7"/>
  <c r="AA1898" i="7"/>
  <c r="Y1898" i="7"/>
  <c r="Z1897" i="7" s="1"/>
  <c r="AB1897" i="7"/>
  <c r="AA1897" i="7"/>
  <c r="Y1897" i="7"/>
  <c r="Z1896" i="7" s="1"/>
  <c r="AB1896" i="7"/>
  <c r="AA1896" i="7"/>
  <c r="Y1896" i="7"/>
  <c r="Z1895" i="7" s="1"/>
  <c r="AB1895" i="7"/>
  <c r="AA1895" i="7"/>
  <c r="Y1895" i="7"/>
  <c r="Z1894" i="7" s="1"/>
  <c r="AB1894" i="7"/>
  <c r="AA1894" i="7"/>
  <c r="Y1894" i="7"/>
  <c r="Z1893" i="7" s="1"/>
  <c r="AB1893" i="7"/>
  <c r="AA1893" i="7"/>
  <c r="Y1893" i="7"/>
  <c r="Z1892" i="7" s="1"/>
  <c r="AB1892" i="7"/>
  <c r="AA1892" i="7"/>
  <c r="Y1892" i="7"/>
  <c r="Z1891" i="7" s="1"/>
  <c r="AB1891" i="7"/>
  <c r="AA1891" i="7"/>
  <c r="Y1891" i="7"/>
  <c r="Z1890" i="7" s="1"/>
  <c r="AB1890" i="7"/>
  <c r="AA1890" i="7"/>
  <c r="Y1890" i="7"/>
  <c r="Z1889" i="7" s="1"/>
  <c r="AB1889" i="7"/>
  <c r="AA1889" i="7"/>
  <c r="Y1889" i="7"/>
  <c r="Z1888" i="7" s="1"/>
  <c r="AB1888" i="7"/>
  <c r="AA1888" i="7"/>
  <c r="Y1888" i="7"/>
  <c r="Z1887" i="7" s="1"/>
  <c r="AB1887" i="7"/>
  <c r="AA1887" i="7"/>
  <c r="Y1887" i="7"/>
  <c r="Z1886" i="7" s="1"/>
  <c r="AB1886" i="7"/>
  <c r="AA1886" i="7"/>
  <c r="Y1886" i="7"/>
  <c r="Z1885" i="7" s="1"/>
  <c r="AB1885" i="7"/>
  <c r="AA1885" i="7"/>
  <c r="Y1885" i="7"/>
  <c r="Z1884" i="7" s="1"/>
  <c r="AB1884" i="7"/>
  <c r="AA1884" i="7"/>
  <c r="Y1884" i="7"/>
  <c r="Z1883" i="7" s="1"/>
  <c r="AB1883" i="7"/>
  <c r="AA1883" i="7"/>
  <c r="Y1883" i="7"/>
  <c r="Z1882" i="7" s="1"/>
  <c r="AB1882" i="7"/>
  <c r="AA1882" i="7"/>
  <c r="Y1882" i="7"/>
  <c r="Z1881" i="7" s="1"/>
  <c r="AB1881" i="7"/>
  <c r="AA1881" i="7"/>
  <c r="Y1881" i="7"/>
  <c r="Z1880" i="7" s="1"/>
  <c r="AB1880" i="7"/>
  <c r="AA1880" i="7"/>
  <c r="Y1880" i="7"/>
  <c r="Z1879" i="7" s="1"/>
  <c r="AB1879" i="7"/>
  <c r="AA1879" i="7"/>
  <c r="Y1879" i="7"/>
  <c r="Z1878" i="7" s="1"/>
  <c r="AB1878" i="7"/>
  <c r="AA1878" i="7"/>
  <c r="Y1878" i="7"/>
  <c r="Z1877" i="7" s="1"/>
  <c r="AB1877" i="7"/>
  <c r="AA1877" i="7"/>
  <c r="Y1877" i="7"/>
  <c r="Z1876" i="7" s="1"/>
  <c r="AB1876" i="7"/>
  <c r="AA1876" i="7"/>
  <c r="Y1876" i="7"/>
  <c r="Z1875" i="7" s="1"/>
  <c r="AB1875" i="7"/>
  <c r="AA1875" i="7"/>
  <c r="Y1875" i="7"/>
  <c r="Z1874" i="7" s="1"/>
  <c r="AB1874" i="7"/>
  <c r="AA1874" i="7"/>
  <c r="Y1874" i="7"/>
  <c r="Z1873" i="7" s="1"/>
  <c r="AB1873" i="7"/>
  <c r="AA1873" i="7"/>
  <c r="Y1873" i="7"/>
  <c r="Z1872" i="7" s="1"/>
  <c r="AB1872" i="7"/>
  <c r="AA1872" i="7"/>
  <c r="Y1872" i="7"/>
  <c r="Z1871" i="7" s="1"/>
  <c r="AB1871" i="7"/>
  <c r="AA1871" i="7"/>
  <c r="Y1871" i="7"/>
  <c r="Z1870" i="7" s="1"/>
  <c r="AB1870" i="7"/>
  <c r="AA1870" i="7"/>
  <c r="Y1870" i="7"/>
  <c r="Z1869" i="7" s="1"/>
  <c r="AB1869" i="7"/>
  <c r="AA1869" i="7"/>
  <c r="Y1869" i="7"/>
  <c r="Z1868" i="7" s="1"/>
  <c r="AB1868" i="7"/>
  <c r="AA1868" i="7"/>
  <c r="Y1868" i="7"/>
  <c r="Z1867" i="7" s="1"/>
  <c r="AB1867" i="7"/>
  <c r="AA1867" i="7"/>
  <c r="Y1867" i="7"/>
  <c r="Z1866" i="7" s="1"/>
  <c r="AB1866" i="7"/>
  <c r="AA1866" i="7"/>
  <c r="Y1866" i="7"/>
  <c r="Z1865" i="7" s="1"/>
  <c r="AB1865" i="7"/>
  <c r="AA1865" i="7"/>
  <c r="Y1865" i="7"/>
  <c r="Z1864" i="7" s="1"/>
  <c r="AB1864" i="7"/>
  <c r="AA1864" i="7"/>
  <c r="Y1864" i="7"/>
  <c r="Z1863" i="7" s="1"/>
  <c r="AB1863" i="7"/>
  <c r="AA1863" i="7"/>
  <c r="Y1863" i="7"/>
  <c r="Z1862" i="7" s="1"/>
  <c r="AB1862" i="7"/>
  <c r="AA1862" i="7"/>
  <c r="Y1862" i="7"/>
  <c r="Z1861" i="7" s="1"/>
  <c r="AB1861" i="7"/>
  <c r="AA1861" i="7"/>
  <c r="Y1861" i="7"/>
  <c r="Z1860" i="7" s="1"/>
  <c r="AB1860" i="7"/>
  <c r="AA1860" i="7"/>
  <c r="Y1860" i="7"/>
  <c r="AB1859" i="7"/>
  <c r="AA1859" i="7"/>
  <c r="Z1859" i="7"/>
  <c r="Y1859" i="7"/>
  <c r="Z1858" i="7" s="1"/>
  <c r="AB1858" i="7"/>
  <c r="AA1858" i="7"/>
  <c r="Y1858" i="7"/>
  <c r="Z1857" i="7" s="1"/>
  <c r="AB1857" i="7"/>
  <c r="AA1857" i="7"/>
  <c r="Y1857" i="7"/>
  <c r="Z1856" i="7" s="1"/>
  <c r="AB1856" i="7"/>
  <c r="AA1856" i="7"/>
  <c r="Y1856" i="7"/>
  <c r="Z1855" i="7" s="1"/>
  <c r="AB1855" i="7"/>
  <c r="AA1855" i="7"/>
  <c r="Y1855" i="7"/>
  <c r="Z1854" i="7" s="1"/>
  <c r="AB1854" i="7"/>
  <c r="AA1854" i="7"/>
  <c r="Y1854" i="7"/>
  <c r="Z1853" i="7" s="1"/>
  <c r="AB1853" i="7"/>
  <c r="AA1853" i="7"/>
  <c r="Y1853" i="7"/>
  <c r="Z1852" i="7" s="1"/>
  <c r="AB1852" i="7"/>
  <c r="AA1852" i="7"/>
  <c r="Y1852" i="7"/>
  <c r="Z1851" i="7" s="1"/>
  <c r="AB1851" i="7"/>
  <c r="AA1851" i="7"/>
  <c r="Y1851" i="7"/>
  <c r="Z1850" i="7" s="1"/>
  <c r="AB1850" i="7"/>
  <c r="AA1850" i="7"/>
  <c r="Y1850" i="7"/>
  <c r="Z1849" i="7" s="1"/>
  <c r="AB1849" i="7"/>
  <c r="AA1849" i="7"/>
  <c r="Y1849" i="7"/>
  <c r="Z1848" i="7" s="1"/>
  <c r="AB1848" i="7"/>
  <c r="AA1848" i="7"/>
  <c r="Y1848" i="7"/>
  <c r="Z1847" i="7" s="1"/>
  <c r="AB1847" i="7"/>
  <c r="AA1847" i="7"/>
  <c r="Y1847" i="7"/>
  <c r="Z1846" i="7" s="1"/>
  <c r="AB1846" i="7"/>
  <c r="AA1846" i="7"/>
  <c r="Y1846" i="7"/>
  <c r="Z1845" i="7" s="1"/>
  <c r="AB1845" i="7"/>
  <c r="AA1845" i="7"/>
  <c r="Y1845" i="7"/>
  <c r="Z1844" i="7" s="1"/>
  <c r="AB1844" i="7"/>
  <c r="AA1844" i="7"/>
  <c r="Y1844" i="7"/>
  <c r="AB1843" i="7"/>
  <c r="AA1843" i="7"/>
  <c r="Z1843" i="7"/>
  <c r="Y1843" i="7"/>
  <c r="Z1842" i="7" s="1"/>
  <c r="AB1842" i="7"/>
  <c r="AA1842" i="7"/>
  <c r="Y1842" i="7"/>
  <c r="Z1841" i="7" s="1"/>
  <c r="AB1841" i="7"/>
  <c r="AA1841" i="7"/>
  <c r="Y1841" i="7"/>
  <c r="Z1840" i="7" s="1"/>
  <c r="AB1840" i="7"/>
  <c r="AA1840" i="7"/>
  <c r="Y1840" i="7"/>
  <c r="AB1839" i="7"/>
  <c r="AA1839" i="7"/>
  <c r="Z1839" i="7"/>
  <c r="Y1839" i="7"/>
  <c r="Z1838" i="7" s="1"/>
  <c r="AB1838" i="7"/>
  <c r="AA1838" i="7"/>
  <c r="Y1838" i="7"/>
  <c r="Z1837" i="7" s="1"/>
  <c r="AB1837" i="7"/>
  <c r="AA1837" i="7"/>
  <c r="Y1837" i="7"/>
  <c r="Z1836" i="7" s="1"/>
  <c r="AB1836" i="7"/>
  <c r="AA1836" i="7"/>
  <c r="Y1836" i="7"/>
  <c r="Z1835" i="7" s="1"/>
  <c r="AB1835" i="7"/>
  <c r="AA1835" i="7"/>
  <c r="Y1835" i="7"/>
  <c r="Z1834" i="7" s="1"/>
  <c r="AB1834" i="7"/>
  <c r="AA1834" i="7"/>
  <c r="Y1834" i="7"/>
  <c r="Z1833" i="7" s="1"/>
  <c r="AB1833" i="7"/>
  <c r="AA1833" i="7"/>
  <c r="Y1833" i="7"/>
  <c r="Z1832" i="7" s="1"/>
  <c r="AB1832" i="7"/>
  <c r="AA1832" i="7"/>
  <c r="Y1832" i="7"/>
  <c r="Z1831" i="7" s="1"/>
  <c r="AB1831" i="7"/>
  <c r="AA1831" i="7"/>
  <c r="Y1831" i="7"/>
  <c r="AB1830" i="7"/>
  <c r="AA1830" i="7"/>
  <c r="Z1830" i="7"/>
  <c r="Y1830" i="7"/>
  <c r="Z1829" i="7" s="1"/>
  <c r="AB1829" i="7"/>
  <c r="AA1829" i="7"/>
  <c r="Y1829" i="7"/>
  <c r="AB1828" i="7"/>
  <c r="AA1828" i="7"/>
  <c r="Z1828" i="7"/>
  <c r="Y1828" i="7"/>
  <c r="Z1827" i="7" s="1"/>
  <c r="AB1827" i="7"/>
  <c r="AA1827" i="7"/>
  <c r="Y1827" i="7"/>
  <c r="Z1826" i="7" s="1"/>
  <c r="AB1826" i="7"/>
  <c r="AA1826" i="7"/>
  <c r="Y1826" i="7"/>
  <c r="Z1825" i="7" s="1"/>
  <c r="AB1825" i="7"/>
  <c r="AA1825" i="7"/>
  <c r="Y1825" i="7"/>
  <c r="Z1824" i="7" s="1"/>
  <c r="AB1824" i="7"/>
  <c r="AA1824" i="7"/>
  <c r="Y1824" i="7"/>
  <c r="Z1823" i="7" s="1"/>
  <c r="AB1823" i="7"/>
  <c r="AA1823" i="7"/>
  <c r="Y1823" i="7"/>
  <c r="AB1822" i="7"/>
  <c r="AA1822" i="7"/>
  <c r="Z1822" i="7"/>
  <c r="Y1822" i="7"/>
  <c r="Z1821" i="7" s="1"/>
  <c r="AB1821" i="7"/>
  <c r="AA1821" i="7"/>
  <c r="Y1821" i="7"/>
  <c r="Z1820" i="7" s="1"/>
  <c r="AB1820" i="7"/>
  <c r="AA1820" i="7"/>
  <c r="Y1820" i="7"/>
  <c r="Z1819" i="7" s="1"/>
  <c r="AB1819" i="7"/>
  <c r="AA1819" i="7"/>
  <c r="Y1819" i="7"/>
  <c r="Z1818" i="7" s="1"/>
  <c r="AB1818" i="7"/>
  <c r="AA1818" i="7"/>
  <c r="Y1818" i="7"/>
  <c r="Z1817" i="7" s="1"/>
  <c r="AB1817" i="7"/>
  <c r="AA1817" i="7"/>
  <c r="Y1817" i="7"/>
  <c r="Z1816" i="7" s="1"/>
  <c r="AB1816" i="7"/>
  <c r="AA1816" i="7"/>
  <c r="Y1816" i="7"/>
  <c r="Z1815" i="7" s="1"/>
  <c r="AB1815" i="7"/>
  <c r="AA1815" i="7"/>
  <c r="Y1815" i="7"/>
  <c r="Z1814" i="7" s="1"/>
  <c r="AB1814" i="7"/>
  <c r="AA1814" i="7"/>
  <c r="Y1814" i="7"/>
  <c r="Z1813" i="7" s="1"/>
  <c r="AB1813" i="7"/>
  <c r="AA1813" i="7"/>
  <c r="Y1813" i="7"/>
  <c r="AB1812" i="7"/>
  <c r="AA1812" i="7"/>
  <c r="Z1812" i="7"/>
  <c r="Y1812" i="7"/>
  <c r="Z1811" i="7" s="1"/>
  <c r="AB1811" i="7"/>
  <c r="AA1811" i="7"/>
  <c r="Y1811" i="7"/>
  <c r="Z1810" i="7" s="1"/>
  <c r="AB1810" i="7"/>
  <c r="AA1810" i="7"/>
  <c r="Y1810" i="7"/>
  <c r="Z1809" i="7" s="1"/>
  <c r="AB1809" i="7"/>
  <c r="AA1809" i="7"/>
  <c r="Y1809" i="7"/>
  <c r="Z1808" i="7" s="1"/>
  <c r="AB1808" i="7"/>
  <c r="AA1808" i="7"/>
  <c r="Y1808" i="7"/>
  <c r="Z1807" i="7" s="1"/>
  <c r="AB1807" i="7"/>
  <c r="AA1807" i="7"/>
  <c r="Y1807" i="7"/>
  <c r="Z1806" i="7" s="1"/>
  <c r="AB1806" i="7"/>
  <c r="AA1806" i="7"/>
  <c r="Y1806" i="7"/>
  <c r="Z1805" i="7" s="1"/>
  <c r="AB1805" i="7"/>
  <c r="AA1805" i="7"/>
  <c r="Y1805" i="7"/>
  <c r="Z1804" i="7" s="1"/>
  <c r="AB1804" i="7"/>
  <c r="AA1804" i="7"/>
  <c r="Y1804" i="7"/>
  <c r="Z1803" i="7" s="1"/>
  <c r="AB1803" i="7"/>
  <c r="AA1803" i="7"/>
  <c r="Y1803" i="7"/>
  <c r="Z1802" i="7" s="1"/>
  <c r="AB1802" i="7"/>
  <c r="AA1802" i="7"/>
  <c r="Y1802" i="7"/>
  <c r="Z1801" i="7" s="1"/>
  <c r="AB1801" i="7"/>
  <c r="AA1801" i="7"/>
  <c r="Y1801" i="7"/>
  <c r="Z1800" i="7" s="1"/>
  <c r="AB1800" i="7"/>
  <c r="AA1800" i="7"/>
  <c r="Y1800" i="7"/>
  <c r="Z1799" i="7" s="1"/>
  <c r="AB1799" i="7"/>
  <c r="AA1799" i="7"/>
  <c r="Y1799" i="7"/>
  <c r="Z1798" i="7" s="1"/>
  <c r="AB1798" i="7"/>
  <c r="AA1798" i="7"/>
  <c r="Y1798" i="7"/>
  <c r="Z1797" i="7" s="1"/>
  <c r="AB1797" i="7"/>
  <c r="AA1797" i="7"/>
  <c r="Y1797" i="7"/>
  <c r="Z1796" i="7" s="1"/>
  <c r="AB1796" i="7"/>
  <c r="AA1796" i="7"/>
  <c r="Y1796" i="7"/>
  <c r="Z1795" i="7" s="1"/>
  <c r="AB1795" i="7"/>
  <c r="AA1795" i="7"/>
  <c r="Y1795" i="7"/>
  <c r="AB1794" i="7"/>
  <c r="AA1794" i="7"/>
  <c r="Z1794" i="7"/>
  <c r="Y1794" i="7"/>
  <c r="Z1793" i="7" s="1"/>
  <c r="AB1793" i="7"/>
  <c r="AA1793" i="7"/>
  <c r="Y1793" i="7"/>
  <c r="AB1792" i="7"/>
  <c r="AA1792" i="7"/>
  <c r="Z1792" i="7"/>
  <c r="Y1792" i="7"/>
  <c r="Z1791" i="7" s="1"/>
  <c r="AB1791" i="7"/>
  <c r="AA1791" i="7"/>
  <c r="Y1791" i="7"/>
  <c r="Z1790" i="7" s="1"/>
  <c r="AB1790" i="7"/>
  <c r="AA1790" i="7"/>
  <c r="Y1790" i="7"/>
  <c r="Z1789" i="7" s="1"/>
  <c r="AB1789" i="7"/>
  <c r="AA1789" i="7"/>
  <c r="Y1789" i="7"/>
  <c r="Z1788" i="7" s="1"/>
  <c r="AB1788" i="7"/>
  <c r="AA1788" i="7"/>
  <c r="Y1788" i="7"/>
  <c r="Z1787" i="7" s="1"/>
  <c r="AB1787" i="7"/>
  <c r="AA1787" i="7"/>
  <c r="Y1787" i="7"/>
  <c r="Z1786" i="7" s="1"/>
  <c r="AB1786" i="7"/>
  <c r="AA1786" i="7"/>
  <c r="Y1786" i="7"/>
  <c r="Z1785" i="7" s="1"/>
  <c r="AB1785" i="7"/>
  <c r="AA1785" i="7"/>
  <c r="Y1785" i="7"/>
  <c r="Z1784" i="7" s="1"/>
  <c r="AB1784" i="7"/>
  <c r="AA1784" i="7"/>
  <c r="Y1784" i="7"/>
  <c r="Z1783" i="7" s="1"/>
  <c r="AB1783" i="7"/>
  <c r="AA1783" i="7"/>
  <c r="Y1783" i="7"/>
  <c r="AB1782" i="7"/>
  <c r="AA1782" i="7"/>
  <c r="Z1782" i="7"/>
  <c r="Y1782" i="7"/>
  <c r="Z1781" i="7" s="1"/>
  <c r="AB1781" i="7"/>
  <c r="AA1781" i="7"/>
  <c r="Y1781" i="7"/>
  <c r="Z1780" i="7" s="1"/>
  <c r="AB1780" i="7"/>
  <c r="AA1780" i="7"/>
  <c r="Y1780" i="7"/>
  <c r="Z1779" i="7" s="1"/>
  <c r="AB1779" i="7"/>
  <c r="AA1779" i="7"/>
  <c r="Y1779" i="7"/>
  <c r="Z1778" i="7" s="1"/>
  <c r="AB1778" i="7"/>
  <c r="AA1778" i="7"/>
  <c r="Y1778" i="7"/>
  <c r="Z1777" i="7" s="1"/>
  <c r="AB1777" i="7"/>
  <c r="AA1777" i="7"/>
  <c r="Y1777" i="7"/>
  <c r="AB1776" i="7"/>
  <c r="AA1776" i="7"/>
  <c r="Z1776" i="7"/>
  <c r="Y1776" i="7"/>
  <c r="Z1775" i="7" s="1"/>
  <c r="AB1775" i="7"/>
  <c r="AA1775" i="7"/>
  <c r="Y1775" i="7"/>
  <c r="Z1774" i="7" s="1"/>
  <c r="AB1774" i="7"/>
  <c r="AA1774" i="7"/>
  <c r="Y1774" i="7"/>
  <c r="Z1773" i="7" s="1"/>
  <c r="AB1773" i="7"/>
  <c r="AA1773" i="7"/>
  <c r="Y1773" i="7"/>
  <c r="Z1772" i="7" s="1"/>
  <c r="AB1772" i="7"/>
  <c r="AA1772" i="7"/>
  <c r="Y1772" i="7"/>
  <c r="Z1771" i="7" s="1"/>
  <c r="AB1771" i="7"/>
  <c r="AA1771" i="7"/>
  <c r="Y1771" i="7"/>
  <c r="Z1770" i="7" s="1"/>
  <c r="AB1770" i="7"/>
  <c r="AA1770" i="7"/>
  <c r="Y1770" i="7"/>
  <c r="Z1769" i="7" s="1"/>
  <c r="AB1769" i="7"/>
  <c r="AA1769" i="7"/>
  <c r="Y1769" i="7"/>
  <c r="Z1768" i="7" s="1"/>
  <c r="AB1768" i="7"/>
  <c r="AA1768" i="7"/>
  <c r="Y1768" i="7"/>
  <c r="Z1767" i="7" s="1"/>
  <c r="AB1767" i="7"/>
  <c r="AA1767" i="7"/>
  <c r="Y1767" i="7"/>
  <c r="AB1766" i="7"/>
  <c r="AA1766" i="7"/>
  <c r="Z1766" i="7"/>
  <c r="Y1766" i="7"/>
  <c r="Z1765" i="7" s="1"/>
  <c r="AB1765" i="7"/>
  <c r="AA1765" i="7"/>
  <c r="Y1765" i="7"/>
  <c r="Z1764" i="7" s="1"/>
  <c r="AB1764" i="7"/>
  <c r="AA1764" i="7"/>
  <c r="Y1764" i="7"/>
  <c r="Z1763" i="7" s="1"/>
  <c r="AB1763" i="7"/>
  <c r="AA1763" i="7"/>
  <c r="Y1763" i="7"/>
  <c r="Z1762" i="7" s="1"/>
  <c r="AB1762" i="7"/>
  <c r="AA1762" i="7"/>
  <c r="Y1762" i="7"/>
  <c r="Z1761" i="7" s="1"/>
  <c r="AB1761" i="7"/>
  <c r="AA1761" i="7"/>
  <c r="Y1761" i="7"/>
  <c r="Z1760" i="7" s="1"/>
  <c r="AB1760" i="7"/>
  <c r="AA1760" i="7"/>
  <c r="Y1760" i="7"/>
  <c r="Z1759" i="7" s="1"/>
  <c r="AB1759" i="7"/>
  <c r="AA1759" i="7"/>
  <c r="Y1759" i="7"/>
  <c r="Z1758" i="7" s="1"/>
  <c r="AB1758" i="7"/>
  <c r="AA1758" i="7"/>
  <c r="Y1758" i="7"/>
  <c r="Z1757" i="7" s="1"/>
  <c r="AB1757" i="7"/>
  <c r="AA1757" i="7"/>
  <c r="Y1757" i="7"/>
  <c r="Z1756" i="7" s="1"/>
  <c r="AB1756" i="7"/>
  <c r="AA1756" i="7"/>
  <c r="Y1756" i="7"/>
  <c r="Z1755" i="7" s="1"/>
  <c r="AB1755" i="7"/>
  <c r="AA1755" i="7"/>
  <c r="Y1755" i="7"/>
  <c r="Z1754" i="7" s="1"/>
  <c r="AB1754" i="7"/>
  <c r="AA1754" i="7"/>
  <c r="Y1754" i="7"/>
  <c r="Z1753" i="7" s="1"/>
  <c r="AB1753" i="7"/>
  <c r="AA1753" i="7"/>
  <c r="Y1753" i="7"/>
  <c r="Z1752" i="7" s="1"/>
  <c r="AB1752" i="7"/>
  <c r="AA1752" i="7"/>
  <c r="Y1752" i="7"/>
  <c r="Z1751" i="7" s="1"/>
  <c r="AB1751" i="7"/>
  <c r="AA1751" i="7"/>
  <c r="Y1751" i="7"/>
  <c r="Z1750" i="7" s="1"/>
  <c r="AB1750" i="7"/>
  <c r="AA1750" i="7"/>
  <c r="Y1750" i="7"/>
  <c r="Z1749" i="7" s="1"/>
  <c r="AB1749" i="7"/>
  <c r="AA1749" i="7"/>
  <c r="Y1749" i="7"/>
  <c r="Z1748" i="7" s="1"/>
  <c r="AB1748" i="7"/>
  <c r="AA1748" i="7"/>
  <c r="Y1748" i="7"/>
  <c r="Z1747" i="7" s="1"/>
  <c r="AB1747" i="7"/>
  <c r="AA1747" i="7"/>
  <c r="Y1747" i="7"/>
  <c r="AB1746" i="7"/>
  <c r="AA1746" i="7"/>
  <c r="Z1746" i="7"/>
  <c r="Y1746" i="7"/>
  <c r="Z1745" i="7" s="1"/>
  <c r="AB1745" i="7"/>
  <c r="AA1745" i="7"/>
  <c r="Y1745" i="7"/>
  <c r="AB1744" i="7"/>
  <c r="AA1744" i="7"/>
  <c r="Z1744" i="7"/>
  <c r="Y1744" i="7"/>
  <c r="Z1743" i="7" s="1"/>
  <c r="AB1743" i="7"/>
  <c r="AA1743" i="7"/>
  <c r="Y1743" i="7"/>
  <c r="AB1742" i="7"/>
  <c r="AA1742" i="7"/>
  <c r="Z1742" i="7"/>
  <c r="Y1742" i="7"/>
  <c r="Z1741" i="7" s="1"/>
  <c r="AB1741" i="7"/>
  <c r="AA1741" i="7"/>
  <c r="Y1741" i="7"/>
  <c r="Z1740" i="7" s="1"/>
  <c r="AB1740" i="7"/>
  <c r="AA1740" i="7"/>
  <c r="Y1740" i="7"/>
  <c r="Z1739" i="7" s="1"/>
  <c r="AB1739" i="7"/>
  <c r="AA1739" i="7"/>
  <c r="Y1739" i="7"/>
  <c r="Z1738" i="7" s="1"/>
  <c r="AB1738" i="7"/>
  <c r="AA1738" i="7"/>
  <c r="Y1738" i="7"/>
  <c r="Z1737" i="7" s="1"/>
  <c r="AB1737" i="7"/>
  <c r="AA1737" i="7"/>
  <c r="Y1737" i="7"/>
  <c r="Z1736" i="7" s="1"/>
  <c r="AB1736" i="7"/>
  <c r="AA1736" i="7"/>
  <c r="Y1736" i="7"/>
  <c r="Z1735" i="7" s="1"/>
  <c r="AB1735" i="7"/>
  <c r="AA1735" i="7"/>
  <c r="Y1735" i="7"/>
  <c r="AB1734" i="7"/>
  <c r="AA1734" i="7"/>
  <c r="Z1734" i="7"/>
  <c r="Y1734" i="7"/>
  <c r="Z1733" i="7" s="1"/>
  <c r="AB1733" i="7"/>
  <c r="AA1733" i="7"/>
  <c r="Y1733" i="7"/>
  <c r="Z1732" i="7" s="1"/>
  <c r="AB1732" i="7"/>
  <c r="AA1732" i="7"/>
  <c r="Y1732" i="7"/>
  <c r="Z1731" i="7" s="1"/>
  <c r="AB1731" i="7"/>
  <c r="AA1731" i="7"/>
  <c r="Y1731" i="7"/>
  <c r="Z1730" i="7" s="1"/>
  <c r="AB1730" i="7"/>
  <c r="AA1730" i="7"/>
  <c r="Y1730" i="7"/>
  <c r="Z1729" i="7" s="1"/>
  <c r="AB1729" i="7"/>
  <c r="AA1729" i="7"/>
  <c r="Y1729" i="7"/>
  <c r="Z1728" i="7" s="1"/>
  <c r="AB1728" i="7"/>
  <c r="AA1728" i="7"/>
  <c r="Y1728" i="7"/>
  <c r="Z1727" i="7" s="1"/>
  <c r="AB1727" i="7"/>
  <c r="AA1727" i="7"/>
  <c r="Y1727" i="7"/>
  <c r="Z1726" i="7" s="1"/>
  <c r="AB1726" i="7"/>
  <c r="AA1726" i="7"/>
  <c r="Y1726" i="7"/>
  <c r="Z1725" i="7" s="1"/>
  <c r="AB1725" i="7"/>
  <c r="AA1725" i="7"/>
  <c r="Y1725" i="7"/>
  <c r="Z1724" i="7" s="1"/>
  <c r="AB1724" i="7"/>
  <c r="AA1724" i="7"/>
  <c r="Y1724" i="7"/>
  <c r="Z1723" i="7" s="1"/>
  <c r="AB1723" i="7"/>
  <c r="AA1723" i="7"/>
  <c r="Y1723" i="7"/>
  <c r="Z1722" i="7" s="1"/>
  <c r="AB1722" i="7"/>
  <c r="AA1722" i="7"/>
  <c r="Y1722" i="7"/>
  <c r="Z1721" i="7" s="1"/>
  <c r="AB1721" i="7"/>
  <c r="AA1721" i="7"/>
  <c r="Y1721" i="7"/>
  <c r="Z1720" i="7" s="1"/>
  <c r="AB1720" i="7"/>
  <c r="AA1720" i="7"/>
  <c r="Y1720" i="7"/>
  <c r="Z1719" i="7" s="1"/>
  <c r="AB1719" i="7"/>
  <c r="AA1719" i="7"/>
  <c r="Y1719" i="7"/>
  <c r="Z1718" i="7" s="1"/>
  <c r="AB1718" i="7"/>
  <c r="AA1718" i="7"/>
  <c r="Y1718" i="7"/>
  <c r="Z1717" i="7" s="1"/>
  <c r="AB1717" i="7"/>
  <c r="AA1717" i="7"/>
  <c r="Y1717" i="7"/>
  <c r="Z1716" i="7" s="1"/>
  <c r="AB1716" i="7"/>
  <c r="AA1716" i="7"/>
  <c r="Y1716" i="7"/>
  <c r="Z1715" i="7" s="1"/>
  <c r="AB1715" i="7"/>
  <c r="AA1715" i="7"/>
  <c r="Y1715" i="7"/>
  <c r="AB1714" i="7"/>
  <c r="AA1714" i="7"/>
  <c r="Z1714" i="7"/>
  <c r="Y1714" i="7"/>
  <c r="Z1713" i="7" s="1"/>
  <c r="AB1713" i="7"/>
  <c r="AA1713" i="7"/>
  <c r="Y1713" i="7"/>
  <c r="AB1712" i="7"/>
  <c r="AA1712" i="7"/>
  <c r="Z1712" i="7"/>
  <c r="Y1712" i="7"/>
  <c r="Z1711" i="7" s="1"/>
  <c r="AB1711" i="7"/>
  <c r="AA1711" i="7"/>
  <c r="Y1711" i="7"/>
  <c r="AB1710" i="7"/>
  <c r="AA1710" i="7"/>
  <c r="Z1710" i="7"/>
  <c r="Y1710" i="7"/>
  <c r="Z1709" i="7" s="1"/>
  <c r="AB1709" i="7"/>
  <c r="AA1709" i="7"/>
  <c r="Y1709" i="7"/>
  <c r="Z1708" i="7" s="1"/>
  <c r="AB1708" i="7"/>
  <c r="AA1708" i="7"/>
  <c r="Y1708" i="7"/>
  <c r="Z1707" i="7" s="1"/>
  <c r="AB1707" i="7"/>
  <c r="AA1707" i="7"/>
  <c r="Y1707" i="7"/>
  <c r="Z1706" i="7" s="1"/>
  <c r="AB1706" i="7"/>
  <c r="AA1706" i="7"/>
  <c r="Y1706" i="7"/>
  <c r="Z1705" i="7" s="1"/>
  <c r="AB1705" i="7"/>
  <c r="AA1705" i="7"/>
  <c r="Y1705" i="7"/>
  <c r="Z1704" i="7" s="1"/>
  <c r="AB1704" i="7"/>
  <c r="AA1704" i="7"/>
  <c r="Y1704" i="7"/>
  <c r="Z1703" i="7" s="1"/>
  <c r="AB1703" i="7"/>
  <c r="AA1703" i="7"/>
  <c r="Y1703" i="7"/>
  <c r="AB1702" i="7"/>
  <c r="AA1702" i="7"/>
  <c r="Z1702" i="7"/>
  <c r="Y1702" i="7"/>
  <c r="Z1701" i="7" s="1"/>
  <c r="AB1701" i="7"/>
  <c r="AA1701" i="7"/>
  <c r="Y1701" i="7"/>
  <c r="Z1700" i="7" s="1"/>
  <c r="AB1700" i="7"/>
  <c r="AA1700" i="7"/>
  <c r="Y1700" i="7"/>
  <c r="Z1699" i="7" s="1"/>
  <c r="AB1699" i="7"/>
  <c r="AA1699" i="7"/>
  <c r="Y1699" i="7"/>
  <c r="Z1698" i="7" s="1"/>
  <c r="AB1698" i="7"/>
  <c r="AA1698" i="7"/>
  <c r="Y1698" i="7"/>
  <c r="Z1697" i="7" s="1"/>
  <c r="AB1697" i="7"/>
  <c r="AA1697" i="7"/>
  <c r="Y1697" i="7"/>
  <c r="Z1696" i="7" s="1"/>
  <c r="AB1696" i="7"/>
  <c r="AA1696" i="7"/>
  <c r="Y1696" i="7"/>
  <c r="Z1695" i="7" s="1"/>
  <c r="AB1695" i="7"/>
  <c r="AA1695" i="7"/>
  <c r="Y1695" i="7"/>
  <c r="Z1694" i="7" s="1"/>
  <c r="AB1694" i="7"/>
  <c r="AA1694" i="7"/>
  <c r="Y1694" i="7"/>
  <c r="Z1693" i="7" s="1"/>
  <c r="AB1693" i="7"/>
  <c r="AA1693" i="7"/>
  <c r="Y1693" i="7"/>
  <c r="Z1692" i="7" s="1"/>
  <c r="AB1692" i="7"/>
  <c r="AA1692" i="7"/>
  <c r="Y1692" i="7"/>
  <c r="Z1691" i="7" s="1"/>
  <c r="AB1691" i="7"/>
  <c r="AA1691" i="7"/>
  <c r="Y1691" i="7"/>
  <c r="Z1690" i="7" s="1"/>
  <c r="AB1690" i="7"/>
  <c r="AA1690" i="7"/>
  <c r="Y1690" i="7"/>
  <c r="Z1689" i="7" s="1"/>
  <c r="AB1689" i="7"/>
  <c r="AA1689" i="7"/>
  <c r="Y1689" i="7"/>
  <c r="Z1688" i="7" s="1"/>
  <c r="AB1688" i="7"/>
  <c r="AA1688" i="7"/>
  <c r="Y1688" i="7"/>
  <c r="Z1687" i="7" s="1"/>
  <c r="AB1687" i="7"/>
  <c r="AA1687" i="7"/>
  <c r="Y1687" i="7"/>
  <c r="Z1686" i="7" s="1"/>
  <c r="AB1686" i="7"/>
  <c r="AA1686" i="7"/>
  <c r="Y1686" i="7"/>
  <c r="Z1685" i="7" s="1"/>
  <c r="AB1685" i="7"/>
  <c r="AA1685" i="7"/>
  <c r="Y1685" i="7"/>
  <c r="Z1684" i="7" s="1"/>
  <c r="AB1684" i="7"/>
  <c r="AA1684" i="7"/>
  <c r="Y1684" i="7"/>
  <c r="Z1683" i="7" s="1"/>
  <c r="AB1683" i="7"/>
  <c r="AA1683" i="7"/>
  <c r="Y1683" i="7"/>
  <c r="AB1682" i="7"/>
  <c r="AA1682" i="7"/>
  <c r="Z1682" i="7"/>
  <c r="Y1682" i="7"/>
  <c r="Z1681" i="7" s="1"/>
  <c r="AB1681" i="7"/>
  <c r="AA1681" i="7"/>
  <c r="Y1681" i="7"/>
  <c r="AB1680" i="7"/>
  <c r="AA1680" i="7"/>
  <c r="Z1680" i="7"/>
  <c r="Y1680" i="7"/>
  <c r="Z1679" i="7" s="1"/>
  <c r="AB1679" i="7"/>
  <c r="AA1679" i="7"/>
  <c r="Y1679" i="7"/>
  <c r="AB1678" i="7"/>
  <c r="AA1678" i="7"/>
  <c r="Z1678" i="7"/>
  <c r="Y1678" i="7"/>
  <c r="Z1677" i="7" s="1"/>
  <c r="AB1677" i="7"/>
  <c r="AA1677" i="7"/>
  <c r="Y1677" i="7"/>
  <c r="Z1676" i="7" s="1"/>
  <c r="AB1676" i="7"/>
  <c r="AA1676" i="7"/>
  <c r="Y1676" i="7"/>
  <c r="Z1675" i="7" s="1"/>
  <c r="AB1675" i="7"/>
  <c r="AA1675" i="7"/>
  <c r="Y1675" i="7"/>
  <c r="Z1674" i="7" s="1"/>
  <c r="AB1674" i="7"/>
  <c r="AA1674" i="7"/>
  <c r="Y1674" i="7"/>
  <c r="Z1673" i="7" s="1"/>
  <c r="AB1673" i="7"/>
  <c r="AA1673" i="7"/>
  <c r="Y1673" i="7"/>
  <c r="Z1672" i="7" s="1"/>
  <c r="AB1672" i="7"/>
  <c r="AA1672" i="7"/>
  <c r="Y1672" i="7"/>
  <c r="Z1671" i="7" s="1"/>
  <c r="AB1671" i="7"/>
  <c r="AA1671" i="7"/>
  <c r="Y1671" i="7"/>
  <c r="Z1670" i="7" s="1"/>
  <c r="AB1670" i="7"/>
  <c r="AA1670" i="7"/>
  <c r="Y1670" i="7"/>
  <c r="Z1669" i="7" s="1"/>
  <c r="AB1669" i="7"/>
  <c r="AA1669" i="7"/>
  <c r="Y1669" i="7"/>
  <c r="Z1668" i="7" s="1"/>
  <c r="AB1668" i="7"/>
  <c r="AA1668" i="7"/>
  <c r="Y1668" i="7"/>
  <c r="Z1667" i="7" s="1"/>
  <c r="AB1667" i="7"/>
  <c r="AA1667" i="7"/>
  <c r="Y1667" i="7"/>
  <c r="Z1666" i="7" s="1"/>
  <c r="AB1666" i="7"/>
  <c r="AA1666" i="7"/>
  <c r="Y1666" i="7"/>
  <c r="Z1665" i="7" s="1"/>
  <c r="AB1665" i="7"/>
  <c r="AA1665" i="7"/>
  <c r="Y1665" i="7"/>
  <c r="Z1664" i="7" s="1"/>
  <c r="AB1664" i="7"/>
  <c r="AA1664" i="7"/>
  <c r="Y1664" i="7"/>
  <c r="Z1663" i="7" s="1"/>
  <c r="AB1663" i="7"/>
  <c r="AA1663" i="7"/>
  <c r="Y1663" i="7"/>
  <c r="Z1662" i="7" s="1"/>
  <c r="AB1662" i="7"/>
  <c r="AA1662" i="7"/>
  <c r="Y1662" i="7"/>
  <c r="Z1661" i="7" s="1"/>
  <c r="AB1661" i="7"/>
  <c r="AA1661" i="7"/>
  <c r="Y1661" i="7"/>
  <c r="Z1660" i="7" s="1"/>
  <c r="AB1660" i="7"/>
  <c r="AA1660" i="7"/>
  <c r="Y1660" i="7"/>
  <c r="Z1659" i="7" s="1"/>
  <c r="AB1659" i="7"/>
  <c r="AA1659" i="7"/>
  <c r="Y1659" i="7"/>
  <c r="Z1658" i="7" s="1"/>
  <c r="AB1658" i="7"/>
  <c r="AA1658" i="7"/>
  <c r="Y1658" i="7"/>
  <c r="Z1657" i="7" s="1"/>
  <c r="AB1657" i="7"/>
  <c r="AA1657" i="7"/>
  <c r="Y1657" i="7"/>
  <c r="Z1656" i="7" s="1"/>
  <c r="AB1656" i="7"/>
  <c r="AA1656" i="7"/>
  <c r="Y1656" i="7"/>
  <c r="Z1655" i="7" s="1"/>
  <c r="AB1655" i="7"/>
  <c r="AA1655" i="7"/>
  <c r="Y1655" i="7"/>
  <c r="Z1654" i="7" s="1"/>
  <c r="AB1654" i="7"/>
  <c r="AA1654" i="7"/>
  <c r="Y1654" i="7"/>
  <c r="Z1653" i="7" s="1"/>
  <c r="AB1653" i="7"/>
  <c r="AA1653" i="7"/>
  <c r="Y1653" i="7"/>
  <c r="Z1652" i="7" s="1"/>
  <c r="AB1652" i="7"/>
  <c r="AA1652" i="7"/>
  <c r="Y1652" i="7"/>
  <c r="Z1651" i="7" s="1"/>
  <c r="AB1651" i="7"/>
  <c r="AA1651" i="7"/>
  <c r="Y1651" i="7"/>
  <c r="Z1650" i="7" s="1"/>
  <c r="AB1650" i="7"/>
  <c r="AA1650" i="7"/>
  <c r="Y1650" i="7"/>
  <c r="Z1649" i="7" s="1"/>
  <c r="AB1649" i="7"/>
  <c r="AA1649" i="7"/>
  <c r="Y1649" i="7"/>
  <c r="Z1648" i="7" s="1"/>
  <c r="AB1648" i="7"/>
  <c r="AA1648" i="7"/>
  <c r="Y1648" i="7"/>
  <c r="Z1647" i="7" s="1"/>
  <c r="AB1647" i="7"/>
  <c r="AA1647" i="7"/>
  <c r="Y1647" i="7"/>
  <c r="Z1646" i="7" s="1"/>
  <c r="AB1646" i="7"/>
  <c r="AA1646" i="7"/>
  <c r="Y1646" i="7"/>
  <c r="Z1645" i="7" s="1"/>
  <c r="AB1645" i="7"/>
  <c r="AA1645" i="7"/>
  <c r="Y1645" i="7"/>
  <c r="Z1644" i="7" s="1"/>
  <c r="AB1644" i="7"/>
  <c r="AA1644" i="7"/>
  <c r="Y1644" i="7"/>
  <c r="Z1643" i="7" s="1"/>
  <c r="AB1643" i="7"/>
  <c r="AA1643" i="7"/>
  <c r="Y1643" i="7"/>
  <c r="Z1642" i="7" s="1"/>
  <c r="AB1642" i="7"/>
  <c r="AA1642" i="7"/>
  <c r="Y1642" i="7"/>
  <c r="Z1641" i="7" s="1"/>
  <c r="AB1641" i="7"/>
  <c r="AA1641" i="7"/>
  <c r="Y1641" i="7"/>
  <c r="Z1640" i="7" s="1"/>
  <c r="AB1640" i="7"/>
  <c r="AA1640" i="7"/>
  <c r="Y1640" i="7"/>
  <c r="Z1639" i="7" s="1"/>
  <c r="AB1639" i="7"/>
  <c r="AA1639" i="7"/>
  <c r="Y1639" i="7"/>
  <c r="Z1638" i="7" s="1"/>
  <c r="AB1638" i="7"/>
  <c r="AA1638" i="7"/>
  <c r="Y1638" i="7"/>
  <c r="Z1637" i="7" s="1"/>
  <c r="AB1637" i="7"/>
  <c r="AA1637" i="7"/>
  <c r="Y1637" i="7"/>
  <c r="Z1636" i="7" s="1"/>
  <c r="AB1636" i="7"/>
  <c r="AA1636" i="7"/>
  <c r="Y1636" i="7"/>
  <c r="Z1635" i="7" s="1"/>
  <c r="AB1635" i="7"/>
  <c r="AA1635" i="7"/>
  <c r="Y1635" i="7"/>
  <c r="Z1634" i="7" s="1"/>
  <c r="AB1634" i="7"/>
  <c r="AA1634" i="7"/>
  <c r="Y1634" i="7"/>
  <c r="Z1633" i="7" s="1"/>
  <c r="AB1633" i="7"/>
  <c r="AA1633" i="7"/>
  <c r="Y1633" i="7"/>
  <c r="Z1632" i="7" s="1"/>
  <c r="AB1632" i="7"/>
  <c r="AA1632" i="7"/>
  <c r="Y1632" i="7"/>
  <c r="Z1631" i="7" s="1"/>
  <c r="AB1631" i="7"/>
  <c r="AA1631" i="7"/>
  <c r="Y1631" i="7"/>
  <c r="Z1630" i="7" s="1"/>
  <c r="AB1630" i="7"/>
  <c r="AA1630" i="7"/>
  <c r="Y1630" i="7"/>
  <c r="Z1629" i="7" s="1"/>
  <c r="AB1629" i="7"/>
  <c r="AA1629" i="7"/>
  <c r="Y1629" i="7"/>
  <c r="Z1628" i="7" s="1"/>
  <c r="AB1628" i="7"/>
  <c r="AA1628" i="7"/>
  <c r="Y1628" i="7"/>
  <c r="Z1627" i="7" s="1"/>
  <c r="AB1627" i="7"/>
  <c r="AA1627" i="7"/>
  <c r="Y1627" i="7"/>
  <c r="Z1626" i="7" s="1"/>
  <c r="AB1626" i="7"/>
  <c r="AA1626" i="7"/>
  <c r="Y1626" i="7"/>
  <c r="Z1625" i="7" s="1"/>
  <c r="AB1625" i="7"/>
  <c r="AA1625" i="7"/>
  <c r="Y1625" i="7"/>
  <c r="Z1624" i="7" s="1"/>
  <c r="AB1624" i="7"/>
  <c r="AA1624" i="7"/>
  <c r="Y1624" i="7"/>
  <c r="Z1623" i="7" s="1"/>
  <c r="AB1623" i="7"/>
  <c r="AA1623" i="7"/>
  <c r="Y1623" i="7"/>
  <c r="Z1622" i="7" s="1"/>
  <c r="AB1622" i="7"/>
  <c r="AA1622" i="7"/>
  <c r="Y1622" i="7"/>
  <c r="Z1621" i="7" s="1"/>
  <c r="AB1621" i="7"/>
  <c r="AA1621" i="7"/>
  <c r="Y1621" i="7"/>
  <c r="Z1620" i="7" s="1"/>
  <c r="AB1620" i="7"/>
  <c r="AA1620" i="7"/>
  <c r="Y1620" i="7"/>
  <c r="Z1619" i="7" s="1"/>
  <c r="AB1619" i="7"/>
  <c r="AA1619" i="7"/>
  <c r="Y1619" i="7"/>
  <c r="Z1618" i="7" s="1"/>
  <c r="AB1618" i="7"/>
  <c r="AA1618" i="7"/>
  <c r="Y1618" i="7"/>
  <c r="Z1617" i="7" s="1"/>
  <c r="AB1617" i="7"/>
  <c r="AA1617" i="7"/>
  <c r="Y1617" i="7"/>
  <c r="Z1616" i="7" s="1"/>
  <c r="AB1616" i="7"/>
  <c r="AA1616" i="7"/>
  <c r="Y1616" i="7"/>
  <c r="Z1615" i="7" s="1"/>
  <c r="AB1615" i="7"/>
  <c r="AA1615" i="7"/>
  <c r="Y1615" i="7"/>
  <c r="Z1614" i="7" s="1"/>
  <c r="AB1614" i="7"/>
  <c r="AA1614" i="7"/>
  <c r="Y1614" i="7"/>
  <c r="Z1613" i="7" s="1"/>
  <c r="AB1613" i="7"/>
  <c r="AA1613" i="7"/>
  <c r="Y1613" i="7"/>
  <c r="Z1612" i="7" s="1"/>
  <c r="AB1612" i="7"/>
  <c r="AA1612" i="7"/>
  <c r="Y1612" i="7"/>
  <c r="Z1611" i="7" s="1"/>
  <c r="AB1611" i="7"/>
  <c r="AA1611" i="7"/>
  <c r="Y1611" i="7"/>
  <c r="Z1610" i="7" s="1"/>
  <c r="AB1610" i="7"/>
  <c r="AA1610" i="7"/>
  <c r="Y1610" i="7"/>
  <c r="Z1609" i="7" s="1"/>
  <c r="AB1609" i="7"/>
  <c r="AA1609" i="7"/>
  <c r="Y1609" i="7"/>
  <c r="Z1608" i="7" s="1"/>
  <c r="AB1608" i="7"/>
  <c r="AA1608" i="7"/>
  <c r="Y1608" i="7"/>
  <c r="Z1607" i="7" s="1"/>
  <c r="AB1607" i="7"/>
  <c r="AA1607" i="7"/>
  <c r="Y1607" i="7"/>
  <c r="Z1606" i="7" s="1"/>
  <c r="AB1606" i="7"/>
  <c r="AA1606" i="7"/>
  <c r="Y1606" i="7"/>
  <c r="Z1605" i="7" s="1"/>
  <c r="AB1605" i="7"/>
  <c r="AA1605" i="7"/>
  <c r="Y1605" i="7"/>
  <c r="Z1604" i="7" s="1"/>
  <c r="AB1604" i="7"/>
  <c r="AA1604" i="7"/>
  <c r="Y1604" i="7"/>
  <c r="Z1603" i="7" s="1"/>
  <c r="AB1603" i="7"/>
  <c r="AA1603" i="7"/>
  <c r="Y1603" i="7"/>
  <c r="Z1602" i="7" s="1"/>
  <c r="AB1602" i="7"/>
  <c r="AA1602" i="7"/>
  <c r="Y1602" i="7"/>
  <c r="Z1601" i="7" s="1"/>
  <c r="AB1601" i="7"/>
  <c r="AA1601" i="7"/>
  <c r="Y1601" i="7"/>
  <c r="Z1600" i="7" s="1"/>
  <c r="AB1600" i="7"/>
  <c r="AA1600" i="7"/>
  <c r="Y1600" i="7"/>
  <c r="Z1599" i="7" s="1"/>
  <c r="AB1599" i="7"/>
  <c r="AA1599" i="7"/>
  <c r="Y1599" i="7"/>
  <c r="Z1598" i="7" s="1"/>
  <c r="AB1598" i="7"/>
  <c r="AA1598" i="7"/>
  <c r="Y1598" i="7"/>
  <c r="Z1597" i="7" s="1"/>
  <c r="AB1597" i="7"/>
  <c r="AA1597" i="7"/>
  <c r="Y1597" i="7"/>
  <c r="Z1596" i="7" s="1"/>
  <c r="AB1596" i="7"/>
  <c r="AA1596" i="7"/>
  <c r="Y1596" i="7"/>
  <c r="Z1595" i="7" s="1"/>
  <c r="AB1595" i="7"/>
  <c r="AA1595" i="7"/>
  <c r="Y1595" i="7"/>
  <c r="Z1594" i="7" s="1"/>
  <c r="AB1594" i="7"/>
  <c r="AA1594" i="7"/>
  <c r="Y1594" i="7"/>
  <c r="Z1593" i="7" s="1"/>
  <c r="AB1593" i="7"/>
  <c r="AA1593" i="7"/>
  <c r="Y1593" i="7"/>
  <c r="Z1592" i="7" s="1"/>
  <c r="AB1592" i="7"/>
  <c r="AA1592" i="7"/>
  <c r="Y1592" i="7"/>
  <c r="Z1591" i="7" s="1"/>
  <c r="AB1591" i="7"/>
  <c r="AA1591" i="7"/>
  <c r="Y1591" i="7"/>
  <c r="Z1590" i="7" s="1"/>
  <c r="AB1590" i="7"/>
  <c r="AA1590" i="7"/>
  <c r="Y1590" i="7"/>
  <c r="Z1589" i="7" s="1"/>
  <c r="AB1589" i="7"/>
  <c r="AA1589" i="7"/>
  <c r="Y1589" i="7"/>
  <c r="Z1588" i="7" s="1"/>
  <c r="AB1588" i="7"/>
  <c r="AA1588" i="7"/>
  <c r="Y1588" i="7"/>
  <c r="Z1587" i="7" s="1"/>
  <c r="AB1587" i="7"/>
  <c r="AA1587" i="7"/>
  <c r="Y1587" i="7"/>
  <c r="Z1586" i="7" s="1"/>
  <c r="AB1586" i="7"/>
  <c r="AA1586" i="7"/>
  <c r="Y1586" i="7"/>
  <c r="Z1585" i="7" s="1"/>
  <c r="AB1585" i="7"/>
  <c r="AA1585" i="7"/>
  <c r="Y1585" i="7"/>
  <c r="Z1584" i="7" s="1"/>
  <c r="AB1584" i="7"/>
  <c r="AA1584" i="7"/>
  <c r="Y1584" i="7"/>
  <c r="Z1583" i="7" s="1"/>
  <c r="AB1583" i="7"/>
  <c r="AA1583" i="7"/>
  <c r="Y1583" i="7"/>
  <c r="Z1582" i="7" s="1"/>
  <c r="AB1582" i="7"/>
  <c r="AA1582" i="7"/>
  <c r="Y1582" i="7"/>
  <c r="Z1581" i="7" s="1"/>
  <c r="AB1581" i="7"/>
  <c r="AA1581" i="7"/>
  <c r="Y1581" i="7"/>
  <c r="Z1580" i="7" s="1"/>
  <c r="AB1580" i="7"/>
  <c r="AA1580" i="7"/>
  <c r="Y1580" i="7"/>
  <c r="Z1579" i="7" s="1"/>
  <c r="AB1579" i="7"/>
  <c r="AA1579" i="7"/>
  <c r="Y1579" i="7"/>
  <c r="Z1578" i="7" s="1"/>
  <c r="AB1578" i="7"/>
  <c r="AA1578" i="7"/>
  <c r="Y1578" i="7"/>
  <c r="Z1577" i="7" s="1"/>
  <c r="AB1577" i="7"/>
  <c r="AA1577" i="7"/>
  <c r="Y1577" i="7"/>
  <c r="Z1576" i="7" s="1"/>
  <c r="AB1576" i="7"/>
  <c r="AA1576" i="7"/>
  <c r="Y1576" i="7"/>
  <c r="AB1575" i="7"/>
  <c r="AA1575" i="7"/>
  <c r="Z1575" i="7"/>
  <c r="Y1575" i="7"/>
  <c r="Z1574" i="7" s="1"/>
  <c r="AB1574" i="7"/>
  <c r="AA1574" i="7"/>
  <c r="Y1574" i="7"/>
  <c r="Z1573" i="7" s="1"/>
  <c r="AB1573" i="7"/>
  <c r="AA1573" i="7"/>
  <c r="Y1573" i="7"/>
  <c r="Z1572" i="7" s="1"/>
  <c r="AB1572" i="7"/>
  <c r="AA1572" i="7"/>
  <c r="Y1572" i="7"/>
  <c r="Z1571" i="7" s="1"/>
  <c r="AB1571" i="7"/>
  <c r="AA1571" i="7"/>
  <c r="Y1571" i="7"/>
  <c r="Z1570" i="7" s="1"/>
  <c r="AB1570" i="7"/>
  <c r="AA1570" i="7"/>
  <c r="Y1570" i="7"/>
  <c r="Z1569" i="7" s="1"/>
  <c r="AB1569" i="7"/>
  <c r="AA1569" i="7"/>
  <c r="Y1569" i="7"/>
  <c r="Z1568" i="7" s="1"/>
  <c r="AB1568" i="7"/>
  <c r="AA1568" i="7"/>
  <c r="Y1568" i="7"/>
  <c r="AB1567" i="7"/>
  <c r="AA1567" i="7"/>
  <c r="Z1567" i="7"/>
  <c r="Y1567" i="7"/>
  <c r="Z1566" i="7" s="1"/>
  <c r="AB1566" i="7"/>
  <c r="AA1566" i="7"/>
  <c r="Y1566" i="7"/>
  <c r="Z1565" i="7" s="1"/>
  <c r="AB1565" i="7"/>
  <c r="AA1565" i="7"/>
  <c r="Y1565" i="7"/>
  <c r="Z1564" i="7" s="1"/>
  <c r="AB1564" i="7"/>
  <c r="AA1564" i="7"/>
  <c r="Y1564" i="7"/>
  <c r="AB1563" i="7"/>
  <c r="AA1563" i="7"/>
  <c r="Z1563" i="7"/>
  <c r="Y1563" i="7"/>
  <c r="Z1562" i="7" s="1"/>
  <c r="AB1562" i="7"/>
  <c r="AA1562" i="7"/>
  <c r="Y1562" i="7"/>
  <c r="Z1561" i="7" s="1"/>
  <c r="AB1561" i="7"/>
  <c r="AA1561" i="7"/>
  <c r="Y1561" i="7"/>
  <c r="Z1560" i="7" s="1"/>
  <c r="AB1560" i="7"/>
  <c r="AA1560" i="7"/>
  <c r="Y1560" i="7"/>
  <c r="Z1559" i="7" s="1"/>
  <c r="AB1559" i="7"/>
  <c r="AA1559" i="7"/>
  <c r="Y1559" i="7"/>
  <c r="Z1558" i="7" s="1"/>
  <c r="AB1558" i="7"/>
  <c r="AA1558" i="7"/>
  <c r="Y1558" i="7"/>
  <c r="AB1557" i="7"/>
  <c r="AA1557" i="7"/>
  <c r="Z1557" i="7"/>
  <c r="Y1557" i="7"/>
  <c r="Z1556" i="7" s="1"/>
  <c r="AB1556" i="7"/>
  <c r="AA1556" i="7"/>
  <c r="Y1556" i="7"/>
  <c r="Z1555" i="7" s="1"/>
  <c r="AB1555" i="7"/>
  <c r="AA1555" i="7"/>
  <c r="Y1555" i="7"/>
  <c r="Z1554" i="7" s="1"/>
  <c r="AB1554" i="7"/>
  <c r="AA1554" i="7"/>
  <c r="Y1554" i="7"/>
  <c r="Z1553" i="7" s="1"/>
  <c r="AB1553" i="7"/>
  <c r="AA1553" i="7"/>
  <c r="Y1553" i="7"/>
  <c r="Z1552" i="7" s="1"/>
  <c r="AB1552" i="7"/>
  <c r="AA1552" i="7"/>
  <c r="Y1552" i="7"/>
  <c r="Z1551" i="7" s="1"/>
  <c r="AB1551" i="7"/>
  <c r="AA1551" i="7"/>
  <c r="Y1551" i="7"/>
  <c r="Z1550" i="7" s="1"/>
  <c r="AB1550" i="7"/>
  <c r="AA1550" i="7"/>
  <c r="Y1550" i="7"/>
  <c r="Z1549" i="7" s="1"/>
  <c r="AB1549" i="7"/>
  <c r="AA1549" i="7"/>
  <c r="Y1549" i="7"/>
  <c r="Z1548" i="7" s="1"/>
  <c r="AB1548" i="7"/>
  <c r="AA1548" i="7"/>
  <c r="Y1548" i="7"/>
  <c r="Z1547" i="7" s="1"/>
  <c r="AB1547" i="7"/>
  <c r="AA1547" i="7"/>
  <c r="Y1547" i="7"/>
  <c r="Z1546" i="7" s="1"/>
  <c r="AB1546" i="7"/>
  <c r="AA1546" i="7"/>
  <c r="Y1546" i="7"/>
  <c r="Z1545" i="7" s="1"/>
  <c r="AB1545" i="7"/>
  <c r="AA1545" i="7"/>
  <c r="Y1545" i="7"/>
  <c r="Z1544" i="7" s="1"/>
  <c r="AB1544" i="7"/>
  <c r="AA1544" i="7"/>
  <c r="Y1544" i="7"/>
  <c r="Z1543" i="7" s="1"/>
  <c r="AB1543" i="7"/>
  <c r="AA1543" i="7"/>
  <c r="Y1543" i="7"/>
  <c r="Z1542" i="7" s="1"/>
  <c r="AB1542" i="7"/>
  <c r="AA1542" i="7"/>
  <c r="Y1542" i="7"/>
  <c r="Z1541" i="7" s="1"/>
  <c r="AB1541" i="7"/>
  <c r="AA1541" i="7"/>
  <c r="Y1541" i="7"/>
  <c r="Z1540" i="7" s="1"/>
  <c r="AB1540" i="7"/>
  <c r="AA1540" i="7"/>
  <c r="Y1540" i="7"/>
  <c r="Z1539" i="7" s="1"/>
  <c r="AB1539" i="7"/>
  <c r="AA1539" i="7"/>
  <c r="Y1539" i="7"/>
  <c r="Z1538" i="7" s="1"/>
  <c r="AB1538" i="7"/>
  <c r="AA1538" i="7"/>
  <c r="Y1538" i="7"/>
  <c r="AB1537" i="7"/>
  <c r="AA1537" i="7"/>
  <c r="Z1537" i="7"/>
  <c r="Y1537" i="7"/>
  <c r="Z1536" i="7" s="1"/>
  <c r="AB1536" i="7"/>
  <c r="AA1536" i="7"/>
  <c r="Y1536" i="7"/>
  <c r="Z1535" i="7" s="1"/>
  <c r="AB1535" i="7"/>
  <c r="AA1535" i="7"/>
  <c r="Y1535" i="7"/>
  <c r="Z1534" i="7" s="1"/>
  <c r="AB1534" i="7"/>
  <c r="AA1534" i="7"/>
  <c r="Y1534" i="7"/>
  <c r="AB1533" i="7"/>
  <c r="AA1533" i="7"/>
  <c r="Z1533" i="7"/>
  <c r="Y1533" i="7"/>
  <c r="Z1532" i="7" s="1"/>
  <c r="AB1532" i="7"/>
  <c r="AA1532" i="7"/>
  <c r="Y1532" i="7"/>
  <c r="AB1531" i="7"/>
  <c r="AA1531" i="7"/>
  <c r="Z1531" i="7"/>
  <c r="Y1531" i="7"/>
  <c r="Z1530" i="7" s="1"/>
  <c r="AB1530" i="7"/>
  <c r="AA1530" i="7"/>
  <c r="Y1530" i="7"/>
  <c r="Z1529" i="7" s="1"/>
  <c r="AB1529" i="7"/>
  <c r="AA1529" i="7"/>
  <c r="Y1529" i="7"/>
  <c r="Z1528" i="7" s="1"/>
  <c r="AB1528" i="7"/>
  <c r="AA1528" i="7"/>
  <c r="Y1528" i="7"/>
  <c r="Z1527" i="7" s="1"/>
  <c r="AB1527" i="7"/>
  <c r="AA1527" i="7"/>
  <c r="Y1527" i="7"/>
  <c r="Z1526" i="7" s="1"/>
  <c r="AB1526" i="7"/>
  <c r="AA1526" i="7"/>
  <c r="Y1526" i="7"/>
  <c r="Z1525" i="7" s="1"/>
  <c r="AB1525" i="7"/>
  <c r="AA1525" i="7"/>
  <c r="Y1525" i="7"/>
  <c r="Z1524" i="7" s="1"/>
  <c r="AB1524" i="7"/>
  <c r="AA1524" i="7"/>
  <c r="Y1524" i="7"/>
  <c r="Z1523" i="7" s="1"/>
  <c r="AB1523" i="7"/>
  <c r="AA1523" i="7"/>
  <c r="Y1523" i="7"/>
  <c r="Z1522" i="7" s="1"/>
  <c r="AB1522" i="7"/>
  <c r="AA1522" i="7"/>
  <c r="Y1522" i="7"/>
  <c r="Z1521" i="7" s="1"/>
  <c r="AB1521" i="7"/>
  <c r="AA1521" i="7"/>
  <c r="Y1521" i="7"/>
  <c r="Z1520" i="7" s="1"/>
  <c r="AB1520" i="7"/>
  <c r="AA1520" i="7"/>
  <c r="Y1520" i="7"/>
  <c r="Z1519" i="7" s="1"/>
  <c r="AB1519" i="7"/>
  <c r="AA1519" i="7"/>
  <c r="Y1519" i="7"/>
  <c r="Z1518" i="7" s="1"/>
  <c r="AB1518" i="7"/>
  <c r="AA1518" i="7"/>
  <c r="Y1518" i="7"/>
  <c r="Z1517" i="7" s="1"/>
  <c r="AB1517" i="7"/>
  <c r="AA1517" i="7"/>
  <c r="Y1517" i="7"/>
  <c r="Z1516" i="7" s="1"/>
  <c r="AB1516" i="7"/>
  <c r="AA1516" i="7"/>
  <c r="Y1516" i="7"/>
  <c r="AB1515" i="7"/>
  <c r="AA1515" i="7"/>
  <c r="Z1515" i="7"/>
  <c r="Y1515" i="7"/>
  <c r="Z1514" i="7" s="1"/>
  <c r="AB1514" i="7"/>
  <c r="AA1514" i="7"/>
  <c r="Y1514" i="7"/>
  <c r="AB1513" i="7"/>
  <c r="AA1513" i="7"/>
  <c r="Z1513" i="7"/>
  <c r="Y1513" i="7"/>
  <c r="Z1512" i="7" s="1"/>
  <c r="AB1512" i="7"/>
  <c r="AA1512" i="7"/>
  <c r="Y1512" i="7"/>
  <c r="Z1511" i="7" s="1"/>
  <c r="AB1511" i="7"/>
  <c r="AA1511" i="7"/>
  <c r="Y1511" i="7"/>
  <c r="Z1510" i="7" s="1"/>
  <c r="AB1510" i="7"/>
  <c r="AA1510" i="7"/>
  <c r="Y1510" i="7"/>
  <c r="Z1509" i="7" s="1"/>
  <c r="AB1509" i="7"/>
  <c r="AA1509" i="7"/>
  <c r="Y1509" i="7"/>
  <c r="Z1508" i="7" s="1"/>
  <c r="AB1508" i="7"/>
  <c r="AA1508" i="7"/>
  <c r="Y1508" i="7"/>
  <c r="Z1507" i="7" s="1"/>
  <c r="AB1507" i="7"/>
  <c r="AA1507" i="7"/>
  <c r="Y1507" i="7"/>
  <c r="Z1506" i="7" s="1"/>
  <c r="AB1506" i="7"/>
  <c r="AA1506" i="7"/>
  <c r="Y1506" i="7"/>
  <c r="AB1505" i="7"/>
  <c r="AA1505" i="7"/>
  <c r="Z1505" i="7"/>
  <c r="Y1505" i="7"/>
  <c r="Z1504" i="7" s="1"/>
  <c r="AB1504" i="7"/>
  <c r="AA1504" i="7"/>
  <c r="Y1504" i="7"/>
  <c r="AB1503" i="7"/>
  <c r="AA1503" i="7"/>
  <c r="Z1503" i="7"/>
  <c r="Y1503" i="7"/>
  <c r="Z1502" i="7" s="1"/>
  <c r="AB1502" i="7"/>
  <c r="AA1502" i="7"/>
  <c r="Y1502" i="7"/>
  <c r="AB1501" i="7"/>
  <c r="AA1501" i="7"/>
  <c r="Z1501" i="7"/>
  <c r="Y1501" i="7"/>
  <c r="Z1500" i="7" s="1"/>
  <c r="AB1500" i="7"/>
  <c r="AA1500" i="7"/>
  <c r="Y1500" i="7"/>
  <c r="Z1499" i="7" s="1"/>
  <c r="AB1499" i="7"/>
  <c r="AA1499" i="7"/>
  <c r="Y1499" i="7"/>
  <c r="Z1498" i="7" s="1"/>
  <c r="AB1498" i="7"/>
  <c r="AA1498" i="7"/>
  <c r="Y1498" i="7"/>
  <c r="Z1497" i="7" s="1"/>
  <c r="AB1497" i="7"/>
  <c r="AA1497" i="7"/>
  <c r="Y1497" i="7"/>
  <c r="Z1496" i="7" s="1"/>
  <c r="AB1496" i="7"/>
  <c r="AA1496" i="7"/>
  <c r="Y1496" i="7"/>
  <c r="Z1495" i="7" s="1"/>
  <c r="AB1495" i="7"/>
  <c r="AA1495" i="7"/>
  <c r="Y1495" i="7"/>
  <c r="Z1494" i="7" s="1"/>
  <c r="AB1494" i="7"/>
  <c r="AA1494" i="7"/>
  <c r="Y1494" i="7"/>
  <c r="Z1493" i="7" s="1"/>
  <c r="AB1493" i="7"/>
  <c r="AA1493" i="7"/>
  <c r="Y1493" i="7"/>
  <c r="Z1492" i="7" s="1"/>
  <c r="AB1492" i="7"/>
  <c r="AA1492" i="7"/>
  <c r="Y1492" i="7"/>
  <c r="Z1491" i="7" s="1"/>
  <c r="AB1491" i="7"/>
  <c r="AA1491" i="7"/>
  <c r="Y1491" i="7"/>
  <c r="Z1490" i="7" s="1"/>
  <c r="AB1490" i="7"/>
  <c r="AA1490" i="7"/>
  <c r="Y1490" i="7"/>
  <c r="Z1489" i="7" s="1"/>
  <c r="AB1489" i="7"/>
  <c r="AA1489" i="7"/>
  <c r="Y1489" i="7"/>
  <c r="Z1488" i="7" s="1"/>
  <c r="AB1488" i="7"/>
  <c r="AA1488" i="7"/>
  <c r="Y1488" i="7"/>
  <c r="AB1487" i="7"/>
  <c r="AA1487" i="7"/>
  <c r="Z1487" i="7"/>
  <c r="Y1487" i="7"/>
  <c r="Z1486" i="7" s="1"/>
  <c r="AB1486" i="7"/>
  <c r="AA1486" i="7"/>
  <c r="Y1486" i="7"/>
  <c r="AB1485" i="7"/>
  <c r="AA1485" i="7"/>
  <c r="Z1485" i="7"/>
  <c r="Y1485" i="7"/>
  <c r="Z1484" i="7" s="1"/>
  <c r="AB1484" i="7"/>
  <c r="AA1484" i="7"/>
  <c r="Y1484" i="7"/>
  <c r="Z1483" i="7" s="1"/>
  <c r="AB1483" i="7"/>
  <c r="AA1483" i="7"/>
  <c r="Y1483" i="7"/>
  <c r="Z1482" i="7" s="1"/>
  <c r="AB1482" i="7"/>
  <c r="AA1482" i="7"/>
  <c r="Y1482" i="7"/>
  <c r="Z1481" i="7" s="1"/>
  <c r="AB1481" i="7"/>
  <c r="AA1481" i="7"/>
  <c r="Y1481" i="7"/>
  <c r="Z1480" i="7" s="1"/>
  <c r="AB1480" i="7"/>
  <c r="AA1480" i="7"/>
  <c r="Y1480" i="7"/>
  <c r="Z1479" i="7" s="1"/>
  <c r="AB1479" i="7"/>
  <c r="AA1479" i="7"/>
  <c r="Y1479" i="7"/>
  <c r="Z1478" i="7" s="1"/>
  <c r="AB1478" i="7"/>
  <c r="AA1478" i="7"/>
  <c r="Y1478" i="7"/>
  <c r="Z1477" i="7" s="1"/>
  <c r="AB1477" i="7"/>
  <c r="AA1477" i="7"/>
  <c r="Y1477" i="7"/>
  <c r="Z1476" i="7" s="1"/>
  <c r="AB1476" i="7"/>
  <c r="AA1476" i="7"/>
  <c r="Y1476" i="7"/>
  <c r="Z1475" i="7" s="1"/>
  <c r="AB1475" i="7"/>
  <c r="AA1475" i="7"/>
  <c r="Y1475" i="7"/>
  <c r="Z1474" i="7" s="1"/>
  <c r="AB1474" i="7"/>
  <c r="AA1474" i="7"/>
  <c r="Y1474" i="7"/>
  <c r="Z1473" i="7" s="1"/>
  <c r="AB1473" i="7"/>
  <c r="AA1473" i="7"/>
  <c r="Y1473" i="7"/>
  <c r="Z1472" i="7" s="1"/>
  <c r="AB1472" i="7"/>
  <c r="AA1472" i="7"/>
  <c r="Y1472" i="7"/>
  <c r="Z1471" i="7" s="1"/>
  <c r="AB1471" i="7"/>
  <c r="AA1471" i="7"/>
  <c r="Y1471" i="7"/>
  <c r="Z1470" i="7" s="1"/>
  <c r="AB1470" i="7"/>
  <c r="AA1470" i="7"/>
  <c r="Y1470" i="7"/>
  <c r="AB1469" i="7"/>
  <c r="AA1469" i="7"/>
  <c r="Z1469" i="7"/>
  <c r="Y1469" i="7"/>
  <c r="Z1468" i="7" s="1"/>
  <c r="AB1468" i="7"/>
  <c r="AA1468" i="7"/>
  <c r="Y1468" i="7"/>
  <c r="AB1467" i="7"/>
  <c r="AA1467" i="7"/>
  <c r="Z1467" i="7"/>
  <c r="Y1467" i="7"/>
  <c r="Z1466" i="7" s="1"/>
  <c r="AB1466" i="7"/>
  <c r="AA1466" i="7"/>
  <c r="Y1466" i="7"/>
  <c r="AB1465" i="7"/>
  <c r="AA1465" i="7"/>
  <c r="Z1465" i="7"/>
  <c r="Y1465" i="7"/>
  <c r="Z1464" i="7" s="1"/>
  <c r="AB1464" i="7"/>
  <c r="AA1464" i="7"/>
  <c r="Y1464" i="7"/>
  <c r="Z1463" i="7" s="1"/>
  <c r="AB1463" i="7"/>
  <c r="AA1463" i="7"/>
  <c r="Y1463" i="7"/>
  <c r="Z1462" i="7" s="1"/>
  <c r="AB1462" i="7"/>
  <c r="AA1462" i="7"/>
  <c r="Y1462" i="7"/>
  <c r="Z1461" i="7" s="1"/>
  <c r="AB1461" i="7"/>
  <c r="AA1461" i="7"/>
  <c r="Y1461" i="7"/>
  <c r="Z1460" i="7" s="1"/>
  <c r="AB1460" i="7"/>
  <c r="AA1460" i="7"/>
  <c r="Y1460" i="7"/>
  <c r="Z1459" i="7" s="1"/>
  <c r="AB1459" i="7"/>
  <c r="AA1459" i="7"/>
  <c r="Y1459" i="7"/>
  <c r="Z1458" i="7" s="1"/>
  <c r="AB1458" i="7"/>
  <c r="AA1458" i="7"/>
  <c r="Y1458" i="7"/>
  <c r="AB1457" i="7"/>
  <c r="AA1457" i="7"/>
  <c r="Z1457" i="7"/>
  <c r="Y1457" i="7"/>
  <c r="Z1456" i="7" s="1"/>
  <c r="AB1456" i="7"/>
  <c r="AA1456" i="7"/>
  <c r="Y1456" i="7"/>
  <c r="AB1455" i="7"/>
  <c r="AA1455" i="7"/>
  <c r="Z1455" i="7"/>
  <c r="Y1455" i="7"/>
  <c r="Z1454" i="7" s="1"/>
  <c r="AB1454" i="7"/>
  <c r="AA1454" i="7"/>
  <c r="Y1454" i="7"/>
  <c r="Z1453" i="7" s="1"/>
  <c r="AB1453" i="7"/>
  <c r="AA1453" i="7"/>
  <c r="Y1453" i="7"/>
  <c r="Z1452" i="7" s="1"/>
  <c r="AB1452" i="7"/>
  <c r="AA1452" i="7"/>
  <c r="Y1452" i="7"/>
  <c r="Z1451" i="7" s="1"/>
  <c r="AB1451" i="7"/>
  <c r="AA1451" i="7"/>
  <c r="Y1451" i="7"/>
  <c r="Z1450" i="7" s="1"/>
  <c r="AB1450" i="7"/>
  <c r="AA1450" i="7"/>
  <c r="Y1450" i="7"/>
  <c r="Z1449" i="7" s="1"/>
  <c r="AB1449" i="7"/>
  <c r="AA1449" i="7"/>
  <c r="Y1449" i="7"/>
  <c r="Z1448" i="7" s="1"/>
  <c r="AB1448" i="7"/>
  <c r="AA1448" i="7"/>
  <c r="Y1448" i="7"/>
  <c r="Z1447" i="7" s="1"/>
  <c r="AB1447" i="7"/>
  <c r="AA1447" i="7"/>
  <c r="Y1447" i="7"/>
  <c r="Z1446" i="7" s="1"/>
  <c r="AB1446" i="7"/>
  <c r="AA1446" i="7"/>
  <c r="Y1446" i="7"/>
  <c r="Z1445" i="7" s="1"/>
  <c r="AB1445" i="7"/>
  <c r="AA1445" i="7"/>
  <c r="Y1445" i="7"/>
  <c r="Z1444" i="7" s="1"/>
  <c r="AB1444" i="7"/>
  <c r="AA1444" i="7"/>
  <c r="Y1444" i="7"/>
  <c r="Z1443" i="7" s="1"/>
  <c r="AB1443" i="7"/>
  <c r="AA1443" i="7"/>
  <c r="Y1443" i="7"/>
  <c r="Z1442" i="7" s="1"/>
  <c r="AB1442" i="7"/>
  <c r="AA1442" i="7"/>
  <c r="Y1442" i="7"/>
  <c r="Z1441" i="7" s="1"/>
  <c r="AB1441" i="7"/>
  <c r="AA1441" i="7"/>
  <c r="Y1441" i="7"/>
  <c r="Z1440" i="7" s="1"/>
  <c r="AB1440" i="7"/>
  <c r="AA1440" i="7"/>
  <c r="Y1440" i="7"/>
  <c r="Z1439" i="7" s="1"/>
  <c r="AB1439" i="7"/>
  <c r="AA1439" i="7"/>
  <c r="Y1439" i="7"/>
  <c r="Z1438" i="7" s="1"/>
  <c r="AB1438" i="7"/>
  <c r="AA1438" i="7"/>
  <c r="Y1438" i="7"/>
  <c r="Z1437" i="7" s="1"/>
  <c r="AB1437" i="7"/>
  <c r="AA1437" i="7"/>
  <c r="Y1437" i="7"/>
  <c r="Z1436" i="7" s="1"/>
  <c r="AB1436" i="7"/>
  <c r="AA1436" i="7"/>
  <c r="Y1436" i="7"/>
  <c r="Z1435" i="7" s="1"/>
  <c r="AB1435" i="7"/>
  <c r="AA1435" i="7"/>
  <c r="Y1435" i="7"/>
  <c r="Z1434" i="7" s="1"/>
  <c r="AB1434" i="7"/>
  <c r="AA1434" i="7"/>
  <c r="Y1434" i="7"/>
  <c r="Z1433" i="7" s="1"/>
  <c r="AB1433" i="7"/>
  <c r="AA1433" i="7"/>
  <c r="Y1433" i="7"/>
  <c r="Z1432" i="7" s="1"/>
  <c r="AB1432" i="7"/>
  <c r="AA1432" i="7"/>
  <c r="Y1432" i="7"/>
  <c r="Z1431" i="7" s="1"/>
  <c r="AB1431" i="7"/>
  <c r="AA1431" i="7"/>
  <c r="Y1431" i="7"/>
  <c r="Z1430" i="7" s="1"/>
  <c r="AB1430" i="7"/>
  <c r="AA1430" i="7"/>
  <c r="Y1430" i="7"/>
  <c r="Z1429" i="7" s="1"/>
  <c r="AB1429" i="7"/>
  <c r="AA1429" i="7"/>
  <c r="Y1429" i="7"/>
  <c r="Z1428" i="7" s="1"/>
  <c r="AB1428" i="7"/>
  <c r="AA1428" i="7"/>
  <c r="Y1428" i="7"/>
  <c r="Z1427" i="7" s="1"/>
  <c r="AB1427" i="7"/>
  <c r="AA1427" i="7"/>
  <c r="Y1427" i="7"/>
  <c r="Z1426" i="7" s="1"/>
  <c r="AB1426" i="7"/>
  <c r="AA1426" i="7"/>
  <c r="Y1426" i="7"/>
  <c r="Z1425" i="7" s="1"/>
  <c r="AB1425" i="7"/>
  <c r="AA1425" i="7"/>
  <c r="Y1425" i="7"/>
  <c r="Z1424" i="7" s="1"/>
  <c r="AB1424" i="7"/>
  <c r="AA1424" i="7"/>
  <c r="Y1424" i="7"/>
  <c r="Z1423" i="7" s="1"/>
  <c r="AB1423" i="7"/>
  <c r="AA1423" i="7"/>
  <c r="Y1423" i="7"/>
  <c r="Z1422" i="7" s="1"/>
  <c r="AB1422" i="7"/>
  <c r="AA1422" i="7"/>
  <c r="Y1422" i="7"/>
  <c r="Z1421" i="7" s="1"/>
  <c r="AB1421" i="7"/>
  <c r="AA1421" i="7"/>
  <c r="Y1421" i="7"/>
  <c r="Z1420" i="7" s="1"/>
  <c r="AB1420" i="7"/>
  <c r="AA1420" i="7"/>
  <c r="Y1420" i="7"/>
  <c r="AB1419" i="7"/>
  <c r="AA1419" i="7"/>
  <c r="Z1419" i="7"/>
  <c r="Y1419" i="7"/>
  <c r="Z1418" i="7" s="1"/>
  <c r="AB1418" i="7"/>
  <c r="AA1418" i="7"/>
  <c r="Y1418" i="7"/>
  <c r="Z1417" i="7" s="1"/>
  <c r="AB1417" i="7"/>
  <c r="AA1417" i="7"/>
  <c r="Y1417" i="7"/>
  <c r="Z1416" i="7" s="1"/>
  <c r="AB1416" i="7"/>
  <c r="AA1416" i="7"/>
  <c r="Y1416" i="7"/>
  <c r="Z1415" i="7" s="1"/>
  <c r="AB1415" i="7"/>
  <c r="AA1415" i="7"/>
  <c r="Y1415" i="7"/>
  <c r="Z1414" i="7" s="1"/>
  <c r="AB1414" i="7"/>
  <c r="AA1414" i="7"/>
  <c r="Y1414" i="7"/>
  <c r="Z1413" i="7" s="1"/>
  <c r="AB1413" i="7"/>
  <c r="AA1413" i="7"/>
  <c r="Y1413" i="7"/>
  <c r="Z1412" i="7" s="1"/>
  <c r="AB1412" i="7"/>
  <c r="AA1412" i="7"/>
  <c r="Y1412" i="7"/>
  <c r="Z1411" i="7" s="1"/>
  <c r="AB1411" i="7"/>
  <c r="AA1411" i="7"/>
  <c r="Y1411" i="7"/>
  <c r="Z1410" i="7" s="1"/>
  <c r="AB1410" i="7"/>
  <c r="AA1410" i="7"/>
  <c r="Y1410" i="7"/>
  <c r="AB1409" i="7"/>
  <c r="AA1409" i="7"/>
  <c r="Z1409" i="7"/>
  <c r="Y1409" i="7"/>
  <c r="Z1408" i="7" s="1"/>
  <c r="AB1408" i="7"/>
  <c r="AA1408" i="7"/>
  <c r="Y1408" i="7"/>
  <c r="Z1407" i="7" s="1"/>
  <c r="AB1407" i="7"/>
  <c r="AA1407" i="7"/>
  <c r="Y1407" i="7"/>
  <c r="Z1406" i="7" s="1"/>
  <c r="AB1406" i="7"/>
  <c r="AA1406" i="7"/>
  <c r="Y1406" i="7"/>
  <c r="AB1405" i="7"/>
  <c r="AA1405" i="7"/>
  <c r="Z1405" i="7"/>
  <c r="Y1405" i="7"/>
  <c r="Z1404" i="7" s="1"/>
  <c r="AB1404" i="7"/>
  <c r="AA1404" i="7"/>
  <c r="Y1404" i="7"/>
  <c r="Z1403" i="7" s="1"/>
  <c r="AB1403" i="7"/>
  <c r="AA1403" i="7"/>
  <c r="Y1403" i="7"/>
  <c r="Z1402" i="7" s="1"/>
  <c r="AB1402" i="7"/>
  <c r="AA1402" i="7"/>
  <c r="Y1402" i="7"/>
  <c r="Z1401" i="7" s="1"/>
  <c r="AB1401" i="7"/>
  <c r="AA1401" i="7"/>
  <c r="Y1401" i="7"/>
  <c r="Z1400" i="7" s="1"/>
  <c r="AB1400" i="7"/>
  <c r="AA1400" i="7"/>
  <c r="Y1400" i="7"/>
  <c r="Z1399" i="7" s="1"/>
  <c r="AB1399" i="7"/>
  <c r="AA1399" i="7"/>
  <c r="Y1399" i="7"/>
  <c r="Z1398" i="7" s="1"/>
  <c r="AB1398" i="7"/>
  <c r="AA1398" i="7"/>
  <c r="Y1398" i="7"/>
  <c r="AB1397" i="7"/>
  <c r="AA1397" i="7"/>
  <c r="Z1397" i="7"/>
  <c r="Y1397" i="7"/>
  <c r="Z1396" i="7" s="1"/>
  <c r="AB1396" i="7"/>
  <c r="AA1396" i="7"/>
  <c r="Y1396" i="7"/>
  <c r="AB1395" i="7"/>
  <c r="AA1395" i="7"/>
  <c r="Z1395" i="7"/>
  <c r="Y1395" i="7"/>
  <c r="Z1394" i="7" s="1"/>
  <c r="AB1394" i="7"/>
  <c r="AA1394" i="7"/>
  <c r="Y1394" i="7"/>
  <c r="Z1393" i="7" s="1"/>
  <c r="AB1393" i="7"/>
  <c r="AA1393" i="7"/>
  <c r="Y1393" i="7"/>
  <c r="Z1392" i="7" s="1"/>
  <c r="AB1392" i="7"/>
  <c r="AA1392" i="7"/>
  <c r="Y1392" i="7"/>
  <c r="Z1391" i="7" s="1"/>
  <c r="AB1391" i="7"/>
  <c r="AA1391" i="7"/>
  <c r="Y1391" i="7"/>
  <c r="Z1390" i="7" s="1"/>
  <c r="AB1390" i="7"/>
  <c r="AA1390" i="7"/>
  <c r="Y1390" i="7"/>
  <c r="AB1389" i="7"/>
  <c r="AA1389" i="7"/>
  <c r="Z1389" i="7"/>
  <c r="Y1389" i="7"/>
  <c r="Z1388" i="7" s="1"/>
  <c r="AB1388" i="7"/>
  <c r="AA1388" i="7"/>
  <c r="Y1388" i="7"/>
  <c r="Z1387" i="7" s="1"/>
  <c r="AB1387" i="7"/>
  <c r="AA1387" i="7"/>
  <c r="Y1387" i="7"/>
  <c r="Z1386" i="7" s="1"/>
  <c r="AB1386" i="7"/>
  <c r="AA1386" i="7"/>
  <c r="Y1386" i="7"/>
  <c r="Z1385" i="7" s="1"/>
  <c r="AB1385" i="7"/>
  <c r="AA1385" i="7"/>
  <c r="Y1385" i="7"/>
  <c r="Z1384" i="7" s="1"/>
  <c r="AB1384" i="7"/>
  <c r="AA1384" i="7"/>
  <c r="Y1384" i="7"/>
  <c r="Z1383" i="7" s="1"/>
  <c r="AB1383" i="7"/>
  <c r="AA1383" i="7"/>
  <c r="Y1383" i="7"/>
  <c r="Z1382" i="7" s="1"/>
  <c r="AB1382" i="7"/>
  <c r="AA1382" i="7"/>
  <c r="Y1382" i="7"/>
  <c r="Z1381" i="7" s="1"/>
  <c r="AB1381" i="7"/>
  <c r="AA1381" i="7"/>
  <c r="Y1381" i="7"/>
  <c r="Z1380" i="7" s="1"/>
  <c r="AB1380" i="7"/>
  <c r="AA1380" i="7"/>
  <c r="Y1380" i="7"/>
  <c r="Z1379" i="7" s="1"/>
  <c r="AB1379" i="7"/>
  <c r="AA1379" i="7"/>
  <c r="Y1379" i="7"/>
  <c r="Z1378" i="7" s="1"/>
  <c r="AB1378" i="7"/>
  <c r="AA1378" i="7"/>
  <c r="Y1378" i="7"/>
  <c r="Z1377" i="7" s="1"/>
  <c r="AB1377" i="7"/>
  <c r="AA1377" i="7"/>
  <c r="Y1377" i="7"/>
  <c r="Z1376" i="7" s="1"/>
  <c r="AB1376" i="7"/>
  <c r="AA1376" i="7"/>
  <c r="Y1376" i="7"/>
  <c r="Z1375" i="7" s="1"/>
  <c r="AB1375" i="7"/>
  <c r="AA1375" i="7"/>
  <c r="Y1375" i="7"/>
  <c r="AB1374" i="7"/>
  <c r="AA1374" i="7"/>
  <c r="Z1374" i="7"/>
  <c r="Y1374" i="7"/>
  <c r="Z1373" i="7" s="1"/>
  <c r="AB1373" i="7"/>
  <c r="AA1373" i="7"/>
  <c r="Y1373" i="7"/>
  <c r="Z1372" i="7" s="1"/>
  <c r="AB1372" i="7"/>
  <c r="AA1372" i="7"/>
  <c r="Y1372" i="7"/>
  <c r="Z1371" i="7" s="1"/>
  <c r="AB1371" i="7"/>
  <c r="AA1371" i="7"/>
  <c r="Y1371" i="7"/>
  <c r="Z1370" i="7" s="1"/>
  <c r="AB1370" i="7"/>
  <c r="AA1370" i="7"/>
  <c r="Y1370" i="7"/>
  <c r="Z1369" i="7" s="1"/>
  <c r="AB1369" i="7"/>
  <c r="AA1369" i="7"/>
  <c r="Y1369" i="7"/>
  <c r="Z1368" i="7" s="1"/>
  <c r="AB1368" i="7"/>
  <c r="AA1368" i="7"/>
  <c r="Y1368" i="7"/>
  <c r="Z1367" i="7" s="1"/>
  <c r="AB1367" i="7"/>
  <c r="AA1367" i="7"/>
  <c r="Y1367" i="7"/>
  <c r="Z1366" i="7" s="1"/>
  <c r="AB1366" i="7"/>
  <c r="AA1366" i="7"/>
  <c r="Y1366" i="7"/>
  <c r="Z1365" i="7" s="1"/>
  <c r="AB1365" i="7"/>
  <c r="AA1365" i="7"/>
  <c r="Y1365" i="7"/>
  <c r="AB1364" i="7"/>
  <c r="AA1364" i="7"/>
  <c r="Z1364" i="7"/>
  <c r="Y1364" i="7"/>
  <c r="Z1363" i="7" s="1"/>
  <c r="AB1363" i="7"/>
  <c r="AA1363" i="7"/>
  <c r="Y1363" i="7"/>
  <c r="Z1362" i="7" s="1"/>
  <c r="AB1362" i="7"/>
  <c r="AA1362" i="7"/>
  <c r="Y1362" i="7"/>
  <c r="Z1361" i="7" s="1"/>
  <c r="AB1361" i="7"/>
  <c r="AA1361" i="7"/>
  <c r="Y1361" i="7"/>
  <c r="Z1360" i="7" s="1"/>
  <c r="AB1360" i="7"/>
  <c r="AA1360" i="7"/>
  <c r="Y1360" i="7"/>
  <c r="Z1359" i="7" s="1"/>
  <c r="AB1359" i="7"/>
  <c r="AA1359" i="7"/>
  <c r="Y1359" i="7"/>
  <c r="Z1358" i="7" s="1"/>
  <c r="AB1358" i="7"/>
  <c r="AA1358" i="7"/>
  <c r="Y1358" i="7"/>
  <c r="Z1357" i="7" s="1"/>
  <c r="AB1357" i="7"/>
  <c r="AA1357" i="7"/>
  <c r="Y1357" i="7"/>
  <c r="Z1356" i="7" s="1"/>
  <c r="AB1356" i="7"/>
  <c r="AA1356" i="7"/>
  <c r="Y1356" i="7"/>
  <c r="Z1355" i="7" s="1"/>
  <c r="AB1355" i="7"/>
  <c r="AA1355" i="7"/>
  <c r="Y1355" i="7"/>
  <c r="Z1354" i="7" s="1"/>
  <c r="AB1354" i="7"/>
  <c r="AA1354" i="7"/>
  <c r="Y1354" i="7"/>
  <c r="Z1353" i="7" s="1"/>
  <c r="AB1353" i="7"/>
  <c r="AA1353" i="7"/>
  <c r="Y1353" i="7"/>
  <c r="Z1352" i="7" s="1"/>
  <c r="AB1352" i="7"/>
  <c r="AA1352" i="7"/>
  <c r="Y1352" i="7"/>
  <c r="Z1351" i="7" s="1"/>
  <c r="AB1351" i="7"/>
  <c r="AA1351" i="7"/>
  <c r="Y1351" i="7"/>
  <c r="Z1350" i="7" s="1"/>
  <c r="AB1350" i="7"/>
  <c r="AA1350" i="7"/>
  <c r="Y1350" i="7"/>
  <c r="Z1349" i="7" s="1"/>
  <c r="AB1349" i="7"/>
  <c r="AA1349" i="7"/>
  <c r="Y1349" i="7"/>
  <c r="Z1348" i="7" s="1"/>
  <c r="AB1348" i="7"/>
  <c r="AA1348" i="7"/>
  <c r="Y1348" i="7"/>
  <c r="Z1347" i="7" s="1"/>
  <c r="AB1347" i="7"/>
  <c r="AA1347" i="7"/>
  <c r="Y1347" i="7"/>
  <c r="Z1346" i="7" s="1"/>
  <c r="AB1346" i="7"/>
  <c r="AA1346" i="7"/>
  <c r="Y1346" i="7"/>
  <c r="Z1345" i="7" s="1"/>
  <c r="AB1345" i="7"/>
  <c r="AA1345" i="7"/>
  <c r="Y1345" i="7"/>
  <c r="Z1344" i="7" s="1"/>
  <c r="AB1344" i="7"/>
  <c r="AA1344" i="7"/>
  <c r="Y1344" i="7"/>
  <c r="Z1343" i="7" s="1"/>
  <c r="AB1343" i="7"/>
  <c r="AA1343" i="7"/>
  <c r="Y1343" i="7"/>
  <c r="Z1342" i="7" s="1"/>
  <c r="AB1342" i="7"/>
  <c r="AA1342" i="7"/>
  <c r="Y1342" i="7"/>
  <c r="Z1341" i="7" s="1"/>
  <c r="AB1341" i="7"/>
  <c r="AA1341" i="7"/>
  <c r="Y1341" i="7"/>
  <c r="Z1340" i="7" s="1"/>
  <c r="AB1340" i="7"/>
  <c r="AA1340" i="7"/>
  <c r="Y1340" i="7"/>
  <c r="Z1339" i="7" s="1"/>
  <c r="AB1339" i="7"/>
  <c r="AA1339" i="7"/>
  <c r="Y1339" i="7"/>
  <c r="Z1338" i="7" s="1"/>
  <c r="AB1338" i="7"/>
  <c r="AA1338" i="7"/>
  <c r="Y1338" i="7"/>
  <c r="Z1337" i="7" s="1"/>
  <c r="AB1337" i="7"/>
  <c r="AA1337" i="7"/>
  <c r="Y1337" i="7"/>
  <c r="Z1336" i="7" s="1"/>
  <c r="AB1336" i="7"/>
  <c r="AA1336" i="7"/>
  <c r="Y1336" i="7"/>
  <c r="Z1335" i="7" s="1"/>
  <c r="AB1335" i="7"/>
  <c r="AA1335" i="7"/>
  <c r="Y1335" i="7"/>
  <c r="Z1334" i="7" s="1"/>
  <c r="AB1334" i="7"/>
  <c r="AA1334" i="7"/>
  <c r="Y1334" i="7"/>
  <c r="Z1333" i="7" s="1"/>
  <c r="AB1333" i="7"/>
  <c r="AA1333" i="7"/>
  <c r="Y1333" i="7"/>
  <c r="Z1332" i="7" s="1"/>
  <c r="AB1332" i="7"/>
  <c r="AA1332" i="7"/>
  <c r="Y1332" i="7"/>
  <c r="Z1331" i="7" s="1"/>
  <c r="AB1331" i="7"/>
  <c r="AA1331" i="7"/>
  <c r="Y1331" i="7"/>
  <c r="Z1330" i="7" s="1"/>
  <c r="AB1330" i="7"/>
  <c r="AA1330" i="7"/>
  <c r="Y1330" i="7"/>
  <c r="Z1329" i="7" s="1"/>
  <c r="AB1329" i="7"/>
  <c r="AA1329" i="7"/>
  <c r="Y1329" i="7"/>
  <c r="Z1328" i="7" s="1"/>
  <c r="AB1328" i="7"/>
  <c r="AA1328" i="7"/>
  <c r="Y1328" i="7"/>
  <c r="Z1327" i="7" s="1"/>
  <c r="AB1327" i="7"/>
  <c r="AA1327" i="7"/>
  <c r="Y1327" i="7"/>
  <c r="Z1326" i="7" s="1"/>
  <c r="AB1326" i="7"/>
  <c r="AA1326" i="7"/>
  <c r="Y1326" i="7"/>
  <c r="Z1325" i="7" s="1"/>
  <c r="AB1325" i="7"/>
  <c r="AA1325" i="7"/>
  <c r="Y1325" i="7"/>
  <c r="Z1324" i="7" s="1"/>
  <c r="AB1324" i="7"/>
  <c r="AA1324" i="7"/>
  <c r="Y1324" i="7"/>
  <c r="Z1323" i="7" s="1"/>
  <c r="AB1323" i="7"/>
  <c r="AA1323" i="7"/>
  <c r="Y1323" i="7"/>
  <c r="Z1322" i="7" s="1"/>
  <c r="AB1322" i="7"/>
  <c r="AA1322" i="7"/>
  <c r="Y1322" i="7"/>
  <c r="Z1321" i="7" s="1"/>
  <c r="AB1321" i="7"/>
  <c r="AA1321" i="7"/>
  <c r="Y1321" i="7"/>
  <c r="Z1320" i="7" s="1"/>
  <c r="AB1320" i="7"/>
  <c r="AA1320" i="7"/>
  <c r="Y1320" i="7"/>
  <c r="Z1319" i="7" s="1"/>
  <c r="AB1319" i="7"/>
  <c r="AA1319" i="7"/>
  <c r="Y1319" i="7"/>
  <c r="Z1318" i="7" s="1"/>
  <c r="AB1318" i="7"/>
  <c r="AA1318" i="7"/>
  <c r="Y1318" i="7"/>
  <c r="Z1317" i="7" s="1"/>
  <c r="AB1317" i="7"/>
  <c r="AA1317" i="7"/>
  <c r="Y1317" i="7"/>
  <c r="Z1316" i="7" s="1"/>
  <c r="AB1316" i="7"/>
  <c r="AA1316" i="7"/>
  <c r="Y1316" i="7"/>
  <c r="Z1315" i="7" s="1"/>
  <c r="AB1315" i="7"/>
  <c r="AA1315" i="7"/>
  <c r="Y1315" i="7"/>
  <c r="Z1314" i="7" s="1"/>
  <c r="AB1314" i="7"/>
  <c r="AA1314" i="7"/>
  <c r="Y1314" i="7"/>
  <c r="Z1313" i="7" s="1"/>
  <c r="AB1313" i="7"/>
  <c r="AA1313" i="7"/>
  <c r="Y1313" i="7"/>
  <c r="AB1312" i="7"/>
  <c r="AA1312" i="7"/>
  <c r="Z1312" i="7"/>
  <c r="Y1312" i="7"/>
  <c r="Z1311" i="7" s="1"/>
  <c r="AB1311" i="7"/>
  <c r="AA1311" i="7"/>
  <c r="Y1311" i="7"/>
  <c r="Z1310" i="7" s="1"/>
  <c r="AB1310" i="7"/>
  <c r="AA1310" i="7"/>
  <c r="Y1310" i="7"/>
  <c r="Z1309" i="7" s="1"/>
  <c r="AB1309" i="7"/>
  <c r="AA1309" i="7"/>
  <c r="Y1309" i="7"/>
  <c r="Z1308" i="7" s="1"/>
  <c r="AB1308" i="7"/>
  <c r="AA1308" i="7"/>
  <c r="Y1308" i="7"/>
  <c r="Z1307" i="7" s="1"/>
  <c r="AB1307" i="7"/>
  <c r="AA1307" i="7"/>
  <c r="Y1307" i="7"/>
  <c r="Z1306" i="7" s="1"/>
  <c r="AB1306" i="7"/>
  <c r="AA1306" i="7"/>
  <c r="Y1306" i="7"/>
  <c r="Z1305" i="7" s="1"/>
  <c r="AB1305" i="7"/>
  <c r="AA1305" i="7"/>
  <c r="Y1305" i="7"/>
  <c r="Z1304" i="7" s="1"/>
  <c r="AB1304" i="7"/>
  <c r="AA1304" i="7"/>
  <c r="Y1304" i="7"/>
  <c r="Z1303" i="7" s="1"/>
  <c r="AB1303" i="7"/>
  <c r="AA1303" i="7"/>
  <c r="Y1303" i="7"/>
  <c r="Z1302" i="7" s="1"/>
  <c r="AB1302" i="7"/>
  <c r="AA1302" i="7"/>
  <c r="Y1302" i="7"/>
  <c r="Z1301" i="7" s="1"/>
  <c r="AB1301" i="7"/>
  <c r="AA1301" i="7"/>
  <c r="Y1301" i="7"/>
  <c r="AB1300" i="7"/>
  <c r="AA1300" i="7"/>
  <c r="Z1300" i="7"/>
  <c r="Y1300" i="7"/>
  <c r="Z1299" i="7" s="1"/>
  <c r="AB1299" i="7"/>
  <c r="AA1299" i="7"/>
  <c r="Y1299" i="7"/>
  <c r="Z1298" i="7" s="1"/>
  <c r="AB1298" i="7"/>
  <c r="AA1298" i="7"/>
  <c r="Y1298" i="7"/>
  <c r="Z1297" i="7" s="1"/>
  <c r="AB1297" i="7"/>
  <c r="AA1297" i="7"/>
  <c r="Y1297" i="7"/>
  <c r="Z1296" i="7" s="1"/>
  <c r="AB1296" i="7"/>
  <c r="AA1296" i="7"/>
  <c r="Y1296" i="7"/>
  <c r="Z1295" i="7" s="1"/>
  <c r="AB1295" i="7"/>
  <c r="AA1295" i="7"/>
  <c r="Y1295" i="7"/>
  <c r="Z1294" i="7" s="1"/>
  <c r="AB1294" i="7"/>
  <c r="AA1294" i="7"/>
  <c r="Y1294" i="7"/>
  <c r="Z1293" i="7" s="1"/>
  <c r="AB1293" i="7"/>
  <c r="AA1293" i="7"/>
  <c r="Y1293" i="7"/>
  <c r="Z1292" i="7" s="1"/>
  <c r="AB1292" i="7"/>
  <c r="AA1292" i="7"/>
  <c r="Y1292" i="7"/>
  <c r="Z1291" i="7" s="1"/>
  <c r="AB1291" i="7"/>
  <c r="AA1291" i="7"/>
  <c r="Y1291" i="7"/>
  <c r="Z1290" i="7" s="1"/>
  <c r="AB1290" i="7"/>
  <c r="AA1290" i="7"/>
  <c r="Y1290" i="7"/>
  <c r="Z1289" i="7" s="1"/>
  <c r="AB1289" i="7"/>
  <c r="AA1289" i="7"/>
  <c r="Y1289" i="7"/>
  <c r="Z1288" i="7" s="1"/>
  <c r="AB1288" i="7"/>
  <c r="AA1288" i="7"/>
  <c r="Y1288" i="7"/>
  <c r="Z1287" i="7" s="1"/>
  <c r="AB1287" i="7"/>
  <c r="AA1287" i="7"/>
  <c r="Y1287" i="7"/>
  <c r="Z1286" i="7" s="1"/>
  <c r="AB1286" i="7"/>
  <c r="AA1286" i="7"/>
  <c r="Y1286" i="7"/>
  <c r="Z1285" i="7" s="1"/>
  <c r="AB1285" i="7"/>
  <c r="AA1285" i="7"/>
  <c r="Y1285" i="7"/>
  <c r="Z1284" i="7" s="1"/>
  <c r="AB1284" i="7"/>
  <c r="AA1284" i="7"/>
  <c r="Y1284" i="7"/>
  <c r="Z1283" i="7" s="1"/>
  <c r="AB1283" i="7"/>
  <c r="AA1283" i="7"/>
  <c r="Y1283" i="7"/>
  <c r="Z1282" i="7" s="1"/>
  <c r="AB1282" i="7"/>
  <c r="AA1282" i="7"/>
  <c r="Y1282" i="7"/>
  <c r="Z1281" i="7" s="1"/>
  <c r="AB1281" i="7"/>
  <c r="AA1281" i="7"/>
  <c r="Y1281" i="7"/>
  <c r="Z1280" i="7" s="1"/>
  <c r="AB1280" i="7"/>
  <c r="AA1280" i="7"/>
  <c r="Y1280" i="7"/>
  <c r="Z1279" i="7" s="1"/>
  <c r="AB1279" i="7"/>
  <c r="AA1279" i="7"/>
  <c r="Y1279" i="7"/>
  <c r="Z1278" i="7" s="1"/>
  <c r="AB1278" i="7"/>
  <c r="AA1278" i="7"/>
  <c r="Y1278" i="7"/>
  <c r="Z1277" i="7" s="1"/>
  <c r="AB1277" i="7"/>
  <c r="AA1277" i="7"/>
  <c r="Y1277" i="7"/>
  <c r="Z1276" i="7" s="1"/>
  <c r="AB1276" i="7"/>
  <c r="AA1276" i="7"/>
  <c r="Y1276" i="7"/>
  <c r="Z1275" i="7" s="1"/>
  <c r="AB1275" i="7"/>
  <c r="AA1275" i="7"/>
  <c r="Y1275" i="7"/>
  <c r="Z1274" i="7" s="1"/>
  <c r="AB1274" i="7"/>
  <c r="AA1274" i="7"/>
  <c r="Y1274" i="7"/>
  <c r="Z1273" i="7" s="1"/>
  <c r="AB1273" i="7"/>
  <c r="AA1273" i="7"/>
  <c r="Y1273" i="7"/>
  <c r="Z1272" i="7" s="1"/>
  <c r="AB1272" i="7"/>
  <c r="AA1272" i="7"/>
  <c r="Y1272" i="7"/>
  <c r="Z1271" i="7" s="1"/>
  <c r="AB1271" i="7"/>
  <c r="AA1271" i="7"/>
  <c r="Y1271" i="7"/>
  <c r="Z1270" i="7" s="1"/>
  <c r="AB1270" i="7"/>
  <c r="AA1270" i="7"/>
  <c r="Y1270" i="7"/>
  <c r="Z1269" i="7" s="1"/>
  <c r="AB1269" i="7"/>
  <c r="AA1269" i="7"/>
  <c r="Y1269" i="7"/>
  <c r="Z1268" i="7" s="1"/>
  <c r="AB1268" i="7"/>
  <c r="AA1268" i="7"/>
  <c r="Y1268" i="7"/>
  <c r="Z1267" i="7" s="1"/>
  <c r="AB1267" i="7"/>
  <c r="AA1267" i="7"/>
  <c r="Y1267" i="7"/>
  <c r="AB1266" i="7"/>
  <c r="AA1266" i="7"/>
  <c r="Z1266" i="7"/>
  <c r="Y1266" i="7"/>
  <c r="Z1265" i="7" s="1"/>
  <c r="AB1265" i="7"/>
  <c r="AA1265" i="7"/>
  <c r="Y1265" i="7"/>
  <c r="Z1264" i="7" s="1"/>
  <c r="AB1264" i="7"/>
  <c r="AA1264" i="7"/>
  <c r="Y1264" i="7"/>
  <c r="Z1263" i="7" s="1"/>
  <c r="AB1263" i="7"/>
  <c r="AA1263" i="7"/>
  <c r="Y1263" i="7"/>
  <c r="Z1262" i="7" s="1"/>
  <c r="AB1262" i="7"/>
  <c r="AA1262" i="7"/>
  <c r="Y1262" i="7"/>
  <c r="Z1261" i="7" s="1"/>
  <c r="AB1261" i="7"/>
  <c r="AA1261" i="7"/>
  <c r="Y1261" i="7"/>
  <c r="Z1260" i="7" s="1"/>
  <c r="AB1260" i="7"/>
  <c r="AA1260" i="7"/>
  <c r="Y1260" i="7"/>
  <c r="Z1259" i="7" s="1"/>
  <c r="AB1259" i="7"/>
  <c r="AA1259" i="7"/>
  <c r="Y1259" i="7"/>
  <c r="Z1258" i="7" s="1"/>
  <c r="AB1258" i="7"/>
  <c r="AA1258" i="7"/>
  <c r="Y1258" i="7"/>
  <c r="Z1257" i="7" s="1"/>
  <c r="AB1257" i="7"/>
  <c r="AA1257" i="7"/>
  <c r="Y1257" i="7"/>
  <c r="Z1256" i="7" s="1"/>
  <c r="AB1256" i="7"/>
  <c r="AA1256" i="7"/>
  <c r="Y1256" i="7"/>
  <c r="Z1255" i="7" s="1"/>
  <c r="AB1255" i="7"/>
  <c r="AA1255" i="7"/>
  <c r="Y1255" i="7"/>
  <c r="Z1254" i="7" s="1"/>
  <c r="AB1254" i="7"/>
  <c r="AA1254" i="7"/>
  <c r="Y1254" i="7"/>
  <c r="Z1253" i="7" s="1"/>
  <c r="AB1253" i="7"/>
  <c r="AA1253" i="7"/>
  <c r="Y1253" i="7"/>
  <c r="Z1252" i="7" s="1"/>
  <c r="AB1252" i="7"/>
  <c r="AA1252" i="7"/>
  <c r="Y1252" i="7"/>
  <c r="Z1251" i="7" s="1"/>
  <c r="AB1251" i="7"/>
  <c r="AA1251" i="7"/>
  <c r="Y1251" i="7"/>
  <c r="Z1250" i="7" s="1"/>
  <c r="AB1250" i="7"/>
  <c r="AA1250" i="7"/>
  <c r="Y1250" i="7"/>
  <c r="Z1249" i="7" s="1"/>
  <c r="AB1249" i="7"/>
  <c r="AA1249" i="7"/>
  <c r="Y1249" i="7"/>
  <c r="Z1248" i="7" s="1"/>
  <c r="AB1248" i="7"/>
  <c r="AA1248" i="7"/>
  <c r="Y1248" i="7"/>
  <c r="Z1247" i="7" s="1"/>
  <c r="AB1247" i="7"/>
  <c r="AA1247" i="7"/>
  <c r="Y1247" i="7"/>
  <c r="Z1246" i="7" s="1"/>
  <c r="AB1246" i="7"/>
  <c r="AA1246" i="7"/>
  <c r="Y1246" i="7"/>
  <c r="Z1245" i="7" s="1"/>
  <c r="AB1245" i="7"/>
  <c r="AA1245" i="7"/>
  <c r="Y1245" i="7"/>
  <c r="Z1244" i="7" s="1"/>
  <c r="AB1244" i="7"/>
  <c r="AA1244" i="7"/>
  <c r="Y1244" i="7"/>
  <c r="Z1243" i="7" s="1"/>
  <c r="AB1243" i="7"/>
  <c r="AA1243" i="7"/>
  <c r="Y1243" i="7"/>
  <c r="Z1242" i="7" s="1"/>
  <c r="AB1242" i="7"/>
  <c r="AA1242" i="7"/>
  <c r="Y1242" i="7"/>
  <c r="Z1241" i="7" s="1"/>
  <c r="AB1241" i="7"/>
  <c r="AA1241" i="7"/>
  <c r="Y1241" i="7"/>
  <c r="Z1240" i="7" s="1"/>
  <c r="AB1240" i="7"/>
  <c r="AA1240" i="7"/>
  <c r="Y1240" i="7"/>
  <c r="Z1239" i="7" s="1"/>
  <c r="AB1239" i="7"/>
  <c r="AA1239" i="7"/>
  <c r="Y1239" i="7"/>
  <c r="Z1238" i="7" s="1"/>
  <c r="AB1238" i="7"/>
  <c r="AA1238" i="7"/>
  <c r="Y1238" i="7"/>
  <c r="Z1237" i="7" s="1"/>
  <c r="AB1237" i="7"/>
  <c r="AA1237" i="7"/>
  <c r="Y1237" i="7"/>
  <c r="Z1236" i="7" s="1"/>
  <c r="AB1236" i="7"/>
  <c r="AA1236" i="7"/>
  <c r="Y1236" i="7"/>
  <c r="Z1235" i="7" s="1"/>
  <c r="AB1235" i="7"/>
  <c r="AA1235" i="7"/>
  <c r="Y1235" i="7"/>
  <c r="Z1234" i="7" s="1"/>
  <c r="AB1234" i="7"/>
  <c r="AA1234" i="7"/>
  <c r="Y1234" i="7"/>
  <c r="Z1233" i="7" s="1"/>
  <c r="AB1233" i="7"/>
  <c r="AA1233" i="7"/>
  <c r="Y1233" i="7"/>
  <c r="Z1232" i="7" s="1"/>
  <c r="AB1232" i="7"/>
  <c r="AA1232" i="7"/>
  <c r="Y1232" i="7"/>
  <c r="Z1231" i="7" s="1"/>
  <c r="AB1231" i="7"/>
  <c r="AA1231" i="7"/>
  <c r="Y1231" i="7"/>
  <c r="Z1230" i="7" s="1"/>
  <c r="AB1230" i="7"/>
  <c r="AA1230" i="7"/>
  <c r="Y1230" i="7"/>
  <c r="Z1229" i="7" s="1"/>
  <c r="AB1229" i="7"/>
  <c r="AA1229" i="7"/>
  <c r="Y1229" i="7"/>
  <c r="Z1228" i="7" s="1"/>
  <c r="AB1228" i="7"/>
  <c r="AA1228" i="7"/>
  <c r="Y1228" i="7"/>
  <c r="Z1227" i="7" s="1"/>
  <c r="AB1227" i="7"/>
  <c r="AA1227" i="7"/>
  <c r="Y1227" i="7"/>
  <c r="Z1226" i="7" s="1"/>
  <c r="AB1226" i="7"/>
  <c r="AA1226" i="7"/>
  <c r="Y1226" i="7"/>
  <c r="Z1225" i="7" s="1"/>
  <c r="AB1225" i="7"/>
  <c r="AA1225" i="7"/>
  <c r="Y1225" i="7"/>
  <c r="Z1224" i="7" s="1"/>
  <c r="AB1224" i="7"/>
  <c r="AA1224" i="7"/>
  <c r="Y1224" i="7"/>
  <c r="Z1223" i="7" s="1"/>
  <c r="AB1223" i="7"/>
  <c r="AA1223" i="7"/>
  <c r="Y1223" i="7"/>
  <c r="Z1222" i="7" s="1"/>
  <c r="AB1222" i="7"/>
  <c r="AA1222" i="7"/>
  <c r="Y1222" i="7"/>
  <c r="Z1221" i="7" s="1"/>
  <c r="AB1221" i="7"/>
  <c r="AA1221" i="7"/>
  <c r="Y1221" i="7"/>
  <c r="Z1220" i="7" s="1"/>
  <c r="AB1220" i="7"/>
  <c r="AA1220" i="7"/>
  <c r="Y1220" i="7"/>
  <c r="Z1219" i="7" s="1"/>
  <c r="AB1219" i="7"/>
  <c r="AA1219" i="7"/>
  <c r="Y1219" i="7"/>
  <c r="Z1218" i="7" s="1"/>
  <c r="AB1218" i="7"/>
  <c r="AA1218" i="7"/>
  <c r="Y1218" i="7"/>
  <c r="Z1217" i="7" s="1"/>
  <c r="AB1217" i="7"/>
  <c r="AA1217" i="7"/>
  <c r="Y1217" i="7"/>
  <c r="Z1216" i="7" s="1"/>
  <c r="AB1216" i="7"/>
  <c r="AA1216" i="7"/>
  <c r="Y1216" i="7"/>
  <c r="Z1215" i="7" s="1"/>
  <c r="AB1215" i="7"/>
  <c r="AA1215" i="7"/>
  <c r="Y1215" i="7"/>
  <c r="Z1214" i="7" s="1"/>
  <c r="AB1214" i="7"/>
  <c r="AA1214" i="7"/>
  <c r="Y1214" i="7"/>
  <c r="Z1213" i="7" s="1"/>
  <c r="AB1213" i="7"/>
  <c r="AA1213" i="7"/>
  <c r="Y1213" i="7"/>
  <c r="Z1212" i="7" s="1"/>
  <c r="AB1212" i="7"/>
  <c r="AA1212" i="7"/>
  <c r="Y1212" i="7"/>
  <c r="Z1211" i="7" s="1"/>
  <c r="AB1211" i="7"/>
  <c r="AA1211" i="7"/>
  <c r="Y1211" i="7"/>
  <c r="Z1210" i="7" s="1"/>
  <c r="AB1210" i="7"/>
  <c r="AA1210" i="7"/>
  <c r="Y1210" i="7"/>
  <c r="Z1209" i="7" s="1"/>
  <c r="AB1209" i="7"/>
  <c r="AA1209" i="7"/>
  <c r="Y1209" i="7"/>
  <c r="Z1208" i="7" s="1"/>
  <c r="AB1208" i="7"/>
  <c r="AA1208" i="7"/>
  <c r="Y1208" i="7"/>
  <c r="Z1207" i="7" s="1"/>
  <c r="AB1207" i="7"/>
  <c r="AA1207" i="7"/>
  <c r="Y1207" i="7"/>
  <c r="Z1206" i="7" s="1"/>
  <c r="AB1206" i="7"/>
  <c r="AA1206" i="7"/>
  <c r="Y1206" i="7"/>
  <c r="Z1205" i="7" s="1"/>
  <c r="AB1205" i="7"/>
  <c r="AA1205" i="7"/>
  <c r="Y1205" i="7"/>
  <c r="Z1204" i="7" s="1"/>
  <c r="AB1204" i="7"/>
  <c r="AA1204" i="7"/>
  <c r="Y1204" i="7"/>
  <c r="Z1203" i="7" s="1"/>
  <c r="AB1203" i="7"/>
  <c r="AA1203" i="7"/>
  <c r="Y1203" i="7"/>
  <c r="Z1202" i="7" s="1"/>
  <c r="AB1202" i="7"/>
  <c r="AA1202" i="7"/>
  <c r="Y1202" i="7"/>
  <c r="Z1201" i="7" s="1"/>
  <c r="AB1201" i="7"/>
  <c r="AA1201" i="7"/>
  <c r="Y1201" i="7"/>
  <c r="Z1200" i="7" s="1"/>
  <c r="AB1200" i="7"/>
  <c r="AA1200" i="7"/>
  <c r="Y1200" i="7"/>
  <c r="Z1199" i="7" s="1"/>
  <c r="AB1199" i="7"/>
  <c r="AA1199" i="7"/>
  <c r="Y1199" i="7"/>
  <c r="Z1198" i="7" s="1"/>
  <c r="AB1198" i="7"/>
  <c r="AA1198" i="7"/>
  <c r="Y1198" i="7"/>
  <c r="Z1197" i="7" s="1"/>
  <c r="AB1197" i="7"/>
  <c r="AA1197" i="7"/>
  <c r="Y1197" i="7"/>
  <c r="Z1196" i="7" s="1"/>
  <c r="AB1196" i="7"/>
  <c r="AA1196" i="7"/>
  <c r="Y1196" i="7"/>
  <c r="Z1195" i="7" s="1"/>
  <c r="AB1195" i="7"/>
  <c r="AA1195" i="7"/>
  <c r="Y1195" i="7"/>
  <c r="Z1194" i="7" s="1"/>
  <c r="AB1194" i="7"/>
  <c r="AA1194" i="7"/>
  <c r="Y1194" i="7"/>
  <c r="Z1193" i="7" s="1"/>
  <c r="AB1193" i="7"/>
  <c r="AA1193" i="7"/>
  <c r="Y1193" i="7"/>
  <c r="Z1192" i="7" s="1"/>
  <c r="AB1192" i="7"/>
  <c r="AA1192" i="7"/>
  <c r="Y1192" i="7"/>
  <c r="Z1191" i="7" s="1"/>
  <c r="AB1191" i="7"/>
  <c r="AA1191" i="7"/>
  <c r="Y1191" i="7"/>
  <c r="Z1190" i="7" s="1"/>
  <c r="AB1190" i="7"/>
  <c r="AA1190" i="7"/>
  <c r="Y1190" i="7"/>
  <c r="Z1189" i="7" s="1"/>
  <c r="AB1189" i="7"/>
  <c r="AA1189" i="7"/>
  <c r="Y1189" i="7"/>
  <c r="Z1188" i="7" s="1"/>
  <c r="AB1188" i="7"/>
  <c r="AA1188" i="7"/>
  <c r="Y1188" i="7"/>
  <c r="Z1187" i="7" s="1"/>
  <c r="AB1187" i="7"/>
  <c r="AA1187" i="7"/>
  <c r="Y1187" i="7"/>
  <c r="Z1186" i="7" s="1"/>
  <c r="AB1186" i="7"/>
  <c r="AA1186" i="7"/>
  <c r="Y1186" i="7"/>
  <c r="Z1185" i="7" s="1"/>
  <c r="AB1185" i="7"/>
  <c r="AA1185" i="7"/>
  <c r="Y1185" i="7"/>
  <c r="Z1184" i="7" s="1"/>
  <c r="AB1184" i="7"/>
  <c r="AA1184" i="7"/>
  <c r="Y1184" i="7"/>
  <c r="Z1183" i="7" s="1"/>
  <c r="AB1183" i="7"/>
  <c r="AA1183" i="7"/>
  <c r="Y1183" i="7"/>
  <c r="AB1182" i="7"/>
  <c r="AA1182" i="7"/>
  <c r="Z1182" i="7"/>
  <c r="Y1182" i="7"/>
  <c r="Z1181" i="7" s="1"/>
  <c r="AB1181" i="7"/>
  <c r="AA1181" i="7"/>
  <c r="Y1181" i="7"/>
  <c r="Z1180" i="7" s="1"/>
  <c r="AB1180" i="7"/>
  <c r="AA1180" i="7"/>
  <c r="Y1180" i="7"/>
  <c r="Z1179" i="7" s="1"/>
  <c r="AB1179" i="7"/>
  <c r="AA1179" i="7"/>
  <c r="Y1179" i="7"/>
  <c r="Z1178" i="7" s="1"/>
  <c r="AB1178" i="7"/>
  <c r="AA1178" i="7"/>
  <c r="Y1178" i="7"/>
  <c r="Z1177" i="7" s="1"/>
  <c r="AB1177" i="7"/>
  <c r="AA1177" i="7"/>
  <c r="Y1177" i="7"/>
  <c r="Z1176" i="7" s="1"/>
  <c r="AB1176" i="7"/>
  <c r="AA1176" i="7"/>
  <c r="Y1176" i="7"/>
  <c r="Z1175" i="7" s="1"/>
  <c r="AB1175" i="7"/>
  <c r="AA1175" i="7"/>
  <c r="Y1175" i="7"/>
  <c r="Z1174" i="7" s="1"/>
  <c r="AB1174" i="7"/>
  <c r="AA1174" i="7"/>
  <c r="Y1174" i="7"/>
  <c r="Z1173" i="7" s="1"/>
  <c r="AB1173" i="7"/>
  <c r="AA1173" i="7"/>
  <c r="Y1173" i="7"/>
  <c r="Z1172" i="7" s="1"/>
  <c r="AB1172" i="7"/>
  <c r="AA1172" i="7"/>
  <c r="Y1172" i="7"/>
  <c r="Z1171" i="7" s="1"/>
  <c r="AB1171" i="7"/>
  <c r="AA1171" i="7"/>
  <c r="Y1171" i="7"/>
  <c r="Z1170" i="7" s="1"/>
  <c r="AB1170" i="7"/>
  <c r="AA1170" i="7"/>
  <c r="Y1170" i="7"/>
  <c r="Z1169" i="7" s="1"/>
  <c r="AB1169" i="7"/>
  <c r="AA1169" i="7"/>
  <c r="Y1169" i="7"/>
  <c r="Z1168" i="7" s="1"/>
  <c r="AB1168" i="7"/>
  <c r="AA1168" i="7"/>
  <c r="Y1168" i="7"/>
  <c r="Z1167" i="7" s="1"/>
  <c r="AB1167" i="7"/>
  <c r="AA1167" i="7"/>
  <c r="Y1167" i="7"/>
  <c r="Z1166" i="7" s="1"/>
  <c r="AB1166" i="7"/>
  <c r="AA1166" i="7"/>
  <c r="Y1166" i="7"/>
  <c r="Z1165" i="7" s="1"/>
  <c r="AB1165" i="7"/>
  <c r="AA1165" i="7"/>
  <c r="Y1165" i="7"/>
  <c r="Z1164" i="7" s="1"/>
  <c r="AB1164" i="7"/>
  <c r="AA1164" i="7"/>
  <c r="Y1164" i="7"/>
  <c r="Z1163" i="7" s="1"/>
  <c r="AB1163" i="7"/>
  <c r="AA1163" i="7"/>
  <c r="Y1163" i="7"/>
  <c r="Z1162" i="7" s="1"/>
  <c r="AB1162" i="7"/>
  <c r="AA1162" i="7"/>
  <c r="Y1162" i="7"/>
  <c r="Z1161" i="7" s="1"/>
  <c r="AB1161" i="7"/>
  <c r="AA1161" i="7"/>
  <c r="Y1161" i="7"/>
  <c r="Z1160" i="7" s="1"/>
  <c r="AB1160" i="7"/>
  <c r="AA1160" i="7"/>
  <c r="Y1160" i="7"/>
  <c r="Z1159" i="7" s="1"/>
  <c r="AB1159" i="7"/>
  <c r="AA1159" i="7"/>
  <c r="Y1159" i="7"/>
  <c r="Z1158" i="7" s="1"/>
  <c r="AB1158" i="7"/>
  <c r="AA1158" i="7"/>
  <c r="Y1158" i="7"/>
  <c r="Z1157" i="7" s="1"/>
  <c r="AB1157" i="7"/>
  <c r="AA1157" i="7"/>
  <c r="Y1157" i="7"/>
  <c r="Z1156" i="7" s="1"/>
  <c r="AB1156" i="7"/>
  <c r="AA1156" i="7"/>
  <c r="Y1156" i="7"/>
  <c r="Z1155" i="7" s="1"/>
  <c r="AB1155" i="7"/>
  <c r="AA1155" i="7"/>
  <c r="Y1155" i="7"/>
  <c r="Z1154" i="7" s="1"/>
  <c r="AB1154" i="7"/>
  <c r="AA1154" i="7"/>
  <c r="Y1154" i="7"/>
  <c r="Z1153" i="7" s="1"/>
  <c r="AB1153" i="7"/>
  <c r="AA1153" i="7"/>
  <c r="Y1153" i="7"/>
  <c r="Z1152" i="7" s="1"/>
  <c r="AB1152" i="7"/>
  <c r="AA1152" i="7"/>
  <c r="Y1152" i="7"/>
  <c r="Z1151" i="7" s="1"/>
  <c r="AB1151" i="7"/>
  <c r="AA1151" i="7"/>
  <c r="Y1151" i="7"/>
  <c r="Z1150" i="7" s="1"/>
  <c r="AB1150" i="7"/>
  <c r="AA1150" i="7"/>
  <c r="Y1150" i="7"/>
  <c r="Z1149" i="7" s="1"/>
  <c r="AB1149" i="7"/>
  <c r="AA1149" i="7"/>
  <c r="Y1149" i="7"/>
  <c r="Z1148" i="7" s="1"/>
  <c r="AB1148" i="7"/>
  <c r="AA1148" i="7"/>
  <c r="Y1148" i="7"/>
  <c r="Z1147" i="7" s="1"/>
  <c r="AB1147" i="7"/>
  <c r="AA1147" i="7"/>
  <c r="Y1147" i="7"/>
  <c r="Z1146" i="7" s="1"/>
  <c r="AB1146" i="7"/>
  <c r="AA1146" i="7"/>
  <c r="Y1146" i="7"/>
  <c r="Z1145" i="7" s="1"/>
  <c r="AB1145" i="7"/>
  <c r="AA1145" i="7"/>
  <c r="Y1145" i="7"/>
  <c r="Z1144" i="7" s="1"/>
  <c r="AB1144" i="7"/>
  <c r="AA1144" i="7"/>
  <c r="Y1144" i="7"/>
  <c r="Z1143" i="7" s="1"/>
  <c r="AB1143" i="7"/>
  <c r="AA1143" i="7"/>
  <c r="Y1143" i="7"/>
  <c r="Z1142" i="7" s="1"/>
  <c r="AB1142" i="7"/>
  <c r="AA1142" i="7"/>
  <c r="Y1142" i="7"/>
  <c r="Z1141" i="7" s="1"/>
  <c r="AB1141" i="7"/>
  <c r="AA1141" i="7"/>
  <c r="Y1141" i="7"/>
  <c r="Z1140" i="7" s="1"/>
  <c r="AB1140" i="7"/>
  <c r="AA1140" i="7"/>
  <c r="Y1140" i="7"/>
  <c r="Z1139" i="7" s="1"/>
  <c r="AB1139" i="7"/>
  <c r="AA1139" i="7"/>
  <c r="Y1139" i="7"/>
  <c r="Z1138" i="7" s="1"/>
  <c r="AB1138" i="7"/>
  <c r="AA1138" i="7"/>
  <c r="Y1138" i="7"/>
  <c r="Z1137" i="7" s="1"/>
  <c r="AB1137" i="7"/>
  <c r="AA1137" i="7"/>
  <c r="Y1137" i="7"/>
  <c r="Z1136" i="7" s="1"/>
  <c r="AB1136" i="7"/>
  <c r="AA1136" i="7"/>
  <c r="Y1136" i="7"/>
  <c r="Z1135" i="7" s="1"/>
  <c r="AB1135" i="7"/>
  <c r="AA1135" i="7"/>
  <c r="Y1135" i="7"/>
  <c r="Z1134" i="7" s="1"/>
  <c r="AB1134" i="7"/>
  <c r="AA1134" i="7"/>
  <c r="Y1134" i="7"/>
  <c r="Z1133" i="7" s="1"/>
  <c r="AB1133" i="7"/>
  <c r="AA1133" i="7"/>
  <c r="Y1133" i="7"/>
  <c r="Z1132" i="7" s="1"/>
  <c r="AB1132" i="7"/>
  <c r="AA1132" i="7"/>
  <c r="Y1132" i="7"/>
  <c r="Z1131" i="7" s="1"/>
  <c r="AB1131" i="7"/>
  <c r="AA1131" i="7"/>
  <c r="Y1131" i="7"/>
  <c r="Z1130" i="7" s="1"/>
  <c r="AB1130" i="7"/>
  <c r="AA1130" i="7"/>
  <c r="Y1130" i="7"/>
  <c r="Z1129" i="7" s="1"/>
  <c r="AB1129" i="7"/>
  <c r="AA1129" i="7"/>
  <c r="Y1129" i="7"/>
  <c r="Z1128" i="7" s="1"/>
  <c r="AB1128" i="7"/>
  <c r="AA1128" i="7"/>
  <c r="Y1128" i="7"/>
  <c r="Z1127" i="7" s="1"/>
  <c r="AB1127" i="7"/>
  <c r="AA1127" i="7"/>
  <c r="Y1127" i="7"/>
  <c r="Z1126" i="7" s="1"/>
  <c r="AB1126" i="7"/>
  <c r="AA1126" i="7"/>
  <c r="Y1126" i="7"/>
  <c r="Z1125" i="7" s="1"/>
  <c r="AB1125" i="7"/>
  <c r="AA1125" i="7"/>
  <c r="Y1125" i="7"/>
  <c r="Z1124" i="7" s="1"/>
  <c r="AB1124" i="7"/>
  <c r="AA1124" i="7"/>
  <c r="Y1124" i="7"/>
  <c r="Z1123" i="7" s="1"/>
  <c r="AB1123" i="7"/>
  <c r="AA1123" i="7"/>
  <c r="Y1123" i="7"/>
  <c r="AB1122" i="7"/>
  <c r="AA1122" i="7"/>
  <c r="Z1122" i="7"/>
  <c r="Y1122" i="7"/>
  <c r="Z1121" i="7" s="1"/>
  <c r="AB1121" i="7"/>
  <c r="AA1121" i="7"/>
  <c r="Y1121" i="7"/>
  <c r="Z1120" i="7" s="1"/>
  <c r="AB1120" i="7"/>
  <c r="AA1120" i="7"/>
  <c r="Y1120" i="7"/>
  <c r="Z1119" i="7" s="1"/>
  <c r="AB1119" i="7"/>
  <c r="AA1119" i="7"/>
  <c r="Y1119" i="7"/>
  <c r="Z1118" i="7" s="1"/>
  <c r="AB1118" i="7"/>
  <c r="AA1118" i="7"/>
  <c r="Y1118" i="7"/>
  <c r="Z1117" i="7" s="1"/>
  <c r="AB1117" i="7"/>
  <c r="AA1117" i="7"/>
  <c r="Y1117" i="7"/>
  <c r="Z1116" i="7" s="1"/>
  <c r="AB1116" i="7"/>
  <c r="AA1116" i="7"/>
  <c r="Y1116" i="7"/>
  <c r="Z1115" i="7" s="1"/>
  <c r="AB1115" i="7"/>
  <c r="AA1115" i="7"/>
  <c r="Y1115" i="7"/>
  <c r="Z1114" i="7" s="1"/>
  <c r="AB1114" i="7"/>
  <c r="AA1114" i="7"/>
  <c r="Y1114" i="7"/>
  <c r="Z1113" i="7" s="1"/>
  <c r="AB1113" i="7"/>
  <c r="AA1113" i="7"/>
  <c r="Y1113" i="7"/>
  <c r="Z1112" i="7" s="1"/>
  <c r="AB1112" i="7"/>
  <c r="AA1112" i="7"/>
  <c r="Y1112" i="7"/>
  <c r="Z1111" i="7" s="1"/>
  <c r="AB1111" i="7"/>
  <c r="AA1111" i="7"/>
  <c r="Y1111" i="7"/>
  <c r="Z1110" i="7" s="1"/>
  <c r="AB1110" i="7"/>
  <c r="AA1110" i="7"/>
  <c r="Y1110" i="7"/>
  <c r="Z1109" i="7" s="1"/>
  <c r="AB1109" i="7"/>
  <c r="AA1109" i="7"/>
  <c r="Y1109" i="7"/>
  <c r="Z1108" i="7" s="1"/>
  <c r="AB1108" i="7"/>
  <c r="AA1108" i="7"/>
  <c r="Y1108" i="7"/>
  <c r="Z1107" i="7" s="1"/>
  <c r="AB1107" i="7"/>
  <c r="AA1107" i="7"/>
  <c r="Y1107" i="7"/>
  <c r="Z1106" i="7" s="1"/>
  <c r="AB1106" i="7"/>
  <c r="AA1106" i="7"/>
  <c r="Y1106" i="7"/>
  <c r="Z1105" i="7" s="1"/>
  <c r="AB1105" i="7"/>
  <c r="AA1105" i="7"/>
  <c r="Y1105" i="7"/>
  <c r="Z1104" i="7" s="1"/>
  <c r="AB1104" i="7"/>
  <c r="AA1104" i="7"/>
  <c r="Y1104" i="7"/>
  <c r="Z1103" i="7" s="1"/>
  <c r="AB1103" i="7"/>
  <c r="AA1103" i="7"/>
  <c r="Y1103" i="7"/>
  <c r="Z1102" i="7" s="1"/>
  <c r="AB1102" i="7"/>
  <c r="AA1102" i="7"/>
  <c r="Y1102" i="7"/>
  <c r="Z1101" i="7" s="1"/>
  <c r="AB1101" i="7"/>
  <c r="AA1101" i="7"/>
  <c r="Y1101" i="7"/>
  <c r="Z1100" i="7" s="1"/>
  <c r="AB1100" i="7"/>
  <c r="AA1100" i="7"/>
  <c r="Y1100" i="7"/>
  <c r="Z1099" i="7" s="1"/>
  <c r="AB1099" i="7"/>
  <c r="AA1099" i="7"/>
  <c r="Y1099" i="7"/>
  <c r="Z1098" i="7" s="1"/>
  <c r="AB1098" i="7"/>
  <c r="AA1098" i="7"/>
  <c r="Y1098" i="7"/>
  <c r="Z1097" i="7" s="1"/>
  <c r="AB1097" i="7"/>
  <c r="AA1097" i="7"/>
  <c r="Y1097" i="7"/>
  <c r="Z1096" i="7" s="1"/>
  <c r="AB1096" i="7"/>
  <c r="AA1096" i="7"/>
  <c r="Y1096" i="7"/>
  <c r="Z1095" i="7" s="1"/>
  <c r="AB1095" i="7"/>
  <c r="AA1095" i="7"/>
  <c r="Y1095" i="7"/>
  <c r="Z1094" i="7" s="1"/>
  <c r="AB1094" i="7"/>
  <c r="AA1094" i="7"/>
  <c r="Y1094" i="7"/>
  <c r="Z1093" i="7" s="1"/>
  <c r="AB1093" i="7"/>
  <c r="AA1093" i="7"/>
  <c r="Y1093" i="7"/>
  <c r="Z1092" i="7" s="1"/>
  <c r="AB1092" i="7"/>
  <c r="AA1092" i="7"/>
  <c r="Y1092" i="7"/>
  <c r="Z1091" i="7" s="1"/>
  <c r="AB1091" i="7"/>
  <c r="AA1091" i="7"/>
  <c r="Y1091" i="7"/>
  <c r="Z1090" i="7" s="1"/>
  <c r="AB1090" i="7"/>
  <c r="AA1090" i="7"/>
  <c r="Y1090" i="7"/>
  <c r="Z1089" i="7" s="1"/>
  <c r="AB1089" i="7"/>
  <c r="AA1089" i="7"/>
  <c r="Y1089" i="7"/>
  <c r="Z1088" i="7" s="1"/>
  <c r="AB1088" i="7"/>
  <c r="AA1088" i="7"/>
  <c r="Y1088" i="7"/>
  <c r="Z1087" i="7" s="1"/>
  <c r="AB1087" i="7"/>
  <c r="AA1087" i="7"/>
  <c r="Y1087" i="7"/>
  <c r="Z1086" i="7" s="1"/>
  <c r="AB1086" i="7"/>
  <c r="AA1086" i="7"/>
  <c r="Y1086" i="7"/>
  <c r="Z1085" i="7" s="1"/>
  <c r="AB1085" i="7"/>
  <c r="AA1085" i="7"/>
  <c r="Y1085" i="7"/>
  <c r="Z1084" i="7" s="1"/>
  <c r="AB1084" i="7"/>
  <c r="AA1084" i="7"/>
  <c r="Y1084" i="7"/>
  <c r="Z1083" i="7" s="1"/>
  <c r="AB1083" i="7"/>
  <c r="AA1083" i="7"/>
  <c r="Y1083" i="7"/>
  <c r="AB1082" i="7"/>
  <c r="AA1082" i="7"/>
  <c r="Z1082" i="7"/>
  <c r="Y1082" i="7"/>
  <c r="Z1081" i="7" s="1"/>
  <c r="AB1081" i="7"/>
  <c r="AA1081" i="7"/>
  <c r="Y1081" i="7"/>
  <c r="AB1080" i="7"/>
  <c r="AA1080" i="7"/>
  <c r="Z1080" i="7"/>
  <c r="Y1080" i="7"/>
  <c r="Z1079" i="7" s="1"/>
  <c r="AB1079" i="7"/>
  <c r="AA1079" i="7"/>
  <c r="Y1079" i="7"/>
  <c r="AB1078" i="7"/>
  <c r="AA1078" i="7"/>
  <c r="Z1078" i="7"/>
  <c r="Y1078" i="7"/>
  <c r="Z1077" i="7" s="1"/>
  <c r="AB1077" i="7"/>
  <c r="AA1077" i="7"/>
  <c r="Y1077" i="7"/>
  <c r="Z1076" i="7" s="1"/>
  <c r="AB1076" i="7"/>
  <c r="AA1076" i="7"/>
  <c r="Y1076" i="7"/>
  <c r="Z1075" i="7" s="1"/>
  <c r="AB1075" i="7"/>
  <c r="AA1075" i="7"/>
  <c r="Y1075" i="7"/>
  <c r="Z1074" i="7" s="1"/>
  <c r="AB1074" i="7"/>
  <c r="AA1074" i="7"/>
  <c r="Y1074" i="7"/>
  <c r="Z1073" i="7" s="1"/>
  <c r="AB1073" i="7"/>
  <c r="AA1073" i="7"/>
  <c r="Y1073" i="7"/>
  <c r="Z1072" i="7" s="1"/>
  <c r="AB1072" i="7"/>
  <c r="AA1072" i="7"/>
  <c r="Y1072" i="7"/>
  <c r="Z1071" i="7" s="1"/>
  <c r="AB1071" i="7"/>
  <c r="AA1071" i="7"/>
  <c r="Y1071" i="7"/>
  <c r="AB1070" i="7"/>
  <c r="AA1070" i="7"/>
  <c r="Z1070" i="7"/>
  <c r="Y1070" i="7"/>
  <c r="Z1069" i="7" s="1"/>
  <c r="AB1069" i="7"/>
  <c r="AA1069" i="7"/>
  <c r="Y1069" i="7"/>
  <c r="AB1068" i="7"/>
  <c r="AA1068" i="7"/>
  <c r="Z1068" i="7"/>
  <c r="Y1068" i="7"/>
  <c r="Z1067" i="7" s="1"/>
  <c r="AB1067" i="7"/>
  <c r="AA1067" i="7"/>
  <c r="Y1067" i="7"/>
  <c r="Z1066" i="7" s="1"/>
  <c r="AB1066" i="7"/>
  <c r="AA1066" i="7"/>
  <c r="Y1066" i="7"/>
  <c r="Z1065" i="7" s="1"/>
  <c r="AB1065" i="7"/>
  <c r="AA1065" i="7"/>
  <c r="Y1065" i="7"/>
  <c r="Z1064" i="7" s="1"/>
  <c r="AB1064" i="7"/>
  <c r="AA1064" i="7"/>
  <c r="Y1064" i="7"/>
  <c r="Z1063" i="7" s="1"/>
  <c r="AB1063" i="7"/>
  <c r="AA1063" i="7"/>
  <c r="Y1063" i="7"/>
  <c r="Z1062" i="7" s="1"/>
  <c r="AB1062" i="7"/>
  <c r="AA1062" i="7"/>
  <c r="Y1062" i="7"/>
  <c r="Z1061" i="7" s="1"/>
  <c r="AB1061" i="7"/>
  <c r="AA1061" i="7"/>
  <c r="Y1061" i="7"/>
  <c r="Z1060" i="7" s="1"/>
  <c r="AB1060" i="7"/>
  <c r="AA1060" i="7"/>
  <c r="Y1060" i="7"/>
  <c r="Z1059" i="7" s="1"/>
  <c r="AB1059" i="7"/>
  <c r="AA1059" i="7"/>
  <c r="Y1059" i="7"/>
  <c r="Z1058" i="7" s="1"/>
  <c r="AB1058" i="7"/>
  <c r="AA1058" i="7"/>
  <c r="Y1058" i="7"/>
  <c r="Z1057" i="7" s="1"/>
  <c r="AB1057" i="7"/>
  <c r="AA1057" i="7"/>
  <c r="Y1057" i="7"/>
  <c r="Z1056" i="7" s="1"/>
  <c r="AB1056" i="7"/>
  <c r="AA1056" i="7"/>
  <c r="Y1056" i="7"/>
  <c r="Z1055" i="7" s="1"/>
  <c r="AB1055" i="7"/>
  <c r="AA1055" i="7"/>
  <c r="Y1055" i="7"/>
  <c r="Z1054" i="7" s="1"/>
  <c r="AB1054" i="7"/>
  <c r="AA1054" i="7"/>
  <c r="Y1054" i="7"/>
  <c r="Z1053" i="7" s="1"/>
  <c r="AB1053" i="7"/>
  <c r="AA1053" i="7"/>
  <c r="Y1053" i="7"/>
  <c r="Z1052" i="7" s="1"/>
  <c r="AB1052" i="7"/>
  <c r="AA1052" i="7"/>
  <c r="Y1052" i="7"/>
  <c r="Z1051" i="7" s="1"/>
  <c r="AB1051" i="7"/>
  <c r="AA1051" i="7"/>
  <c r="Y1051" i="7"/>
  <c r="Z1050" i="7" s="1"/>
  <c r="AB1050" i="7"/>
  <c r="AA1050" i="7"/>
  <c r="Y1050" i="7"/>
  <c r="Z1049" i="7" s="1"/>
  <c r="AB1049" i="7"/>
  <c r="AA1049" i="7"/>
  <c r="Y1049" i="7"/>
  <c r="Z1048" i="7" s="1"/>
  <c r="AB1048" i="7"/>
  <c r="AA1048" i="7"/>
  <c r="Y1048" i="7"/>
  <c r="Z1047" i="7" s="1"/>
  <c r="AB1047" i="7"/>
  <c r="AA1047" i="7"/>
  <c r="Y1047" i="7"/>
  <c r="Z1046" i="7" s="1"/>
  <c r="AB1046" i="7"/>
  <c r="AA1046" i="7"/>
  <c r="Y1046" i="7"/>
  <c r="Z1045" i="7" s="1"/>
  <c r="AB1045" i="7"/>
  <c r="AA1045" i="7"/>
  <c r="Y1045" i="7"/>
  <c r="Z1044" i="7" s="1"/>
  <c r="AB1044" i="7"/>
  <c r="AA1044" i="7"/>
  <c r="Y1044" i="7"/>
  <c r="Z1043" i="7" s="1"/>
  <c r="AB1043" i="7"/>
  <c r="AA1043" i="7"/>
  <c r="Y1043" i="7"/>
  <c r="Z1042" i="7" s="1"/>
  <c r="AB1042" i="7"/>
  <c r="AA1042" i="7"/>
  <c r="Y1042" i="7"/>
  <c r="Z1041" i="7" s="1"/>
  <c r="AB1041" i="7"/>
  <c r="AA1041" i="7"/>
  <c r="Y1041" i="7"/>
  <c r="Z1040" i="7" s="1"/>
  <c r="AB1040" i="7"/>
  <c r="AA1040" i="7"/>
  <c r="Y1040" i="7"/>
  <c r="Z1039" i="7" s="1"/>
  <c r="AB1039" i="7"/>
  <c r="AA1039" i="7"/>
  <c r="Y1039" i="7"/>
  <c r="Z1038" i="7" s="1"/>
  <c r="AB1038" i="7"/>
  <c r="AA1038" i="7"/>
  <c r="Y1038" i="7"/>
  <c r="Z1037" i="7" s="1"/>
  <c r="AB1037" i="7"/>
  <c r="AA1037" i="7"/>
  <c r="Y1037" i="7"/>
  <c r="Z1036" i="7" s="1"/>
  <c r="AB1036" i="7"/>
  <c r="AA1036" i="7"/>
  <c r="Y1036" i="7"/>
  <c r="AB1035" i="7"/>
  <c r="AA1035" i="7"/>
  <c r="Z1035" i="7"/>
  <c r="Y1035" i="7"/>
  <c r="Z1034" i="7" s="1"/>
  <c r="AB1034" i="7"/>
  <c r="AA1034" i="7"/>
  <c r="Y1034" i="7"/>
  <c r="Z1033" i="7" s="1"/>
  <c r="AB1033" i="7"/>
  <c r="AA1033" i="7"/>
  <c r="Y1033" i="7"/>
  <c r="Z1032" i="7" s="1"/>
  <c r="AB1032" i="7"/>
  <c r="AA1032" i="7"/>
  <c r="Y1032" i="7"/>
  <c r="Z1031" i="7" s="1"/>
  <c r="AB1031" i="7"/>
  <c r="AA1031" i="7"/>
  <c r="Y1031" i="7"/>
  <c r="Z1030" i="7" s="1"/>
  <c r="AB1030" i="7"/>
  <c r="AA1030" i="7"/>
  <c r="Y1030" i="7"/>
  <c r="AB1029" i="7"/>
  <c r="AA1029" i="7"/>
  <c r="Z1029" i="7"/>
  <c r="Y1029" i="7"/>
  <c r="Z1028" i="7" s="1"/>
  <c r="AB1028" i="7"/>
  <c r="AA1028" i="7"/>
  <c r="Y1028" i="7"/>
  <c r="Z1027" i="7" s="1"/>
  <c r="AB1027" i="7"/>
  <c r="AA1027" i="7"/>
  <c r="Y1027" i="7"/>
  <c r="Z1026" i="7" s="1"/>
  <c r="AB1026" i="7"/>
  <c r="AA1026" i="7"/>
  <c r="Y1026" i="7"/>
  <c r="Z1025" i="7" s="1"/>
  <c r="AB1025" i="7"/>
  <c r="AA1025" i="7"/>
  <c r="Y1025" i="7"/>
  <c r="Z1024" i="7" s="1"/>
  <c r="AB1024" i="7"/>
  <c r="AA1024" i="7"/>
  <c r="Y1024" i="7"/>
  <c r="Z1023" i="7" s="1"/>
  <c r="AB1023" i="7"/>
  <c r="AA1023" i="7"/>
  <c r="Y1023" i="7"/>
  <c r="Z1022" i="7" s="1"/>
  <c r="AB1022" i="7"/>
  <c r="AA1022" i="7"/>
  <c r="Y1022" i="7"/>
  <c r="Z1021" i="7" s="1"/>
  <c r="AB1021" i="7"/>
  <c r="AA1021" i="7"/>
  <c r="Y1021" i="7"/>
  <c r="Z1020" i="7" s="1"/>
  <c r="AB1020" i="7"/>
  <c r="AA1020" i="7"/>
  <c r="Y1020" i="7"/>
  <c r="Z1019" i="7" s="1"/>
  <c r="AB1019" i="7"/>
  <c r="AA1019" i="7"/>
  <c r="Y1019" i="7"/>
  <c r="Z1018" i="7" s="1"/>
  <c r="AB1018" i="7"/>
  <c r="AA1018" i="7"/>
  <c r="Y1018" i="7"/>
  <c r="Z1017" i="7" s="1"/>
  <c r="AB1017" i="7"/>
  <c r="AA1017" i="7"/>
  <c r="Y1017" i="7"/>
  <c r="Z1016" i="7" s="1"/>
  <c r="AB1016" i="7"/>
  <c r="AA1016" i="7"/>
  <c r="Y1016" i="7"/>
  <c r="Z1015" i="7" s="1"/>
  <c r="AB1015" i="7"/>
  <c r="AA1015" i="7"/>
  <c r="Y1015" i="7"/>
  <c r="Z1014" i="7" s="1"/>
  <c r="AB1014" i="7"/>
  <c r="AA1014" i="7"/>
  <c r="Y1014" i="7"/>
  <c r="Z1013" i="7" s="1"/>
  <c r="AB1013" i="7"/>
  <c r="AA1013" i="7"/>
  <c r="Y1013" i="7"/>
  <c r="Z1012" i="7" s="1"/>
  <c r="AB1012" i="7"/>
  <c r="AA1012" i="7"/>
  <c r="Y1012" i="7"/>
  <c r="Z1011" i="7" s="1"/>
  <c r="AB1011" i="7"/>
  <c r="AA1011" i="7"/>
  <c r="Y1011" i="7"/>
  <c r="Z1010" i="7" s="1"/>
  <c r="AB1010" i="7"/>
  <c r="AA1010" i="7"/>
  <c r="Y1010" i="7"/>
  <c r="Z1009" i="7" s="1"/>
  <c r="AB1009" i="7"/>
  <c r="AA1009" i="7"/>
  <c r="Y1009" i="7"/>
  <c r="Z1008" i="7" s="1"/>
  <c r="AB1008" i="7"/>
  <c r="AA1008" i="7"/>
  <c r="Y1008" i="7"/>
  <c r="Z1007" i="7" s="1"/>
  <c r="AB1007" i="7"/>
  <c r="AA1007" i="7"/>
  <c r="Y1007" i="7"/>
  <c r="Z1006" i="7" s="1"/>
  <c r="AB1006" i="7"/>
  <c r="AA1006" i="7"/>
  <c r="Y1006" i="7"/>
  <c r="Z1005" i="7" s="1"/>
  <c r="AB1005" i="7"/>
  <c r="AA1005" i="7"/>
  <c r="Y1005" i="7"/>
  <c r="Z1004" i="7" s="1"/>
  <c r="AB1004" i="7"/>
  <c r="AA1004" i="7"/>
  <c r="Y1004" i="7"/>
  <c r="Z1003" i="7" s="1"/>
  <c r="AB1003" i="7"/>
  <c r="AA1003" i="7"/>
  <c r="Y1003" i="7"/>
  <c r="Z1002" i="7" s="1"/>
  <c r="AB1002" i="7"/>
  <c r="AA1002" i="7"/>
  <c r="Y1002" i="7"/>
  <c r="Z1001" i="7" s="1"/>
  <c r="AB1001" i="7"/>
  <c r="AA1001" i="7"/>
  <c r="Y1001" i="7"/>
  <c r="Z1000" i="7" s="1"/>
  <c r="AB1000" i="7"/>
  <c r="AA1000" i="7"/>
  <c r="Y1000" i="7"/>
  <c r="Z999" i="7" s="1"/>
  <c r="AB999" i="7"/>
  <c r="AA999" i="7"/>
  <c r="Y999" i="7"/>
  <c r="Z998" i="7" s="1"/>
  <c r="AB998" i="7"/>
  <c r="AA998" i="7"/>
  <c r="Y998" i="7"/>
  <c r="Z997" i="7" s="1"/>
  <c r="AB997" i="7"/>
  <c r="AA997" i="7"/>
  <c r="Y997" i="7"/>
  <c r="Z996" i="7" s="1"/>
  <c r="AB996" i="7"/>
  <c r="AA996" i="7"/>
  <c r="Y996" i="7"/>
  <c r="Z995" i="7" s="1"/>
  <c r="AB995" i="7"/>
  <c r="AA995" i="7"/>
  <c r="Y995" i="7"/>
  <c r="Z994" i="7" s="1"/>
  <c r="AB994" i="7"/>
  <c r="AA994" i="7"/>
  <c r="Y994" i="7"/>
  <c r="Z993" i="7" s="1"/>
  <c r="AB993" i="7"/>
  <c r="AA993" i="7"/>
  <c r="Y993" i="7"/>
  <c r="Z992" i="7" s="1"/>
  <c r="AB992" i="7"/>
  <c r="AA992" i="7"/>
  <c r="Y992" i="7"/>
  <c r="Z991" i="7" s="1"/>
  <c r="AB991" i="7"/>
  <c r="AA991" i="7"/>
  <c r="Y991" i="7"/>
  <c r="Z990" i="7" s="1"/>
  <c r="AB990" i="7"/>
  <c r="AA990" i="7"/>
  <c r="Y990" i="7"/>
  <c r="AB989" i="7"/>
  <c r="AA989" i="7"/>
  <c r="Z989" i="7"/>
  <c r="Y989" i="7"/>
  <c r="Z988" i="7" s="1"/>
  <c r="AB988" i="7"/>
  <c r="AA988" i="7"/>
  <c r="Y988" i="7"/>
  <c r="Z987" i="7" s="1"/>
  <c r="AB987" i="7"/>
  <c r="AA987" i="7"/>
  <c r="Y987" i="7"/>
  <c r="Z986" i="7" s="1"/>
  <c r="AB986" i="7"/>
  <c r="AA986" i="7"/>
  <c r="Y986" i="7"/>
  <c r="Z985" i="7" s="1"/>
  <c r="AB985" i="7"/>
  <c r="AA985" i="7"/>
  <c r="Y985" i="7"/>
  <c r="Z984" i="7" s="1"/>
  <c r="AB984" i="7"/>
  <c r="AA984" i="7"/>
  <c r="Y984" i="7"/>
  <c r="Z983" i="7" s="1"/>
  <c r="AB983" i="7"/>
  <c r="AA983" i="7"/>
  <c r="Y983" i="7"/>
  <c r="Z982" i="7" s="1"/>
  <c r="AB982" i="7"/>
  <c r="AA982" i="7"/>
  <c r="Y982" i="7"/>
  <c r="Z981" i="7" s="1"/>
  <c r="AB981" i="7"/>
  <c r="AA981" i="7"/>
  <c r="Y981" i="7"/>
  <c r="Z980" i="7" s="1"/>
  <c r="AB980" i="7"/>
  <c r="AA980" i="7"/>
  <c r="Y980" i="7"/>
  <c r="Z979" i="7" s="1"/>
  <c r="AB979" i="7"/>
  <c r="AA979" i="7"/>
  <c r="Y979" i="7"/>
  <c r="Z978" i="7" s="1"/>
  <c r="AB978" i="7"/>
  <c r="AA978" i="7"/>
  <c r="Y978" i="7"/>
  <c r="Z977" i="7" s="1"/>
  <c r="AB977" i="7"/>
  <c r="AA977" i="7"/>
  <c r="Y977" i="7"/>
  <c r="Z976" i="7" s="1"/>
  <c r="AB976" i="7"/>
  <c r="AA976" i="7"/>
  <c r="Y976" i="7"/>
  <c r="Z975" i="7" s="1"/>
  <c r="AB975" i="7"/>
  <c r="AA975" i="7"/>
  <c r="Y975" i="7"/>
  <c r="Z974" i="7" s="1"/>
  <c r="AB974" i="7"/>
  <c r="AA974" i="7"/>
  <c r="Y974" i="7"/>
  <c r="Z973" i="7" s="1"/>
  <c r="AB973" i="7"/>
  <c r="AA973" i="7"/>
  <c r="Y973" i="7"/>
  <c r="Z972" i="7" s="1"/>
  <c r="AB972" i="7"/>
  <c r="AA972" i="7"/>
  <c r="Y972" i="7"/>
  <c r="Z971" i="7" s="1"/>
  <c r="AB971" i="7"/>
  <c r="AA971" i="7"/>
  <c r="Y971" i="7"/>
  <c r="Z970" i="7" s="1"/>
  <c r="AB970" i="7"/>
  <c r="AA970" i="7"/>
  <c r="Y970" i="7"/>
  <c r="Z969" i="7" s="1"/>
  <c r="AB969" i="7"/>
  <c r="AA969" i="7"/>
  <c r="Y969" i="7"/>
  <c r="Z968" i="7" s="1"/>
  <c r="AB968" i="7"/>
  <c r="AA968" i="7"/>
  <c r="Y968" i="7"/>
  <c r="Z967" i="7" s="1"/>
  <c r="AB967" i="7"/>
  <c r="AA967" i="7"/>
  <c r="Y967" i="7"/>
  <c r="Z966" i="7" s="1"/>
  <c r="AB966" i="7"/>
  <c r="AA966" i="7"/>
  <c r="Y966" i="7"/>
  <c r="Z965" i="7" s="1"/>
  <c r="AB965" i="7"/>
  <c r="AA965" i="7"/>
  <c r="Y965" i="7"/>
  <c r="Z964" i="7" s="1"/>
  <c r="AB964" i="7"/>
  <c r="AA964" i="7"/>
  <c r="Y964" i="7"/>
  <c r="Z963" i="7" s="1"/>
  <c r="AB963" i="7"/>
  <c r="AA963" i="7"/>
  <c r="Y963" i="7"/>
  <c r="Z962" i="7" s="1"/>
  <c r="AB962" i="7"/>
  <c r="AA962" i="7"/>
  <c r="Y962" i="7"/>
  <c r="Z961" i="7" s="1"/>
  <c r="AB961" i="7"/>
  <c r="AA961" i="7"/>
  <c r="Y961" i="7"/>
  <c r="Z960" i="7" s="1"/>
  <c r="AB960" i="7"/>
  <c r="AA960" i="7"/>
  <c r="Y960" i="7"/>
  <c r="Z959" i="7" s="1"/>
  <c r="AB959" i="7"/>
  <c r="AA959" i="7"/>
  <c r="Y959" i="7"/>
  <c r="Z958" i="7" s="1"/>
  <c r="AB958" i="7"/>
  <c r="AA958" i="7"/>
  <c r="Y958" i="7"/>
  <c r="Z957" i="7" s="1"/>
  <c r="AB957" i="7"/>
  <c r="AA957" i="7"/>
  <c r="Y957" i="7"/>
  <c r="Z956" i="7" s="1"/>
  <c r="AB956" i="7"/>
  <c r="AA956" i="7"/>
  <c r="Y956" i="7"/>
  <c r="AB955" i="7"/>
  <c r="AA955" i="7"/>
  <c r="Z955" i="7"/>
  <c r="Y955" i="7"/>
  <c r="Z954" i="7" s="1"/>
  <c r="AB954" i="7"/>
  <c r="AA954" i="7"/>
  <c r="Y954" i="7"/>
  <c r="AB953" i="7"/>
  <c r="AA953" i="7"/>
  <c r="Z953" i="7"/>
  <c r="Y953" i="7"/>
  <c r="Z952" i="7" s="1"/>
  <c r="AB952" i="7"/>
  <c r="AA952" i="7"/>
  <c r="Y952" i="7"/>
  <c r="AB951" i="7"/>
  <c r="AA951" i="7"/>
  <c r="Z951" i="7"/>
  <c r="Y951" i="7"/>
  <c r="Z950" i="7" s="1"/>
  <c r="AB950" i="7"/>
  <c r="AA950" i="7"/>
  <c r="Y950" i="7"/>
  <c r="Z949" i="7" s="1"/>
  <c r="AB949" i="7"/>
  <c r="AA949" i="7"/>
  <c r="Y949" i="7"/>
  <c r="Z948" i="7" s="1"/>
  <c r="AB948" i="7"/>
  <c r="AA948" i="7"/>
  <c r="Y948" i="7"/>
  <c r="Z947" i="7" s="1"/>
  <c r="AB947" i="7"/>
  <c r="AA947" i="7"/>
  <c r="Y947" i="7"/>
  <c r="Z946" i="7" s="1"/>
  <c r="AB946" i="7"/>
  <c r="AA946" i="7"/>
  <c r="Y946" i="7"/>
  <c r="Z945" i="7" s="1"/>
  <c r="AB945" i="7"/>
  <c r="AA945" i="7"/>
  <c r="Y945" i="7"/>
  <c r="Z944" i="7" s="1"/>
  <c r="AB944" i="7"/>
  <c r="AA944" i="7"/>
  <c r="Y944" i="7"/>
  <c r="Z943" i="7" s="1"/>
  <c r="AB943" i="7"/>
  <c r="AA943" i="7"/>
  <c r="Y943" i="7"/>
  <c r="Z942" i="7" s="1"/>
  <c r="AB942" i="7"/>
  <c r="AA942" i="7"/>
  <c r="Y942" i="7"/>
  <c r="Z941" i="7" s="1"/>
  <c r="AB941" i="7"/>
  <c r="AA941" i="7"/>
  <c r="Y941" i="7"/>
  <c r="Z940" i="7" s="1"/>
  <c r="AB940" i="7"/>
  <c r="AA940" i="7"/>
  <c r="Y940" i="7"/>
  <c r="Z939" i="7" s="1"/>
  <c r="AB939" i="7"/>
  <c r="AA939" i="7"/>
  <c r="Y939" i="7"/>
  <c r="Z938" i="7" s="1"/>
  <c r="AB938" i="7"/>
  <c r="AA938" i="7"/>
  <c r="Y938" i="7"/>
  <c r="Z937" i="7" s="1"/>
  <c r="AB937" i="7"/>
  <c r="AA937" i="7"/>
  <c r="Y937" i="7"/>
  <c r="Z936" i="7" s="1"/>
  <c r="AB936" i="7"/>
  <c r="AA936" i="7"/>
  <c r="Y936" i="7"/>
  <c r="Z935" i="7" s="1"/>
  <c r="AB935" i="7"/>
  <c r="AA935" i="7"/>
  <c r="Y935" i="7"/>
  <c r="Z934" i="7" s="1"/>
  <c r="AB934" i="7"/>
  <c r="AA934" i="7"/>
  <c r="Y934" i="7"/>
  <c r="AB933" i="7"/>
  <c r="AA933" i="7"/>
  <c r="Z933" i="7"/>
  <c r="Y933" i="7"/>
  <c r="Z932" i="7" s="1"/>
  <c r="AB932" i="7"/>
  <c r="AA932" i="7"/>
  <c r="Y932" i="7"/>
  <c r="Z931" i="7" s="1"/>
  <c r="AB931" i="7"/>
  <c r="AA931" i="7"/>
  <c r="Y931" i="7"/>
  <c r="Z930" i="7" s="1"/>
  <c r="AB930" i="7"/>
  <c r="AA930" i="7"/>
  <c r="Y930" i="7"/>
  <c r="Z929" i="7" s="1"/>
  <c r="AB929" i="7"/>
  <c r="AA929" i="7"/>
  <c r="Y929" i="7"/>
  <c r="Z928" i="7" s="1"/>
  <c r="AB928" i="7"/>
  <c r="AA928" i="7"/>
  <c r="Y928" i="7"/>
  <c r="Z927" i="7" s="1"/>
  <c r="AB927" i="7"/>
  <c r="AA927" i="7"/>
  <c r="Y927" i="7"/>
  <c r="Z926" i="7" s="1"/>
  <c r="AB926" i="7"/>
  <c r="AA926" i="7"/>
  <c r="Y926" i="7"/>
  <c r="Z925" i="7" s="1"/>
  <c r="AB925" i="7"/>
  <c r="AA925" i="7"/>
  <c r="Y925" i="7"/>
  <c r="Z924" i="7" s="1"/>
  <c r="AB924" i="7"/>
  <c r="AA924" i="7"/>
  <c r="Y924" i="7"/>
  <c r="AB923" i="7"/>
  <c r="AA923" i="7"/>
  <c r="Z923" i="7"/>
  <c r="Y923" i="7"/>
  <c r="Z922" i="7" s="1"/>
  <c r="AB922" i="7"/>
  <c r="AA922" i="7"/>
  <c r="Y922" i="7"/>
  <c r="Z921" i="7" s="1"/>
  <c r="AB921" i="7"/>
  <c r="AA921" i="7"/>
  <c r="Y921" i="7"/>
  <c r="Z920" i="7" s="1"/>
  <c r="AB920" i="7"/>
  <c r="AA920" i="7"/>
  <c r="Y920" i="7"/>
  <c r="Z919" i="7" s="1"/>
  <c r="AB919" i="7"/>
  <c r="AA919" i="7"/>
  <c r="Y919" i="7"/>
  <c r="Z918" i="7" s="1"/>
  <c r="AB918" i="7"/>
  <c r="AA918" i="7"/>
  <c r="Y918" i="7"/>
  <c r="Z917" i="7" s="1"/>
  <c r="AB917" i="7"/>
  <c r="AA917" i="7"/>
  <c r="Y917" i="7"/>
  <c r="Z916" i="7" s="1"/>
  <c r="AB916" i="7"/>
  <c r="AA916" i="7"/>
  <c r="Y916" i="7"/>
  <c r="Z915" i="7" s="1"/>
  <c r="AB915" i="7"/>
  <c r="AA915" i="7"/>
  <c r="Y915" i="7"/>
  <c r="Z914" i="7" s="1"/>
  <c r="AB914" i="7"/>
  <c r="AA914" i="7"/>
  <c r="Y914" i="7"/>
  <c r="Z913" i="7" s="1"/>
  <c r="AB913" i="7"/>
  <c r="AA913" i="7"/>
  <c r="Y913" i="7"/>
  <c r="Z912" i="7" s="1"/>
  <c r="AB912" i="7"/>
  <c r="AA912" i="7"/>
  <c r="Y912" i="7"/>
  <c r="Z911" i="7" s="1"/>
  <c r="AB911" i="7"/>
  <c r="AA911" i="7"/>
  <c r="Y911" i="7"/>
  <c r="Z910" i="7" s="1"/>
  <c r="AB910" i="7"/>
  <c r="AA910" i="7"/>
  <c r="Y910" i="7"/>
  <c r="Z909" i="7" s="1"/>
  <c r="AB909" i="7"/>
  <c r="AA909" i="7"/>
  <c r="Y909" i="7"/>
  <c r="Z908" i="7" s="1"/>
  <c r="AB908" i="7"/>
  <c r="AA908" i="7"/>
  <c r="Y908" i="7"/>
  <c r="Z907" i="7" s="1"/>
  <c r="AB907" i="7"/>
  <c r="AA907" i="7"/>
  <c r="Y907" i="7"/>
  <c r="Z906" i="7" s="1"/>
  <c r="AB906" i="7"/>
  <c r="AA906" i="7"/>
  <c r="Y906" i="7"/>
  <c r="Z905" i="7" s="1"/>
  <c r="AB905" i="7"/>
  <c r="AA905" i="7"/>
  <c r="Y905" i="7"/>
  <c r="Z904" i="7" s="1"/>
  <c r="AB904" i="7"/>
  <c r="AA904" i="7"/>
  <c r="Y904" i="7"/>
  <c r="Z903" i="7" s="1"/>
  <c r="AB903" i="7"/>
  <c r="AA903" i="7"/>
  <c r="Y903" i="7"/>
  <c r="Z902" i="7" s="1"/>
  <c r="AB902" i="7"/>
  <c r="AA902" i="7"/>
  <c r="Y902" i="7"/>
  <c r="Z901" i="7" s="1"/>
  <c r="AB901" i="7"/>
  <c r="AA901" i="7"/>
  <c r="Y901" i="7"/>
  <c r="Z900" i="7" s="1"/>
  <c r="AB900" i="7"/>
  <c r="AA900" i="7"/>
  <c r="Y900" i="7"/>
  <c r="Z899" i="7" s="1"/>
  <c r="AB899" i="7"/>
  <c r="AA899" i="7"/>
  <c r="Y899" i="7"/>
  <c r="Z898" i="7" s="1"/>
  <c r="AB898" i="7"/>
  <c r="AA898" i="7"/>
  <c r="Y898" i="7"/>
  <c r="Z897" i="7" s="1"/>
  <c r="AB897" i="7"/>
  <c r="AA897" i="7"/>
  <c r="Y897" i="7"/>
  <c r="Z896" i="7" s="1"/>
  <c r="AB896" i="7"/>
  <c r="AA896" i="7"/>
  <c r="Y896" i="7"/>
  <c r="Z895" i="7" s="1"/>
  <c r="AB895" i="7"/>
  <c r="AA895" i="7"/>
  <c r="Y895" i="7"/>
  <c r="Z894" i="7" s="1"/>
  <c r="AB894" i="7"/>
  <c r="AA894" i="7"/>
  <c r="Y894" i="7"/>
  <c r="Z893" i="7" s="1"/>
  <c r="AB893" i="7"/>
  <c r="AA893" i="7"/>
  <c r="Y893" i="7"/>
  <c r="Z892" i="7" s="1"/>
  <c r="AB892" i="7"/>
  <c r="AA892" i="7"/>
  <c r="Y892" i="7"/>
  <c r="Z891" i="7" s="1"/>
  <c r="AB891" i="7"/>
  <c r="AA891" i="7"/>
  <c r="Y891" i="7"/>
  <c r="Z890" i="7" s="1"/>
  <c r="AB890" i="7"/>
  <c r="AA890" i="7"/>
  <c r="Y890" i="7"/>
  <c r="Z889" i="7" s="1"/>
  <c r="AB889" i="7"/>
  <c r="AA889" i="7"/>
  <c r="Y889" i="7"/>
  <c r="Z888" i="7" s="1"/>
  <c r="AB888" i="7"/>
  <c r="AA888" i="7"/>
  <c r="Y888" i="7"/>
  <c r="Z887" i="7" s="1"/>
  <c r="AB887" i="7"/>
  <c r="AA887" i="7"/>
  <c r="Y887" i="7"/>
  <c r="Z886" i="7" s="1"/>
  <c r="AB886" i="7"/>
  <c r="AA886" i="7"/>
  <c r="Y886" i="7"/>
  <c r="AB885" i="7"/>
  <c r="AA885" i="7"/>
  <c r="Z885" i="7"/>
  <c r="Y885" i="7"/>
  <c r="Z884" i="7" s="1"/>
  <c r="AB884" i="7"/>
  <c r="AA884" i="7"/>
  <c r="Y884" i="7"/>
  <c r="Z883" i="7" s="1"/>
  <c r="AB883" i="7"/>
  <c r="AA883" i="7"/>
  <c r="Y883" i="7"/>
  <c r="Z882" i="7" s="1"/>
  <c r="AB882" i="7"/>
  <c r="AA882" i="7"/>
  <c r="Y882" i="7"/>
  <c r="Z881" i="7" s="1"/>
  <c r="AB881" i="7"/>
  <c r="AA881" i="7"/>
  <c r="Y881" i="7"/>
  <c r="Z880" i="7" s="1"/>
  <c r="AB880" i="7"/>
  <c r="AA880" i="7"/>
  <c r="Y880" i="7"/>
  <c r="Z879" i="7" s="1"/>
  <c r="AB879" i="7"/>
  <c r="AA879" i="7"/>
  <c r="Y879" i="7"/>
  <c r="Z878" i="7" s="1"/>
  <c r="AB878" i="7"/>
  <c r="AA878" i="7"/>
  <c r="Y878" i="7"/>
  <c r="Z877" i="7" s="1"/>
  <c r="AB877" i="7"/>
  <c r="AA877" i="7"/>
  <c r="Y877" i="7"/>
  <c r="Z876" i="7" s="1"/>
  <c r="AB876" i="7"/>
  <c r="AA876" i="7"/>
  <c r="Y876" i="7"/>
  <c r="AB875" i="7"/>
  <c r="AA875" i="7"/>
  <c r="Z875" i="7"/>
  <c r="Y875" i="7"/>
  <c r="Z874" i="7" s="1"/>
  <c r="AB874" i="7"/>
  <c r="AA874" i="7"/>
  <c r="Y874" i="7"/>
  <c r="Z873" i="7" s="1"/>
  <c r="AB873" i="7"/>
  <c r="AA873" i="7"/>
  <c r="Y873" i="7"/>
  <c r="Z872" i="7" s="1"/>
  <c r="AB872" i="7"/>
  <c r="AA872" i="7"/>
  <c r="Y872" i="7"/>
  <c r="Z871" i="7" s="1"/>
  <c r="AB871" i="7"/>
  <c r="AA871" i="7"/>
  <c r="Y871" i="7"/>
  <c r="Z870" i="7" s="1"/>
  <c r="AB870" i="7"/>
  <c r="AA870" i="7"/>
  <c r="Y870" i="7"/>
  <c r="AB869" i="7"/>
  <c r="AA869" i="7"/>
  <c r="Z869" i="7"/>
  <c r="Y869" i="7"/>
  <c r="Z868" i="7" s="1"/>
  <c r="AB868" i="7"/>
  <c r="AA868" i="7"/>
  <c r="Y868" i="7"/>
  <c r="Z867" i="7" s="1"/>
  <c r="AB867" i="7"/>
  <c r="AA867" i="7"/>
  <c r="Y867" i="7"/>
  <c r="Z866" i="7" s="1"/>
  <c r="AB866" i="7"/>
  <c r="AA866" i="7"/>
  <c r="Y866" i="7"/>
  <c r="Z865" i="7" s="1"/>
  <c r="AB865" i="7"/>
  <c r="AA865" i="7"/>
  <c r="Y865" i="7"/>
  <c r="Z864" i="7" s="1"/>
  <c r="AB864" i="7"/>
  <c r="AA864" i="7"/>
  <c r="Y864" i="7"/>
  <c r="Z863" i="7" s="1"/>
  <c r="AB863" i="7"/>
  <c r="AA863" i="7"/>
  <c r="Y863" i="7"/>
  <c r="Z862" i="7" s="1"/>
  <c r="AB862" i="7"/>
  <c r="AA862" i="7"/>
  <c r="Y862" i="7"/>
  <c r="Z861" i="7" s="1"/>
  <c r="AB861" i="7"/>
  <c r="AA861" i="7"/>
  <c r="Y861" i="7"/>
  <c r="Z860" i="7" s="1"/>
  <c r="AB860" i="7"/>
  <c r="AA860" i="7"/>
  <c r="Y860" i="7"/>
  <c r="Z859" i="7" s="1"/>
  <c r="AB859" i="7"/>
  <c r="AA859" i="7"/>
  <c r="Y859" i="7"/>
  <c r="Z858" i="7" s="1"/>
  <c r="AB858" i="7"/>
  <c r="AA858" i="7"/>
  <c r="Y858" i="7"/>
  <c r="Z857" i="7" s="1"/>
  <c r="AB857" i="7"/>
  <c r="AA857" i="7"/>
  <c r="Y857" i="7"/>
  <c r="Z856" i="7" s="1"/>
  <c r="AB856" i="7"/>
  <c r="AA856" i="7"/>
  <c r="Y856" i="7"/>
  <c r="Z855" i="7" s="1"/>
  <c r="AB855" i="7"/>
  <c r="AA855" i="7"/>
  <c r="Y855" i="7"/>
  <c r="Z854" i="7" s="1"/>
  <c r="AB854" i="7"/>
  <c r="AA854" i="7"/>
  <c r="Y854" i="7"/>
  <c r="Z853" i="7" s="1"/>
  <c r="AB853" i="7"/>
  <c r="AA853" i="7"/>
  <c r="Y853" i="7"/>
  <c r="Z852" i="7" s="1"/>
  <c r="AB852" i="7"/>
  <c r="AA852" i="7"/>
  <c r="Y852" i="7"/>
  <c r="Z851" i="7" s="1"/>
  <c r="AB851" i="7"/>
  <c r="AA851" i="7"/>
  <c r="Y851" i="7"/>
  <c r="Z850" i="7" s="1"/>
  <c r="AB850" i="7"/>
  <c r="AA850" i="7"/>
  <c r="Y850" i="7"/>
  <c r="Z849" i="7" s="1"/>
  <c r="AB849" i="7"/>
  <c r="AA849" i="7"/>
  <c r="Y849" i="7"/>
  <c r="Z848" i="7" s="1"/>
  <c r="AB848" i="7"/>
  <c r="AA848" i="7"/>
  <c r="Y848" i="7"/>
  <c r="Z847" i="7" s="1"/>
  <c r="AB847" i="7"/>
  <c r="AA847" i="7"/>
  <c r="Y847" i="7"/>
  <c r="Z846" i="7" s="1"/>
  <c r="AB846" i="7"/>
  <c r="AA846" i="7"/>
  <c r="Y846" i="7"/>
  <c r="Z845" i="7" s="1"/>
  <c r="AB845" i="7"/>
  <c r="AA845" i="7"/>
  <c r="Y845" i="7"/>
  <c r="Z844" i="7" s="1"/>
  <c r="AB844" i="7"/>
  <c r="AA844" i="7"/>
  <c r="Y844" i="7"/>
  <c r="Z843" i="7" s="1"/>
  <c r="AB843" i="7"/>
  <c r="AA843" i="7"/>
  <c r="Y843" i="7"/>
  <c r="Z842" i="7" s="1"/>
  <c r="AB842" i="7"/>
  <c r="AA842" i="7"/>
  <c r="Y842" i="7"/>
  <c r="AB841" i="7"/>
  <c r="AA841" i="7"/>
  <c r="Z841" i="7"/>
  <c r="Y841" i="7"/>
  <c r="Z840" i="7" s="1"/>
  <c r="AB840" i="7"/>
  <c r="AA840" i="7"/>
  <c r="Y840" i="7"/>
  <c r="Z839" i="7" s="1"/>
  <c r="AB839" i="7"/>
  <c r="AA839" i="7"/>
  <c r="Y839" i="7"/>
  <c r="Z838" i="7" s="1"/>
  <c r="AB838" i="7"/>
  <c r="AA838" i="7"/>
  <c r="Y838" i="7"/>
  <c r="AB837" i="7"/>
  <c r="AA837" i="7"/>
  <c r="Z837" i="7"/>
  <c r="Y837" i="7"/>
  <c r="Z836" i="7" s="1"/>
  <c r="AB836" i="7"/>
  <c r="AA836" i="7"/>
  <c r="Y836" i="7"/>
  <c r="Z835" i="7" s="1"/>
  <c r="AB835" i="7"/>
  <c r="AA835" i="7"/>
  <c r="Y835" i="7"/>
  <c r="Z834" i="7" s="1"/>
  <c r="AB834" i="7"/>
  <c r="AA834" i="7"/>
  <c r="Y834" i="7"/>
  <c r="Z833" i="7" s="1"/>
  <c r="AB833" i="7"/>
  <c r="AA833" i="7"/>
  <c r="Y833" i="7"/>
  <c r="Z832" i="7" s="1"/>
  <c r="AB832" i="7"/>
  <c r="AA832" i="7"/>
  <c r="Y832" i="7"/>
  <c r="Z831" i="7" s="1"/>
  <c r="AB831" i="7"/>
  <c r="AA831" i="7"/>
  <c r="Y831" i="7"/>
  <c r="Z830" i="7" s="1"/>
  <c r="AB830" i="7"/>
  <c r="AA830" i="7"/>
  <c r="Y830" i="7"/>
  <c r="Z829" i="7" s="1"/>
  <c r="AB829" i="7"/>
  <c r="AA829" i="7"/>
  <c r="Y829" i="7"/>
  <c r="Z828" i="7" s="1"/>
  <c r="AB828" i="7"/>
  <c r="AA828" i="7"/>
  <c r="Y828" i="7"/>
  <c r="AB827" i="7"/>
  <c r="AA827" i="7"/>
  <c r="Z827" i="7"/>
  <c r="Y827" i="7"/>
  <c r="Z826" i="7" s="1"/>
  <c r="AB826" i="7"/>
  <c r="AA826" i="7"/>
  <c r="Y826" i="7"/>
  <c r="Z825" i="7" s="1"/>
  <c r="AB825" i="7"/>
  <c r="AA825" i="7"/>
  <c r="Y825" i="7"/>
  <c r="Z824" i="7" s="1"/>
  <c r="AB824" i="7"/>
  <c r="AA824" i="7"/>
  <c r="Y824" i="7"/>
  <c r="Z823" i="7" s="1"/>
  <c r="AB823" i="7"/>
  <c r="AA823" i="7"/>
  <c r="Y823" i="7"/>
  <c r="Z822" i="7" s="1"/>
  <c r="AB822" i="7"/>
  <c r="AA822" i="7"/>
  <c r="Y822" i="7"/>
  <c r="Z821" i="7" s="1"/>
  <c r="AB821" i="7"/>
  <c r="AA821" i="7"/>
  <c r="Y821" i="7"/>
  <c r="Z820" i="7" s="1"/>
  <c r="AB820" i="7"/>
  <c r="AA820" i="7"/>
  <c r="Y820" i="7"/>
  <c r="Z819" i="7" s="1"/>
  <c r="AB819" i="7"/>
  <c r="AA819" i="7"/>
  <c r="Y819" i="7"/>
  <c r="Z818" i="7" s="1"/>
  <c r="AB818" i="7"/>
  <c r="AA818" i="7"/>
  <c r="Y818" i="7"/>
  <c r="Z817" i="7" s="1"/>
  <c r="AB817" i="7"/>
  <c r="AA817" i="7"/>
  <c r="Y817" i="7"/>
  <c r="Z816" i="7" s="1"/>
  <c r="AB816" i="7"/>
  <c r="AA816" i="7"/>
  <c r="Y816" i="7"/>
  <c r="Z815" i="7" s="1"/>
  <c r="AB815" i="7"/>
  <c r="AA815" i="7"/>
  <c r="Y815" i="7"/>
  <c r="Z814" i="7" s="1"/>
  <c r="AB814" i="7"/>
  <c r="AA814" i="7"/>
  <c r="Y814" i="7"/>
  <c r="Z813" i="7" s="1"/>
  <c r="AB813" i="7"/>
  <c r="AA813" i="7"/>
  <c r="Y813" i="7"/>
  <c r="Z812" i="7" s="1"/>
  <c r="AB812" i="7"/>
  <c r="AA812" i="7"/>
  <c r="Y812" i="7"/>
  <c r="Z811" i="7" s="1"/>
  <c r="AB811" i="7"/>
  <c r="AA811" i="7"/>
  <c r="Y811" i="7"/>
  <c r="Z810" i="7" s="1"/>
  <c r="AB810" i="7"/>
  <c r="AA810" i="7"/>
  <c r="Y810" i="7"/>
  <c r="Z809" i="7" s="1"/>
  <c r="AB809" i="7"/>
  <c r="AA809" i="7"/>
  <c r="Y809" i="7"/>
  <c r="Z808" i="7" s="1"/>
  <c r="AB808" i="7"/>
  <c r="AA808" i="7"/>
  <c r="Y808" i="7"/>
  <c r="Z807" i="7" s="1"/>
  <c r="AB807" i="7"/>
  <c r="AA807" i="7"/>
  <c r="Y807" i="7"/>
  <c r="Z806" i="7" s="1"/>
  <c r="AB806" i="7"/>
  <c r="AA806" i="7"/>
  <c r="Y806" i="7"/>
  <c r="AB805" i="7"/>
  <c r="AA805" i="7"/>
  <c r="Z805" i="7"/>
  <c r="Y805" i="7"/>
  <c r="Z804" i="7" s="1"/>
  <c r="AB804" i="7"/>
  <c r="AA804" i="7"/>
  <c r="Y804" i="7"/>
  <c r="Z803" i="7" s="1"/>
  <c r="AB803" i="7"/>
  <c r="AA803" i="7"/>
  <c r="Y803" i="7"/>
  <c r="Z802" i="7" s="1"/>
  <c r="AB802" i="7"/>
  <c r="AA802" i="7"/>
  <c r="Y802" i="7"/>
  <c r="Z801" i="7" s="1"/>
  <c r="AB801" i="7"/>
  <c r="AA801" i="7"/>
  <c r="Y801" i="7"/>
  <c r="Z800" i="7" s="1"/>
  <c r="AB800" i="7"/>
  <c r="AA800" i="7"/>
  <c r="Y800" i="7"/>
  <c r="Z799" i="7" s="1"/>
  <c r="AB799" i="7"/>
  <c r="AA799" i="7"/>
  <c r="Y799" i="7"/>
  <c r="Z798" i="7" s="1"/>
  <c r="AB798" i="7"/>
  <c r="AA798" i="7"/>
  <c r="Y798" i="7"/>
  <c r="Z797" i="7" s="1"/>
  <c r="AB797" i="7"/>
  <c r="AA797" i="7"/>
  <c r="Y797" i="7"/>
  <c r="Z796" i="7" s="1"/>
  <c r="AB796" i="7"/>
  <c r="AA796" i="7"/>
  <c r="Y796" i="7"/>
  <c r="Z795" i="7" s="1"/>
  <c r="AB795" i="7"/>
  <c r="AA795" i="7"/>
  <c r="Y795" i="7"/>
  <c r="Z794" i="7" s="1"/>
  <c r="AB794" i="7"/>
  <c r="AA794" i="7"/>
  <c r="Y794" i="7"/>
  <c r="Z793" i="7" s="1"/>
  <c r="AB793" i="7"/>
  <c r="AA793" i="7"/>
  <c r="Y793" i="7"/>
  <c r="Z792" i="7" s="1"/>
  <c r="AB792" i="7"/>
  <c r="AA792" i="7"/>
  <c r="Y792" i="7"/>
  <c r="AB791" i="7"/>
  <c r="AA791" i="7"/>
  <c r="Z791" i="7"/>
  <c r="Y791" i="7"/>
  <c r="Z790" i="7" s="1"/>
  <c r="AB790" i="7"/>
  <c r="AA790" i="7"/>
  <c r="Y790" i="7"/>
  <c r="Z789" i="7" s="1"/>
  <c r="AB789" i="7"/>
  <c r="AA789" i="7"/>
  <c r="Y789" i="7"/>
  <c r="Z788" i="7" s="1"/>
  <c r="AB788" i="7"/>
  <c r="AA788" i="7"/>
  <c r="Y788" i="7"/>
  <c r="Z787" i="7" s="1"/>
  <c r="AB787" i="7"/>
  <c r="AA787" i="7"/>
  <c r="Y787" i="7"/>
  <c r="Z786" i="7" s="1"/>
  <c r="AB786" i="7"/>
  <c r="AA786" i="7"/>
  <c r="Y786" i="7"/>
  <c r="Z785" i="7" s="1"/>
  <c r="AB785" i="7"/>
  <c r="AA785" i="7"/>
  <c r="Y785" i="7"/>
  <c r="Z784" i="7" s="1"/>
  <c r="AB784" i="7"/>
  <c r="AA784" i="7"/>
  <c r="Y784" i="7"/>
  <c r="Z783" i="7" s="1"/>
  <c r="AB783" i="7"/>
  <c r="AA783" i="7"/>
  <c r="Y783" i="7"/>
  <c r="Z782" i="7" s="1"/>
  <c r="AB782" i="7"/>
  <c r="AA782" i="7"/>
  <c r="Y782" i="7"/>
  <c r="Z781" i="7" s="1"/>
  <c r="AB781" i="7"/>
  <c r="AA781" i="7"/>
  <c r="Y781" i="7"/>
  <c r="Z780" i="7" s="1"/>
  <c r="AB780" i="7"/>
  <c r="AA780" i="7"/>
  <c r="Y780" i="7"/>
  <c r="Z779" i="7" s="1"/>
  <c r="AB779" i="7"/>
  <c r="AA779" i="7"/>
  <c r="Y779" i="7"/>
  <c r="Z778" i="7" s="1"/>
  <c r="AB778" i="7"/>
  <c r="AA778" i="7"/>
  <c r="Y778" i="7"/>
  <c r="Z777" i="7" s="1"/>
  <c r="AB777" i="7"/>
  <c r="AA777" i="7"/>
  <c r="Y777" i="7"/>
  <c r="Z776" i="7" s="1"/>
  <c r="AB776" i="7"/>
  <c r="AA776" i="7"/>
  <c r="Y776" i="7"/>
  <c r="Z775" i="7" s="1"/>
  <c r="AB775" i="7"/>
  <c r="AA775" i="7"/>
  <c r="Y775" i="7"/>
  <c r="Z774" i="7" s="1"/>
  <c r="AB774" i="7"/>
  <c r="AA774" i="7"/>
  <c r="Y774" i="7"/>
  <c r="Z773" i="7" s="1"/>
  <c r="AB773" i="7"/>
  <c r="AA773" i="7"/>
  <c r="Y773" i="7"/>
  <c r="Z772" i="7" s="1"/>
  <c r="AB772" i="7"/>
  <c r="AA772" i="7"/>
  <c r="Y772" i="7"/>
  <c r="AB771" i="7"/>
  <c r="AA771" i="7"/>
  <c r="Z771" i="7"/>
  <c r="Y771" i="7"/>
  <c r="Z770" i="7" s="1"/>
  <c r="AB770" i="7"/>
  <c r="AA770" i="7"/>
  <c r="Y770" i="7"/>
  <c r="Z769" i="7" s="1"/>
  <c r="AB769" i="7"/>
  <c r="AA769" i="7"/>
  <c r="Y769" i="7"/>
  <c r="Z768" i="7" s="1"/>
  <c r="AB768" i="7"/>
  <c r="AA768" i="7"/>
  <c r="Y768" i="7"/>
  <c r="Z767" i="7" s="1"/>
  <c r="AB767" i="7"/>
  <c r="AA767" i="7"/>
  <c r="Y767" i="7"/>
  <c r="Z766" i="7" s="1"/>
  <c r="AB766" i="7"/>
  <c r="AA766" i="7"/>
  <c r="Y766" i="7"/>
  <c r="Z765" i="7" s="1"/>
  <c r="AB765" i="7"/>
  <c r="AA765" i="7"/>
  <c r="Y765" i="7"/>
  <c r="Z764" i="7" s="1"/>
  <c r="AB764" i="7"/>
  <c r="AA764" i="7"/>
  <c r="Y764" i="7"/>
  <c r="Z763" i="7" s="1"/>
  <c r="AB763" i="7"/>
  <c r="AA763" i="7"/>
  <c r="Y763" i="7"/>
  <c r="Z762" i="7" s="1"/>
  <c r="AB762" i="7"/>
  <c r="AA762" i="7"/>
  <c r="Y762" i="7"/>
  <c r="Z761" i="7" s="1"/>
  <c r="AB761" i="7"/>
  <c r="AA761" i="7"/>
  <c r="Y761" i="7"/>
  <c r="Z760" i="7" s="1"/>
  <c r="AB760" i="7"/>
  <c r="AA760" i="7"/>
  <c r="Y760" i="7"/>
  <c r="AB759" i="7"/>
  <c r="AA759" i="7"/>
  <c r="Z759" i="7"/>
  <c r="Y759" i="7"/>
  <c r="Z758" i="7" s="1"/>
  <c r="AB758" i="7"/>
  <c r="AA758" i="7"/>
  <c r="Y758" i="7"/>
  <c r="Z757" i="7" s="1"/>
  <c r="AB757" i="7"/>
  <c r="AA757" i="7"/>
  <c r="Y757" i="7"/>
  <c r="Z756" i="7" s="1"/>
  <c r="AB756" i="7"/>
  <c r="AA756" i="7"/>
  <c r="Y756" i="7"/>
  <c r="Z755" i="7" s="1"/>
  <c r="AB755" i="7"/>
  <c r="AA755" i="7"/>
  <c r="Y755" i="7"/>
  <c r="Z754" i="7" s="1"/>
  <c r="AB754" i="7"/>
  <c r="AA754" i="7"/>
  <c r="Y754" i="7"/>
  <c r="Z753" i="7" s="1"/>
  <c r="AB753" i="7"/>
  <c r="AA753" i="7"/>
  <c r="Y753" i="7"/>
  <c r="Z752" i="7" s="1"/>
  <c r="AB752" i="7"/>
  <c r="AA752" i="7"/>
  <c r="Y752" i="7"/>
  <c r="Z751" i="7" s="1"/>
  <c r="AB751" i="7"/>
  <c r="AA751" i="7"/>
  <c r="Y751" i="7"/>
  <c r="Z750" i="7" s="1"/>
  <c r="AB750" i="7"/>
  <c r="AA750" i="7"/>
  <c r="Y750" i="7"/>
  <c r="Z749" i="7" s="1"/>
  <c r="AB749" i="7"/>
  <c r="AA749" i="7"/>
  <c r="Y749" i="7"/>
  <c r="Z748" i="7" s="1"/>
  <c r="AB748" i="7"/>
  <c r="AA748" i="7"/>
  <c r="Y748" i="7"/>
  <c r="AB747" i="7"/>
  <c r="AA747" i="7"/>
  <c r="Z747" i="7"/>
  <c r="Y747" i="7"/>
  <c r="Z746" i="7" s="1"/>
  <c r="AB746" i="7"/>
  <c r="AA746" i="7"/>
  <c r="Y746" i="7"/>
  <c r="Z745" i="7" s="1"/>
  <c r="AB745" i="7"/>
  <c r="AA745" i="7"/>
  <c r="Y745" i="7"/>
  <c r="Z744" i="7" s="1"/>
  <c r="AB744" i="7"/>
  <c r="AA744" i="7"/>
  <c r="Y744" i="7"/>
  <c r="Z743" i="7" s="1"/>
  <c r="AB743" i="7"/>
  <c r="AA743" i="7"/>
  <c r="Y743" i="7"/>
  <c r="Z742" i="7" s="1"/>
  <c r="AB742" i="7"/>
  <c r="AA742" i="7"/>
  <c r="Y742" i="7"/>
  <c r="Z741" i="7" s="1"/>
  <c r="AB741" i="7"/>
  <c r="AA741" i="7"/>
  <c r="Y741" i="7"/>
  <c r="Z740" i="7" s="1"/>
  <c r="AB740" i="7"/>
  <c r="AA740" i="7"/>
  <c r="Y740" i="7"/>
  <c r="Z739" i="7" s="1"/>
  <c r="AB739" i="7"/>
  <c r="AA739" i="7"/>
  <c r="Y739" i="7"/>
  <c r="Z738" i="7" s="1"/>
  <c r="AB738" i="7"/>
  <c r="AA738" i="7"/>
  <c r="Y738" i="7"/>
  <c r="Z737" i="7" s="1"/>
  <c r="AB737" i="7"/>
  <c r="AA737" i="7"/>
  <c r="Y737" i="7"/>
  <c r="Z736" i="7" s="1"/>
  <c r="AB736" i="7"/>
  <c r="AA736" i="7"/>
  <c r="Y736" i="7"/>
  <c r="Z735" i="7" s="1"/>
  <c r="AB735" i="7"/>
  <c r="AA735" i="7"/>
  <c r="Y735" i="7"/>
  <c r="Z734" i="7" s="1"/>
  <c r="AB734" i="7"/>
  <c r="AA734" i="7"/>
  <c r="Y734" i="7"/>
  <c r="Z733" i="7" s="1"/>
  <c r="AB733" i="7"/>
  <c r="AA733" i="7"/>
  <c r="Y733" i="7"/>
  <c r="Z732" i="7" s="1"/>
  <c r="AB732" i="7"/>
  <c r="AA732" i="7"/>
  <c r="Y732" i="7"/>
  <c r="Z731" i="7" s="1"/>
  <c r="AB731" i="7"/>
  <c r="AA731" i="7"/>
  <c r="Y731" i="7"/>
  <c r="Z730" i="7" s="1"/>
  <c r="AB730" i="7"/>
  <c r="AA730" i="7"/>
  <c r="Y730" i="7"/>
  <c r="Z729" i="7" s="1"/>
  <c r="AB729" i="7"/>
  <c r="AA729" i="7"/>
  <c r="Y729" i="7"/>
  <c r="Z728" i="7" s="1"/>
  <c r="AB728" i="7"/>
  <c r="AA728" i="7"/>
  <c r="Y728" i="7"/>
  <c r="Z727" i="7" s="1"/>
  <c r="AB727" i="7"/>
  <c r="AA727" i="7"/>
  <c r="Y727" i="7"/>
  <c r="Z726" i="7" s="1"/>
  <c r="AB726" i="7"/>
  <c r="AA726" i="7"/>
  <c r="Y726" i="7"/>
  <c r="AB725" i="7"/>
  <c r="AA725" i="7"/>
  <c r="Z725" i="7"/>
  <c r="Y725" i="7"/>
  <c r="Z724" i="7" s="1"/>
  <c r="AB724" i="7"/>
  <c r="AA724" i="7"/>
  <c r="Y724" i="7"/>
  <c r="Z723" i="7" s="1"/>
  <c r="AB723" i="7"/>
  <c r="AA723" i="7"/>
  <c r="Y723" i="7"/>
  <c r="Z722" i="7" s="1"/>
  <c r="AB722" i="7"/>
  <c r="AA722" i="7"/>
  <c r="Y722" i="7"/>
  <c r="Z721" i="7" s="1"/>
  <c r="AB721" i="7"/>
  <c r="AA721" i="7"/>
  <c r="Y721" i="7"/>
  <c r="Z720" i="7" s="1"/>
  <c r="AB720" i="7"/>
  <c r="AA720" i="7"/>
  <c r="Y720" i="7"/>
  <c r="Z719" i="7" s="1"/>
  <c r="AB719" i="7"/>
  <c r="AA719" i="7"/>
  <c r="Y719" i="7"/>
  <c r="Z718" i="7" s="1"/>
  <c r="AB718" i="7"/>
  <c r="AA718" i="7"/>
  <c r="Y718" i="7"/>
  <c r="Z717" i="7" s="1"/>
  <c r="AB717" i="7"/>
  <c r="AA717" i="7"/>
  <c r="Y717" i="7"/>
  <c r="Z716" i="7" s="1"/>
  <c r="AB716" i="7"/>
  <c r="AA716" i="7"/>
  <c r="Y716" i="7"/>
  <c r="Z715" i="7" s="1"/>
  <c r="AB715" i="7"/>
  <c r="AA715" i="7"/>
  <c r="Y715" i="7"/>
  <c r="Z714" i="7" s="1"/>
  <c r="AB714" i="7"/>
  <c r="AA714" i="7"/>
  <c r="Y714" i="7"/>
  <c r="Z713" i="7" s="1"/>
  <c r="AB713" i="7"/>
  <c r="AA713" i="7"/>
  <c r="Y713" i="7"/>
  <c r="Z712" i="7" s="1"/>
  <c r="AB712" i="7"/>
  <c r="AA712" i="7"/>
  <c r="Y712" i="7"/>
  <c r="Z711" i="7" s="1"/>
  <c r="AB711" i="7"/>
  <c r="AA711" i="7"/>
  <c r="Y711" i="7"/>
  <c r="Z710" i="7" s="1"/>
  <c r="AB710" i="7"/>
  <c r="AA710" i="7"/>
  <c r="Y710" i="7"/>
  <c r="Z709" i="7" s="1"/>
  <c r="AB709" i="7"/>
  <c r="AA709" i="7"/>
  <c r="Y709" i="7"/>
  <c r="Z708" i="7" s="1"/>
  <c r="AB708" i="7"/>
  <c r="AA708" i="7"/>
  <c r="Y708" i="7"/>
  <c r="Z707" i="7" s="1"/>
  <c r="AB707" i="7"/>
  <c r="AA707" i="7"/>
  <c r="Y707" i="7"/>
  <c r="Z706" i="7" s="1"/>
  <c r="AB706" i="7"/>
  <c r="AA706" i="7"/>
  <c r="Y706" i="7"/>
  <c r="Z705" i="7" s="1"/>
  <c r="AB705" i="7"/>
  <c r="AA705" i="7"/>
  <c r="Y705" i="7"/>
  <c r="Z704" i="7" s="1"/>
  <c r="AB704" i="7"/>
  <c r="AA704" i="7"/>
  <c r="Y704" i="7"/>
  <c r="Z703" i="7" s="1"/>
  <c r="AB703" i="7"/>
  <c r="AA703" i="7"/>
  <c r="Y703" i="7"/>
  <c r="Z702" i="7" s="1"/>
  <c r="AB702" i="7"/>
  <c r="AA702" i="7"/>
  <c r="Y702" i="7"/>
  <c r="Z701" i="7" s="1"/>
  <c r="AB701" i="7"/>
  <c r="AA701" i="7"/>
  <c r="Y701" i="7"/>
  <c r="Z700" i="7" s="1"/>
  <c r="AB700" i="7"/>
  <c r="AA700" i="7"/>
  <c r="Y700" i="7"/>
  <c r="Z699" i="7" s="1"/>
  <c r="AB699" i="7"/>
  <c r="AA699" i="7"/>
  <c r="Y699" i="7"/>
  <c r="Z698" i="7" s="1"/>
  <c r="AB698" i="7"/>
  <c r="AA698" i="7"/>
  <c r="Y698" i="7"/>
  <c r="Z697" i="7" s="1"/>
  <c r="AB697" i="7"/>
  <c r="AA697" i="7"/>
  <c r="Y697" i="7"/>
  <c r="Z696" i="7" s="1"/>
  <c r="AB696" i="7"/>
  <c r="AA696" i="7"/>
  <c r="Y696" i="7"/>
  <c r="Z695" i="7" s="1"/>
  <c r="AB695" i="7"/>
  <c r="AA695" i="7"/>
  <c r="Y695" i="7"/>
  <c r="Z694" i="7" s="1"/>
  <c r="AB694" i="7"/>
  <c r="AA694" i="7"/>
  <c r="Y694" i="7"/>
  <c r="AB693" i="7"/>
  <c r="AA693" i="7"/>
  <c r="Z693" i="7"/>
  <c r="Y693" i="7"/>
  <c r="Z692" i="7" s="1"/>
  <c r="AB692" i="7"/>
  <c r="AA692" i="7"/>
  <c r="Y692" i="7"/>
  <c r="Z691" i="7" s="1"/>
  <c r="AB691" i="7"/>
  <c r="AA691" i="7"/>
  <c r="Y691" i="7"/>
  <c r="Z690" i="7" s="1"/>
  <c r="AB690" i="7"/>
  <c r="AA690" i="7"/>
  <c r="Y690" i="7"/>
  <c r="Z689" i="7" s="1"/>
  <c r="AB689" i="7"/>
  <c r="AA689" i="7"/>
  <c r="Y689" i="7"/>
  <c r="Z688" i="7" s="1"/>
  <c r="AB688" i="7"/>
  <c r="AA688" i="7"/>
  <c r="Y688" i="7"/>
  <c r="Z687" i="7" s="1"/>
  <c r="AB687" i="7"/>
  <c r="AA687" i="7"/>
  <c r="Y687" i="7"/>
  <c r="Z686" i="7" s="1"/>
  <c r="AB686" i="7"/>
  <c r="AA686" i="7"/>
  <c r="Y686" i="7"/>
  <c r="Z685" i="7" s="1"/>
  <c r="AB685" i="7"/>
  <c r="AA685" i="7"/>
  <c r="Y685" i="7"/>
  <c r="Z684" i="7" s="1"/>
  <c r="AB684" i="7"/>
  <c r="AA684" i="7"/>
  <c r="Y684" i="7"/>
  <c r="AB683" i="7"/>
  <c r="AA683" i="7"/>
  <c r="Z683" i="7"/>
  <c r="Y683" i="7"/>
  <c r="Z682" i="7" s="1"/>
  <c r="AB682" i="7"/>
  <c r="AA682" i="7"/>
  <c r="Y682" i="7"/>
  <c r="Z681" i="7" s="1"/>
  <c r="AB681" i="7"/>
  <c r="AA681" i="7"/>
  <c r="Y681" i="7"/>
  <c r="Z680" i="7" s="1"/>
  <c r="AB680" i="7"/>
  <c r="AA680" i="7"/>
  <c r="Y680" i="7"/>
  <c r="AB679" i="7"/>
  <c r="AA679" i="7"/>
  <c r="Z679" i="7"/>
  <c r="Y679" i="7"/>
  <c r="Z678" i="7" s="1"/>
  <c r="AB678" i="7"/>
  <c r="AA678" i="7"/>
  <c r="Y678" i="7"/>
  <c r="Z677" i="7" s="1"/>
  <c r="AB677" i="7"/>
  <c r="AA677" i="7"/>
  <c r="Y677" i="7"/>
  <c r="Z676" i="7" s="1"/>
  <c r="AB676" i="7"/>
  <c r="AA676" i="7"/>
  <c r="Y676" i="7"/>
  <c r="Z675" i="7" s="1"/>
  <c r="AB675" i="7"/>
  <c r="AA675" i="7"/>
  <c r="Y675" i="7"/>
  <c r="Z674" i="7" s="1"/>
  <c r="AB674" i="7"/>
  <c r="AA674" i="7"/>
  <c r="Y674" i="7"/>
  <c r="Z673" i="7" s="1"/>
  <c r="AB673" i="7"/>
  <c r="AA673" i="7"/>
  <c r="Y673" i="7"/>
  <c r="Z672" i="7" s="1"/>
  <c r="AB672" i="7"/>
  <c r="AA672" i="7"/>
  <c r="Y672" i="7"/>
  <c r="Z671" i="7" s="1"/>
  <c r="AB671" i="7"/>
  <c r="AA671" i="7"/>
  <c r="Y671" i="7"/>
  <c r="Z670" i="7" s="1"/>
  <c r="AB670" i="7"/>
  <c r="AA670" i="7"/>
  <c r="Y670" i="7"/>
  <c r="Z669" i="7" s="1"/>
  <c r="AB669" i="7"/>
  <c r="AA669" i="7"/>
  <c r="Y669" i="7"/>
  <c r="Z668" i="7" s="1"/>
  <c r="AB668" i="7"/>
  <c r="AA668" i="7"/>
  <c r="Y668" i="7"/>
  <c r="Z667" i="7" s="1"/>
  <c r="AB667" i="7"/>
  <c r="AA667" i="7"/>
  <c r="Y667" i="7"/>
  <c r="Z666" i="7" s="1"/>
  <c r="AB666" i="7"/>
  <c r="AA666" i="7"/>
  <c r="Y666" i="7"/>
  <c r="Z665" i="7" s="1"/>
  <c r="AB665" i="7"/>
  <c r="AA665" i="7"/>
  <c r="Y665" i="7"/>
  <c r="Z664" i="7" s="1"/>
  <c r="AB664" i="7"/>
  <c r="AA664" i="7"/>
  <c r="Y664" i="7"/>
  <c r="Z663" i="7" s="1"/>
  <c r="AB663" i="7"/>
  <c r="AA663" i="7"/>
  <c r="Y663" i="7"/>
  <c r="Z662" i="7" s="1"/>
  <c r="AB662" i="7"/>
  <c r="AA662" i="7"/>
  <c r="Y662" i="7"/>
  <c r="AB661" i="7"/>
  <c r="AA661" i="7"/>
  <c r="Z661" i="7"/>
  <c r="Y661" i="7"/>
  <c r="Z660" i="7" s="1"/>
  <c r="AB660" i="7"/>
  <c r="AA660" i="7"/>
  <c r="Y660" i="7"/>
  <c r="Z659" i="7" s="1"/>
  <c r="AB659" i="7"/>
  <c r="AA659" i="7"/>
  <c r="Y659" i="7"/>
  <c r="Z658" i="7" s="1"/>
  <c r="AB658" i="7"/>
  <c r="AA658" i="7"/>
  <c r="Y658" i="7"/>
  <c r="Z657" i="7" s="1"/>
  <c r="AB657" i="7"/>
  <c r="AA657" i="7"/>
  <c r="Y657" i="7"/>
  <c r="Z656" i="7" s="1"/>
  <c r="AB656" i="7"/>
  <c r="AA656" i="7"/>
  <c r="Y656" i="7"/>
  <c r="Z655" i="7" s="1"/>
  <c r="AB655" i="7"/>
  <c r="AA655" i="7"/>
  <c r="Y655" i="7"/>
  <c r="Z654" i="7" s="1"/>
  <c r="AB654" i="7"/>
  <c r="AA654" i="7"/>
  <c r="Y654" i="7"/>
  <c r="Z653" i="7" s="1"/>
  <c r="AB653" i="7"/>
  <c r="AA653" i="7"/>
  <c r="Y653" i="7"/>
  <c r="Z652" i="7" s="1"/>
  <c r="AB652" i="7"/>
  <c r="AA652" i="7"/>
  <c r="Y652" i="7"/>
  <c r="AB651" i="7"/>
  <c r="AA651" i="7"/>
  <c r="Z651" i="7"/>
  <c r="Y651" i="7"/>
  <c r="Z650" i="7" s="1"/>
  <c r="AB650" i="7"/>
  <c r="AA650" i="7"/>
  <c r="Y650" i="7"/>
  <c r="Z649" i="7" s="1"/>
  <c r="AB649" i="7"/>
  <c r="AA649" i="7"/>
  <c r="Y649" i="7"/>
  <c r="Z648" i="7" s="1"/>
  <c r="AB648" i="7"/>
  <c r="AA648" i="7"/>
  <c r="Y648" i="7"/>
  <c r="AB647" i="7"/>
  <c r="AA647" i="7"/>
  <c r="Z647" i="7"/>
  <c r="Y647" i="7"/>
  <c r="Z646" i="7" s="1"/>
  <c r="AB646" i="7"/>
  <c r="AA646" i="7"/>
  <c r="Y646" i="7"/>
  <c r="Z645" i="7" s="1"/>
  <c r="AB645" i="7"/>
  <c r="AA645" i="7"/>
  <c r="Y645" i="7"/>
  <c r="Z644" i="7" s="1"/>
  <c r="AB644" i="7"/>
  <c r="AA644" i="7"/>
  <c r="Y644" i="7"/>
  <c r="Z643" i="7" s="1"/>
  <c r="AB643" i="7"/>
  <c r="AA643" i="7"/>
  <c r="Y643" i="7"/>
  <c r="Z642" i="7" s="1"/>
  <c r="AB642" i="7"/>
  <c r="AA642" i="7"/>
  <c r="Y642" i="7"/>
  <c r="Z641" i="7" s="1"/>
  <c r="AB641" i="7"/>
  <c r="AA641" i="7"/>
  <c r="Y641" i="7"/>
  <c r="Z640" i="7" s="1"/>
  <c r="AB640" i="7"/>
  <c r="AA640" i="7"/>
  <c r="Y640" i="7"/>
  <c r="Z639" i="7" s="1"/>
  <c r="AB639" i="7"/>
  <c r="AA639" i="7"/>
  <c r="Y639" i="7"/>
  <c r="Z638" i="7" s="1"/>
  <c r="AB638" i="7"/>
  <c r="AA638" i="7"/>
  <c r="Y638" i="7"/>
  <c r="Z637" i="7" s="1"/>
  <c r="AB637" i="7"/>
  <c r="AA637" i="7"/>
  <c r="Y637" i="7"/>
  <c r="Z636" i="7" s="1"/>
  <c r="AB636" i="7"/>
  <c r="AA636" i="7"/>
  <c r="Y636" i="7"/>
  <c r="Z635" i="7" s="1"/>
  <c r="AB635" i="7"/>
  <c r="AA635" i="7"/>
  <c r="Y635" i="7"/>
  <c r="Z634" i="7" s="1"/>
  <c r="AB634" i="7"/>
  <c r="AA634" i="7"/>
  <c r="Y634" i="7"/>
  <c r="Z633" i="7" s="1"/>
  <c r="AB633" i="7"/>
  <c r="AA633" i="7"/>
  <c r="Y633" i="7"/>
  <c r="Z632" i="7" s="1"/>
  <c r="AB632" i="7"/>
  <c r="AA632" i="7"/>
  <c r="Y632" i="7"/>
  <c r="Z631" i="7" s="1"/>
  <c r="AB631" i="7"/>
  <c r="AA631" i="7"/>
  <c r="Y631" i="7"/>
  <c r="Z630" i="7" s="1"/>
  <c r="AB630" i="7"/>
  <c r="AA630" i="7"/>
  <c r="Y630" i="7"/>
  <c r="Z629" i="7" s="1"/>
  <c r="AB629" i="7"/>
  <c r="AA629" i="7"/>
  <c r="Y629" i="7"/>
  <c r="Z628" i="7" s="1"/>
  <c r="AB628" i="7"/>
  <c r="AA628" i="7"/>
  <c r="Y628" i="7"/>
  <c r="Z627" i="7" s="1"/>
  <c r="AB627" i="7"/>
  <c r="AA627" i="7"/>
  <c r="Y627" i="7"/>
  <c r="Z626" i="7" s="1"/>
  <c r="AB626" i="7"/>
  <c r="AA626" i="7"/>
  <c r="Y626" i="7"/>
  <c r="Z625" i="7" s="1"/>
  <c r="AB625" i="7"/>
  <c r="AA625" i="7"/>
  <c r="Y625" i="7"/>
  <c r="Z624" i="7" s="1"/>
  <c r="AB624" i="7"/>
  <c r="AA624" i="7"/>
  <c r="Y624" i="7"/>
  <c r="Z623" i="7" s="1"/>
  <c r="AB623" i="7"/>
  <c r="AA623" i="7"/>
  <c r="Y623" i="7"/>
  <c r="Z622" i="7" s="1"/>
  <c r="AB622" i="7"/>
  <c r="AA622" i="7"/>
  <c r="Y622" i="7"/>
  <c r="Z621" i="7" s="1"/>
  <c r="AB621" i="7"/>
  <c r="AA621" i="7"/>
  <c r="Y621" i="7"/>
  <c r="Z620" i="7" s="1"/>
  <c r="AB620" i="7"/>
  <c r="AA620" i="7"/>
  <c r="Y620" i="7"/>
  <c r="Z619" i="7" s="1"/>
  <c r="AB619" i="7"/>
  <c r="AA619" i="7"/>
  <c r="Y619" i="7"/>
  <c r="Z618" i="7" s="1"/>
  <c r="AB618" i="7"/>
  <c r="AA618" i="7"/>
  <c r="Y618" i="7"/>
  <c r="Z617" i="7" s="1"/>
  <c r="AB617" i="7"/>
  <c r="AA617" i="7"/>
  <c r="Y617" i="7"/>
  <c r="Z616" i="7" s="1"/>
  <c r="AB616" i="7"/>
  <c r="AA616" i="7"/>
  <c r="Y616" i="7"/>
  <c r="Z615" i="7" s="1"/>
  <c r="AB615" i="7"/>
  <c r="AA615" i="7"/>
  <c r="Y615" i="7"/>
  <c r="Z614" i="7" s="1"/>
  <c r="AB614" i="7"/>
  <c r="AA614" i="7"/>
  <c r="Y614" i="7"/>
  <c r="Z613" i="7" s="1"/>
  <c r="AB613" i="7"/>
  <c r="AA613" i="7"/>
  <c r="Y613" i="7"/>
  <c r="Z612" i="7" s="1"/>
  <c r="AB612" i="7"/>
  <c r="AA612" i="7"/>
  <c r="Y612" i="7"/>
  <c r="Z611" i="7" s="1"/>
  <c r="AB611" i="7"/>
  <c r="AA611" i="7"/>
  <c r="Y611" i="7"/>
  <c r="Z610" i="7" s="1"/>
  <c r="AB610" i="7"/>
  <c r="AA610" i="7"/>
  <c r="Y610" i="7"/>
  <c r="Z609" i="7" s="1"/>
  <c r="AB609" i="7"/>
  <c r="AA609" i="7"/>
  <c r="Y609" i="7"/>
  <c r="Z608" i="7" s="1"/>
  <c r="AB608" i="7"/>
  <c r="AA608" i="7"/>
  <c r="Y608" i="7"/>
  <c r="Z607" i="7" s="1"/>
  <c r="AB607" i="7"/>
  <c r="AA607" i="7"/>
  <c r="Y607" i="7"/>
  <c r="Z606" i="7" s="1"/>
  <c r="AB606" i="7"/>
  <c r="AA606" i="7"/>
  <c r="Y606" i="7"/>
  <c r="Z605" i="7" s="1"/>
  <c r="AB605" i="7"/>
  <c r="AA605" i="7"/>
  <c r="Y605" i="7"/>
  <c r="Z604" i="7" s="1"/>
  <c r="AB604" i="7"/>
  <c r="AA604" i="7"/>
  <c r="Y604" i="7"/>
  <c r="Z603" i="7" s="1"/>
  <c r="AB603" i="7"/>
  <c r="AA603" i="7"/>
  <c r="Y603" i="7"/>
  <c r="Z602" i="7" s="1"/>
  <c r="AB602" i="7"/>
  <c r="AA602" i="7"/>
  <c r="Y602" i="7"/>
  <c r="Z601" i="7" s="1"/>
  <c r="AB601" i="7"/>
  <c r="AA601" i="7"/>
  <c r="Y601" i="7"/>
  <c r="Z600" i="7" s="1"/>
  <c r="AB600" i="7"/>
  <c r="AA600" i="7"/>
  <c r="Y600" i="7"/>
  <c r="Z599" i="7" s="1"/>
  <c r="AB599" i="7"/>
  <c r="AA599" i="7"/>
  <c r="Y599" i="7"/>
  <c r="Z598" i="7" s="1"/>
  <c r="AB598" i="7"/>
  <c r="AA598" i="7"/>
  <c r="Y598" i="7"/>
  <c r="Z597" i="7" s="1"/>
  <c r="AB597" i="7"/>
  <c r="AA597" i="7"/>
  <c r="Y597" i="7"/>
  <c r="AB596" i="7"/>
  <c r="AA596" i="7"/>
  <c r="Z596" i="7"/>
  <c r="Y596" i="7"/>
  <c r="Z595" i="7" s="1"/>
  <c r="AB595" i="7"/>
  <c r="AA595" i="7"/>
  <c r="Y595" i="7"/>
  <c r="Z594" i="7" s="1"/>
  <c r="AB594" i="7"/>
  <c r="AA594" i="7"/>
  <c r="Y594" i="7"/>
  <c r="Z593" i="7" s="1"/>
  <c r="AB593" i="7"/>
  <c r="AA593" i="7"/>
  <c r="Y593" i="7"/>
  <c r="Z592" i="7" s="1"/>
  <c r="AB592" i="7"/>
  <c r="AA592" i="7"/>
  <c r="Y592" i="7"/>
  <c r="Z591" i="7" s="1"/>
  <c r="AB591" i="7"/>
  <c r="AA591" i="7"/>
  <c r="Y591" i="7"/>
  <c r="Z590" i="7" s="1"/>
  <c r="AB590" i="7"/>
  <c r="AA590" i="7"/>
  <c r="Y590" i="7"/>
  <c r="Z589" i="7" s="1"/>
  <c r="AB589" i="7"/>
  <c r="AA589" i="7"/>
  <c r="Y589" i="7"/>
  <c r="Z588" i="7" s="1"/>
  <c r="AB588" i="7"/>
  <c r="AA588" i="7"/>
  <c r="Y588" i="7"/>
  <c r="Z587" i="7" s="1"/>
  <c r="AB587" i="7"/>
  <c r="AA587" i="7"/>
  <c r="Y587" i="7"/>
  <c r="Z586" i="7" s="1"/>
  <c r="AB586" i="7"/>
  <c r="AA586" i="7"/>
  <c r="Y586" i="7"/>
  <c r="Z585" i="7" s="1"/>
  <c r="AB585" i="7"/>
  <c r="AA585" i="7"/>
  <c r="Y585" i="7"/>
  <c r="Z584" i="7" s="1"/>
  <c r="AB584" i="7"/>
  <c r="AA584" i="7"/>
  <c r="Y584" i="7"/>
  <c r="Z583" i="7" s="1"/>
  <c r="AB583" i="7"/>
  <c r="AA583" i="7"/>
  <c r="Y583" i="7"/>
  <c r="Z582" i="7" s="1"/>
  <c r="AB582" i="7"/>
  <c r="AA582" i="7"/>
  <c r="Y582" i="7"/>
  <c r="Z581" i="7" s="1"/>
  <c r="AB581" i="7"/>
  <c r="AA581" i="7"/>
  <c r="Y581" i="7"/>
  <c r="Z580" i="7" s="1"/>
  <c r="AB580" i="7"/>
  <c r="AA580" i="7"/>
  <c r="Y580" i="7"/>
  <c r="Z579" i="7" s="1"/>
  <c r="AB579" i="7"/>
  <c r="AA579" i="7"/>
  <c r="Y579" i="7"/>
  <c r="AB578" i="7"/>
  <c r="AA578" i="7"/>
  <c r="Z578" i="7"/>
  <c r="Y578" i="7"/>
  <c r="Z577" i="7" s="1"/>
  <c r="AB577" i="7"/>
  <c r="AA577" i="7"/>
  <c r="Y577" i="7"/>
  <c r="Z576" i="7" s="1"/>
  <c r="AB576" i="7"/>
  <c r="AA576" i="7"/>
  <c r="Y576" i="7"/>
  <c r="Z575" i="7" s="1"/>
  <c r="AB575" i="7"/>
  <c r="AA575" i="7"/>
  <c r="Y575" i="7"/>
  <c r="Z574" i="7" s="1"/>
  <c r="AB574" i="7"/>
  <c r="AA574" i="7"/>
  <c r="Y574" i="7"/>
  <c r="Z573" i="7" s="1"/>
  <c r="AB573" i="7"/>
  <c r="AA573" i="7"/>
  <c r="Y573" i="7"/>
  <c r="Z572" i="7" s="1"/>
  <c r="AB572" i="7"/>
  <c r="AA572" i="7"/>
  <c r="Y572" i="7"/>
  <c r="Z571" i="7" s="1"/>
  <c r="AB571" i="7"/>
  <c r="AA571" i="7"/>
  <c r="Y571" i="7"/>
  <c r="Z570" i="7" s="1"/>
  <c r="AB570" i="7"/>
  <c r="AA570" i="7"/>
  <c r="Y570" i="7"/>
  <c r="Z569" i="7" s="1"/>
  <c r="AB569" i="7"/>
  <c r="AA569" i="7"/>
  <c r="Y569" i="7"/>
  <c r="Z568" i="7" s="1"/>
  <c r="AB568" i="7"/>
  <c r="AA568" i="7"/>
  <c r="Y568" i="7"/>
  <c r="Z567" i="7" s="1"/>
  <c r="AB567" i="7"/>
  <c r="AA567" i="7"/>
  <c r="Y567" i="7"/>
  <c r="Z566" i="7" s="1"/>
  <c r="AB566" i="7"/>
  <c r="AA566" i="7"/>
  <c r="Y566" i="7"/>
  <c r="Z565" i="7" s="1"/>
  <c r="AB565" i="7"/>
  <c r="AA565" i="7"/>
  <c r="Y565" i="7"/>
  <c r="Z564" i="7" s="1"/>
  <c r="AB564" i="7"/>
  <c r="AA564" i="7"/>
  <c r="Y564" i="7"/>
  <c r="Z563" i="7" s="1"/>
  <c r="AB563" i="7"/>
  <c r="AA563" i="7"/>
  <c r="Y563" i="7"/>
  <c r="Z562" i="7" s="1"/>
  <c r="AB562" i="7"/>
  <c r="AA562" i="7"/>
  <c r="Y562" i="7"/>
  <c r="Z561" i="7" s="1"/>
  <c r="AB561" i="7"/>
  <c r="AA561" i="7"/>
  <c r="Y561" i="7"/>
  <c r="Z560" i="7" s="1"/>
  <c r="AB560" i="7"/>
  <c r="AA560" i="7"/>
  <c r="Y560" i="7"/>
  <c r="Z559" i="7" s="1"/>
  <c r="AB559" i="7"/>
  <c r="AA559" i="7"/>
  <c r="Y559" i="7"/>
  <c r="Z558" i="7" s="1"/>
  <c r="AB558" i="7"/>
  <c r="AA558" i="7"/>
  <c r="Y558" i="7"/>
  <c r="Z557" i="7" s="1"/>
  <c r="AB557" i="7"/>
  <c r="AA557" i="7"/>
  <c r="Y557" i="7"/>
  <c r="Z556" i="7" s="1"/>
  <c r="AB556" i="7"/>
  <c r="AA556" i="7"/>
  <c r="Y556" i="7"/>
  <c r="Z555" i="7" s="1"/>
  <c r="AB555" i="7"/>
  <c r="AA555" i="7"/>
  <c r="Y555" i="7"/>
  <c r="Z554" i="7" s="1"/>
  <c r="AB554" i="7"/>
  <c r="AA554" i="7"/>
  <c r="Y554" i="7"/>
  <c r="Z553" i="7" s="1"/>
  <c r="AB553" i="7"/>
  <c r="AA553" i="7"/>
  <c r="Y553" i="7"/>
  <c r="Z552" i="7" s="1"/>
  <c r="AB552" i="7"/>
  <c r="AA552" i="7"/>
  <c r="Y552" i="7"/>
  <c r="Z551" i="7" s="1"/>
  <c r="AB551" i="7"/>
  <c r="AA551" i="7"/>
  <c r="Y551" i="7"/>
  <c r="Z550" i="7" s="1"/>
  <c r="AB550" i="7"/>
  <c r="AA550" i="7"/>
  <c r="Y550" i="7"/>
  <c r="Z549" i="7" s="1"/>
  <c r="AB549" i="7"/>
  <c r="AA549" i="7"/>
  <c r="Y549" i="7"/>
  <c r="Z548" i="7" s="1"/>
  <c r="AB548" i="7"/>
  <c r="AA548" i="7"/>
  <c r="Y548" i="7"/>
  <c r="Z547" i="7" s="1"/>
  <c r="AB547" i="7"/>
  <c r="AA547" i="7"/>
  <c r="Y547" i="7"/>
  <c r="Z546" i="7" s="1"/>
  <c r="AB546" i="7"/>
  <c r="AA546" i="7"/>
  <c r="Y546" i="7"/>
  <c r="Z545" i="7" s="1"/>
  <c r="AB545" i="7"/>
  <c r="AA545" i="7"/>
  <c r="Y545" i="7"/>
  <c r="Z544" i="7" s="1"/>
  <c r="AB544" i="7"/>
  <c r="AA544" i="7"/>
  <c r="Y544" i="7"/>
  <c r="Z543" i="7" s="1"/>
  <c r="AB543" i="7"/>
  <c r="AA543" i="7"/>
  <c r="Y543" i="7"/>
  <c r="Z542" i="7" s="1"/>
  <c r="AB542" i="7"/>
  <c r="AA542" i="7"/>
  <c r="Y542" i="7"/>
  <c r="Z541" i="7" s="1"/>
  <c r="AB541" i="7"/>
  <c r="AA541" i="7"/>
  <c r="Y541" i="7"/>
  <c r="Z540" i="7" s="1"/>
  <c r="AB540" i="7"/>
  <c r="AA540" i="7"/>
  <c r="Y540" i="7"/>
  <c r="Z539" i="7" s="1"/>
  <c r="AB539" i="7"/>
  <c r="AA539" i="7"/>
  <c r="Y539" i="7"/>
  <c r="Z538" i="7" s="1"/>
  <c r="AB538" i="7"/>
  <c r="AA538" i="7"/>
  <c r="Y538" i="7"/>
  <c r="Z537" i="7" s="1"/>
  <c r="AB537" i="7"/>
  <c r="AA537" i="7"/>
  <c r="Y537" i="7"/>
  <c r="Z536" i="7" s="1"/>
  <c r="AB536" i="7"/>
  <c r="AA536" i="7"/>
  <c r="Y536" i="7"/>
  <c r="Z535" i="7" s="1"/>
  <c r="AB535" i="7"/>
  <c r="AA535" i="7"/>
  <c r="Y535" i="7"/>
  <c r="Z534" i="7" s="1"/>
  <c r="AB534" i="7"/>
  <c r="AA534" i="7"/>
  <c r="Y534" i="7"/>
  <c r="Z533" i="7" s="1"/>
  <c r="AB533" i="7"/>
  <c r="AA533" i="7"/>
  <c r="Y533" i="7"/>
  <c r="Z532" i="7" s="1"/>
  <c r="AB532" i="7"/>
  <c r="AA532" i="7"/>
  <c r="Y532" i="7"/>
  <c r="Z531" i="7" s="1"/>
  <c r="AB531" i="7"/>
  <c r="AA531" i="7"/>
  <c r="Y531" i="7"/>
  <c r="Z530" i="7" s="1"/>
  <c r="AB530" i="7"/>
  <c r="AA530" i="7"/>
  <c r="Y530" i="7"/>
  <c r="Z529" i="7" s="1"/>
  <c r="AB529" i="7"/>
  <c r="AA529" i="7"/>
  <c r="Y529" i="7"/>
  <c r="Z528" i="7" s="1"/>
  <c r="AB528" i="7"/>
  <c r="AA528" i="7"/>
  <c r="Y528" i="7"/>
  <c r="Z527" i="7" s="1"/>
  <c r="AB527" i="7"/>
  <c r="AA527" i="7"/>
  <c r="Y527" i="7"/>
  <c r="Z526" i="7" s="1"/>
  <c r="AB526" i="7"/>
  <c r="AA526" i="7"/>
  <c r="Y526" i="7"/>
  <c r="Z525" i="7" s="1"/>
  <c r="AB525" i="7"/>
  <c r="AA525" i="7"/>
  <c r="Y525" i="7"/>
  <c r="Z524" i="7" s="1"/>
  <c r="AB524" i="7"/>
  <c r="AA524" i="7"/>
  <c r="Y524" i="7"/>
  <c r="Z523" i="7" s="1"/>
  <c r="AB523" i="7"/>
  <c r="AA523" i="7"/>
  <c r="Y523" i="7"/>
  <c r="Z522" i="7" s="1"/>
  <c r="AB522" i="7"/>
  <c r="AA522" i="7"/>
  <c r="Y522" i="7"/>
  <c r="Z521" i="7" s="1"/>
  <c r="AB521" i="7"/>
  <c r="AA521" i="7"/>
  <c r="Y521" i="7"/>
  <c r="Z520" i="7" s="1"/>
  <c r="AB520" i="7"/>
  <c r="AA520" i="7"/>
  <c r="Y520" i="7"/>
  <c r="Z519" i="7" s="1"/>
  <c r="AB519" i="7"/>
  <c r="AA519" i="7"/>
  <c r="Y519" i="7"/>
  <c r="Z518" i="7" s="1"/>
  <c r="AB518" i="7"/>
  <c r="AA518" i="7"/>
  <c r="Y518" i="7"/>
  <c r="Z517" i="7" s="1"/>
  <c r="AB517" i="7"/>
  <c r="AA517" i="7"/>
  <c r="Y517" i="7"/>
  <c r="AB516" i="7"/>
  <c r="AA516" i="7"/>
  <c r="Z516" i="7"/>
  <c r="Y516" i="7"/>
  <c r="Z515" i="7" s="1"/>
  <c r="AB515" i="7"/>
  <c r="AA515" i="7"/>
  <c r="Y515" i="7"/>
  <c r="Z514" i="7" s="1"/>
  <c r="AB514" i="7"/>
  <c r="AA514" i="7"/>
  <c r="Y514" i="7"/>
  <c r="Z513" i="7" s="1"/>
  <c r="AB513" i="7"/>
  <c r="AA513" i="7"/>
  <c r="Y513" i="7"/>
  <c r="Z512" i="7" s="1"/>
  <c r="AB512" i="7"/>
  <c r="AA512" i="7"/>
  <c r="Y512" i="7"/>
  <c r="Z511" i="7" s="1"/>
  <c r="AB511" i="7"/>
  <c r="AA511" i="7"/>
  <c r="Y511" i="7"/>
  <c r="Z510" i="7" s="1"/>
  <c r="AB510" i="7"/>
  <c r="AA510" i="7"/>
  <c r="Y510" i="7"/>
  <c r="Z509" i="7" s="1"/>
  <c r="AB509" i="7"/>
  <c r="AA509" i="7"/>
  <c r="Y509" i="7"/>
  <c r="Z508" i="7" s="1"/>
  <c r="AB508" i="7"/>
  <c r="AA508" i="7"/>
  <c r="Y508" i="7"/>
  <c r="Z507" i="7" s="1"/>
  <c r="AB507" i="7"/>
  <c r="AA507" i="7"/>
  <c r="Y507" i="7"/>
  <c r="Z506" i="7" s="1"/>
  <c r="AB506" i="7"/>
  <c r="AA506" i="7"/>
  <c r="Y506" i="7"/>
  <c r="Z505" i="7" s="1"/>
  <c r="AB505" i="7"/>
  <c r="AA505" i="7"/>
  <c r="Y505" i="7"/>
  <c r="Z504" i="7" s="1"/>
  <c r="AB504" i="7"/>
  <c r="AA504" i="7"/>
  <c r="Y504" i="7"/>
  <c r="Z503" i="7" s="1"/>
  <c r="AB503" i="7"/>
  <c r="AA503" i="7"/>
  <c r="Y503" i="7"/>
  <c r="Z502" i="7" s="1"/>
  <c r="AB502" i="7"/>
  <c r="AA502" i="7"/>
  <c r="Y502" i="7"/>
  <c r="Z501" i="7" s="1"/>
  <c r="AB501" i="7"/>
  <c r="AA501" i="7"/>
  <c r="Y501" i="7"/>
  <c r="Z500" i="7" s="1"/>
  <c r="AB500" i="7"/>
  <c r="AA500" i="7"/>
  <c r="Y500" i="7"/>
  <c r="Z499" i="7" s="1"/>
  <c r="AB499" i="7"/>
  <c r="AA499" i="7"/>
  <c r="Y499" i="7"/>
  <c r="Z498" i="7" s="1"/>
  <c r="AB498" i="7"/>
  <c r="AA498" i="7"/>
  <c r="Y498" i="7"/>
  <c r="Z497" i="7" s="1"/>
  <c r="AB497" i="7"/>
  <c r="AA497" i="7"/>
  <c r="Y497" i="7"/>
  <c r="AB496" i="7"/>
  <c r="AA496" i="7"/>
  <c r="Z496" i="7"/>
  <c r="Y496" i="7"/>
  <c r="Z495" i="7" s="1"/>
  <c r="AB495" i="7"/>
  <c r="AA495" i="7"/>
  <c r="Y495" i="7"/>
  <c r="Z494" i="7" s="1"/>
  <c r="AB494" i="7"/>
  <c r="AA494" i="7"/>
  <c r="Y494" i="7"/>
  <c r="Z493" i="7" s="1"/>
  <c r="AB493" i="7"/>
  <c r="AA493" i="7"/>
  <c r="Y493" i="7"/>
  <c r="Z492" i="7" s="1"/>
  <c r="AB492" i="7"/>
  <c r="AA492" i="7"/>
  <c r="Y492" i="7"/>
  <c r="Z491" i="7" s="1"/>
  <c r="AB491" i="7"/>
  <c r="AA491" i="7"/>
  <c r="Y491" i="7"/>
  <c r="Z490" i="7" s="1"/>
  <c r="AB490" i="7"/>
  <c r="AA490" i="7"/>
  <c r="Y490" i="7"/>
  <c r="Z489" i="7" s="1"/>
  <c r="AB489" i="7"/>
  <c r="AA489" i="7"/>
  <c r="Y489" i="7"/>
  <c r="Z488" i="7" s="1"/>
  <c r="AB488" i="7"/>
  <c r="AA488" i="7"/>
  <c r="Y488" i="7"/>
  <c r="Z487" i="7" s="1"/>
  <c r="AB487" i="7"/>
  <c r="AA487" i="7"/>
  <c r="Y487" i="7"/>
  <c r="Z486" i="7" s="1"/>
  <c r="AB486" i="7"/>
  <c r="AA486" i="7"/>
  <c r="Y486" i="7"/>
  <c r="Z485" i="7" s="1"/>
  <c r="AB485" i="7"/>
  <c r="AA485" i="7"/>
  <c r="Y485" i="7"/>
  <c r="Z484" i="7" s="1"/>
  <c r="AB484" i="7"/>
  <c r="AA484" i="7"/>
  <c r="Y484" i="7"/>
  <c r="Z483" i="7" s="1"/>
  <c r="AB483" i="7"/>
  <c r="AA483" i="7"/>
  <c r="Y483" i="7"/>
  <c r="Z482" i="7" s="1"/>
  <c r="AB482" i="7"/>
  <c r="AA482" i="7"/>
  <c r="Y482" i="7"/>
  <c r="Z481" i="7" s="1"/>
  <c r="AB481" i="7"/>
  <c r="AA481" i="7"/>
  <c r="Y481" i="7"/>
  <c r="Z480" i="7" s="1"/>
  <c r="AB480" i="7"/>
  <c r="AA480" i="7"/>
  <c r="Y480" i="7"/>
  <c r="Z479" i="7" s="1"/>
  <c r="AB479" i="7"/>
  <c r="AA479" i="7"/>
  <c r="Y479" i="7"/>
  <c r="Z478" i="7" s="1"/>
  <c r="AB478" i="7"/>
  <c r="AA478" i="7"/>
  <c r="Y478" i="7"/>
  <c r="Z477" i="7" s="1"/>
  <c r="AB477" i="7"/>
  <c r="AA477" i="7"/>
  <c r="Y477" i="7"/>
  <c r="Z476" i="7" s="1"/>
  <c r="AB476" i="7"/>
  <c r="AA476" i="7"/>
  <c r="Y476" i="7"/>
  <c r="Z475" i="7" s="1"/>
  <c r="AB475" i="7"/>
  <c r="AA475" i="7"/>
  <c r="Y475" i="7"/>
  <c r="Z474" i="7" s="1"/>
  <c r="AB474" i="7"/>
  <c r="AA474" i="7"/>
  <c r="Y474" i="7"/>
  <c r="Z473" i="7" s="1"/>
  <c r="AB473" i="7"/>
  <c r="AA473" i="7"/>
  <c r="Y473" i="7"/>
  <c r="Z472" i="7" s="1"/>
  <c r="AB472" i="7"/>
  <c r="AA472" i="7"/>
  <c r="Y472" i="7"/>
  <c r="Z471" i="7" s="1"/>
  <c r="AB471" i="7"/>
  <c r="AA471" i="7"/>
  <c r="Y471" i="7"/>
  <c r="AB470" i="7"/>
  <c r="AA470" i="7"/>
  <c r="Z470" i="7"/>
  <c r="Y470" i="7"/>
  <c r="Z469" i="7" s="1"/>
  <c r="AB469" i="7"/>
  <c r="AA469" i="7"/>
  <c r="Y469" i="7"/>
  <c r="Z468" i="7" s="1"/>
  <c r="AB468" i="7"/>
  <c r="AA468" i="7"/>
  <c r="Y468" i="7"/>
  <c r="Z467" i="7" s="1"/>
  <c r="AB467" i="7"/>
  <c r="AA467" i="7"/>
  <c r="Y467" i="7"/>
  <c r="Z466" i="7" s="1"/>
  <c r="AB466" i="7"/>
  <c r="AA466" i="7"/>
  <c r="Y466" i="7"/>
  <c r="Z465" i="7" s="1"/>
  <c r="AB465" i="7"/>
  <c r="AA465" i="7"/>
  <c r="Y465" i="7"/>
  <c r="Z464" i="7" s="1"/>
  <c r="AB464" i="7"/>
  <c r="AA464" i="7"/>
  <c r="Y464" i="7"/>
  <c r="Z463" i="7" s="1"/>
  <c r="AB463" i="7"/>
  <c r="AA463" i="7"/>
  <c r="Y463" i="7"/>
  <c r="Z462" i="7" s="1"/>
  <c r="AB462" i="7"/>
  <c r="AA462" i="7"/>
  <c r="Y462" i="7"/>
  <c r="Z461" i="7" s="1"/>
  <c r="AB461" i="7"/>
  <c r="AA461" i="7"/>
  <c r="Y461" i="7"/>
  <c r="Z460" i="7" s="1"/>
  <c r="AB460" i="7"/>
  <c r="AA460" i="7"/>
  <c r="Y460" i="7"/>
  <c r="AB459" i="7"/>
  <c r="AA459" i="7"/>
  <c r="Z459" i="7"/>
  <c r="Y459" i="7"/>
  <c r="Z458" i="7" s="1"/>
  <c r="AB458" i="7"/>
  <c r="AA458" i="7"/>
  <c r="Y458" i="7"/>
  <c r="Z457" i="7" s="1"/>
  <c r="AB457" i="7"/>
  <c r="AA457" i="7"/>
  <c r="Y457" i="7"/>
  <c r="Z456" i="7" s="1"/>
  <c r="AB456" i="7"/>
  <c r="AA456" i="7"/>
  <c r="Y456" i="7"/>
  <c r="Z455" i="7" s="1"/>
  <c r="AB455" i="7"/>
  <c r="AA455" i="7"/>
  <c r="Y455" i="7"/>
  <c r="Z454" i="7" s="1"/>
  <c r="AB454" i="7"/>
  <c r="AA454" i="7"/>
  <c r="Y454" i="7"/>
  <c r="Z453" i="7" s="1"/>
  <c r="AB453" i="7"/>
  <c r="AA453" i="7"/>
  <c r="Y453" i="7"/>
  <c r="Z452" i="7" s="1"/>
  <c r="AB452" i="7"/>
  <c r="AA452" i="7"/>
  <c r="Y452" i="7"/>
  <c r="Z451" i="7" s="1"/>
  <c r="AB451" i="7"/>
  <c r="AA451" i="7"/>
  <c r="Y451" i="7"/>
  <c r="Z450" i="7" s="1"/>
  <c r="AB450" i="7"/>
  <c r="AA450" i="7"/>
  <c r="Y450" i="7"/>
  <c r="Z449" i="7" s="1"/>
  <c r="AB449" i="7"/>
  <c r="AA449" i="7"/>
  <c r="Y449" i="7"/>
  <c r="Z448" i="7" s="1"/>
  <c r="AB448" i="7"/>
  <c r="AA448" i="7"/>
  <c r="Y448" i="7"/>
  <c r="Z447" i="7" s="1"/>
  <c r="AB447" i="7"/>
  <c r="AA447" i="7"/>
  <c r="Y447" i="7"/>
  <c r="Z446" i="7" s="1"/>
  <c r="AB446" i="7"/>
  <c r="AA446" i="7"/>
  <c r="Y446" i="7"/>
  <c r="Z445" i="7" s="1"/>
  <c r="AB445" i="7"/>
  <c r="AA445" i="7"/>
  <c r="Y445" i="7"/>
  <c r="Z444" i="7" s="1"/>
  <c r="AB444" i="7"/>
  <c r="AA444" i="7"/>
  <c r="Y444" i="7"/>
  <c r="Z443" i="7" s="1"/>
  <c r="AB443" i="7"/>
  <c r="AA443" i="7"/>
  <c r="Y443" i="7"/>
  <c r="Z442" i="7" s="1"/>
  <c r="AB442" i="7"/>
  <c r="AA442" i="7"/>
  <c r="Y442" i="7"/>
  <c r="Z441" i="7" s="1"/>
  <c r="AB441" i="7"/>
  <c r="AA441" i="7"/>
  <c r="Y441" i="7"/>
  <c r="Z440" i="7" s="1"/>
  <c r="AB440" i="7"/>
  <c r="AA440" i="7"/>
  <c r="Y440" i="7"/>
  <c r="Z439" i="7" s="1"/>
  <c r="AB439" i="7"/>
  <c r="AA439" i="7"/>
  <c r="Y439" i="7"/>
  <c r="Z438" i="7" s="1"/>
  <c r="AB438" i="7"/>
  <c r="AA438" i="7"/>
  <c r="Y438" i="7"/>
  <c r="Z437" i="7" s="1"/>
  <c r="AB437" i="7"/>
  <c r="AA437" i="7"/>
  <c r="Y437" i="7"/>
  <c r="Z436" i="7" s="1"/>
  <c r="AB436" i="7"/>
  <c r="AA436" i="7"/>
  <c r="Y436" i="7"/>
  <c r="Z435" i="7" s="1"/>
  <c r="AB435" i="7"/>
  <c r="AA435" i="7"/>
  <c r="Y435" i="7"/>
  <c r="Z434" i="7" s="1"/>
  <c r="AB434" i="7"/>
  <c r="AA434" i="7"/>
  <c r="Y434" i="7"/>
  <c r="Z433" i="7" s="1"/>
  <c r="AB433" i="7"/>
  <c r="AA433" i="7"/>
  <c r="Y433" i="7"/>
  <c r="Z432" i="7" s="1"/>
  <c r="AB432" i="7"/>
  <c r="AA432" i="7"/>
  <c r="Y432" i="7"/>
  <c r="Z431" i="7" s="1"/>
  <c r="AB431" i="7"/>
  <c r="AA431" i="7"/>
  <c r="Y431" i="7"/>
  <c r="Z430" i="7" s="1"/>
  <c r="AB430" i="7"/>
  <c r="AA430" i="7"/>
  <c r="Y430" i="7"/>
  <c r="Z429" i="7" s="1"/>
  <c r="AB429" i="7"/>
  <c r="AA429" i="7"/>
  <c r="Y429" i="7"/>
  <c r="Z428" i="7" s="1"/>
  <c r="AB428" i="7"/>
  <c r="AA428" i="7"/>
  <c r="Y428" i="7"/>
  <c r="Z427" i="7" s="1"/>
  <c r="AB427" i="7"/>
  <c r="AA427" i="7"/>
  <c r="Y427" i="7"/>
  <c r="Z426" i="7" s="1"/>
  <c r="AB426" i="7"/>
  <c r="AA426" i="7"/>
  <c r="Y426" i="7"/>
  <c r="Z425" i="7" s="1"/>
  <c r="AB425" i="7"/>
  <c r="AA425" i="7"/>
  <c r="Y425" i="7"/>
  <c r="Z424" i="7" s="1"/>
  <c r="AB424" i="7"/>
  <c r="AA424" i="7"/>
  <c r="Y424" i="7"/>
  <c r="Z423" i="7" s="1"/>
  <c r="AB423" i="7"/>
  <c r="AA423" i="7"/>
  <c r="Y423" i="7"/>
  <c r="Z422" i="7" s="1"/>
  <c r="AB422" i="7"/>
  <c r="AA422" i="7"/>
  <c r="Y422" i="7"/>
  <c r="AB421" i="7"/>
  <c r="AA421" i="7"/>
  <c r="Z421" i="7"/>
  <c r="Y421" i="7"/>
  <c r="Z420" i="7" s="1"/>
  <c r="AB420" i="7"/>
  <c r="AA420" i="7"/>
  <c r="Y420" i="7"/>
  <c r="Z419" i="7" s="1"/>
  <c r="AB419" i="7"/>
  <c r="AA419" i="7"/>
  <c r="Y419" i="7"/>
  <c r="Z418" i="7" s="1"/>
  <c r="AB418" i="7"/>
  <c r="AA418" i="7"/>
  <c r="Y418" i="7"/>
  <c r="Z417" i="7" s="1"/>
  <c r="AB417" i="7"/>
  <c r="AA417" i="7"/>
  <c r="Y417" i="7"/>
  <c r="Z416" i="7" s="1"/>
  <c r="AB416" i="7"/>
  <c r="AA416" i="7"/>
  <c r="Y416" i="7"/>
  <c r="Z415" i="7" s="1"/>
  <c r="AB415" i="7"/>
  <c r="AA415" i="7"/>
  <c r="Y415" i="7"/>
  <c r="Z414" i="7" s="1"/>
  <c r="AB414" i="7"/>
  <c r="AA414" i="7"/>
  <c r="Y414" i="7"/>
  <c r="Z413" i="7" s="1"/>
  <c r="AB413" i="7"/>
  <c r="AA413" i="7"/>
  <c r="Y413" i="7"/>
  <c r="Z412" i="7" s="1"/>
  <c r="AB412" i="7"/>
  <c r="AA412" i="7"/>
  <c r="Y412" i="7"/>
  <c r="AB411" i="7"/>
  <c r="AA411" i="7"/>
  <c r="Z411" i="7"/>
  <c r="Y411" i="7"/>
  <c r="Z410" i="7" s="1"/>
  <c r="AB410" i="7"/>
  <c r="AA410" i="7"/>
  <c r="Y410" i="7"/>
  <c r="Z409" i="7" s="1"/>
  <c r="AB409" i="7"/>
  <c r="AA409" i="7"/>
  <c r="Y409" i="7"/>
  <c r="Z408" i="7" s="1"/>
  <c r="AB408" i="7"/>
  <c r="AA408" i="7"/>
  <c r="Y408" i="7"/>
  <c r="Z407" i="7" s="1"/>
  <c r="AB407" i="7"/>
  <c r="AA407" i="7"/>
  <c r="Y407" i="7"/>
  <c r="Z406" i="7" s="1"/>
  <c r="AB406" i="7"/>
  <c r="AA406" i="7"/>
  <c r="Y406" i="7"/>
  <c r="Z405" i="7" s="1"/>
  <c r="AB405" i="7"/>
  <c r="AA405" i="7"/>
  <c r="Y405" i="7"/>
  <c r="Z404" i="7" s="1"/>
  <c r="AB404" i="7"/>
  <c r="AA404" i="7"/>
  <c r="Y404" i="7"/>
  <c r="Z403" i="7" s="1"/>
  <c r="AB403" i="7"/>
  <c r="AA403" i="7"/>
  <c r="Y403" i="7"/>
  <c r="Z402" i="7" s="1"/>
  <c r="AB402" i="7"/>
  <c r="AA402" i="7"/>
  <c r="Y402" i="7"/>
  <c r="Z401" i="7" s="1"/>
  <c r="AB401" i="7"/>
  <c r="AA401" i="7"/>
  <c r="Y401" i="7"/>
  <c r="Z400" i="7" s="1"/>
  <c r="AB400" i="7"/>
  <c r="AA400" i="7"/>
  <c r="Y400" i="7"/>
  <c r="Z399" i="7" s="1"/>
  <c r="AB399" i="7"/>
  <c r="AA399" i="7"/>
  <c r="Y399" i="7"/>
  <c r="Z398" i="7" s="1"/>
  <c r="AB398" i="7"/>
  <c r="AA398" i="7"/>
  <c r="Y398" i="7"/>
  <c r="Z397" i="7" s="1"/>
  <c r="AB397" i="7"/>
  <c r="AA397" i="7"/>
  <c r="Y397" i="7"/>
  <c r="Z396" i="7" s="1"/>
  <c r="AB396" i="7"/>
  <c r="AA396" i="7"/>
  <c r="Y396" i="7"/>
  <c r="Z395" i="7" s="1"/>
  <c r="AB395" i="7"/>
  <c r="AA395" i="7"/>
  <c r="Y395" i="7"/>
  <c r="Z394" i="7" s="1"/>
  <c r="AB394" i="7"/>
  <c r="AA394" i="7"/>
  <c r="Y394" i="7"/>
  <c r="Z393" i="7" s="1"/>
  <c r="AB393" i="7"/>
  <c r="AA393" i="7"/>
  <c r="Y393" i="7"/>
  <c r="Z392" i="7" s="1"/>
  <c r="AB392" i="7"/>
  <c r="AA392" i="7"/>
  <c r="Y392" i="7"/>
  <c r="Z391" i="7" s="1"/>
  <c r="AB391" i="7"/>
  <c r="AA391" i="7"/>
  <c r="Y391" i="7"/>
  <c r="Z390" i="7" s="1"/>
  <c r="AB390" i="7"/>
  <c r="AA390" i="7"/>
  <c r="Y390" i="7"/>
  <c r="Z389" i="7" s="1"/>
  <c r="AB389" i="7"/>
  <c r="AA389" i="7"/>
  <c r="Y389" i="7"/>
  <c r="Z388" i="7" s="1"/>
  <c r="AB388" i="7"/>
  <c r="AA388" i="7"/>
  <c r="Y388" i="7"/>
  <c r="Z387" i="7" s="1"/>
  <c r="AB387" i="7"/>
  <c r="AA387" i="7"/>
  <c r="Y387" i="7"/>
  <c r="Z386" i="7" s="1"/>
  <c r="AB386" i="7"/>
  <c r="AA386" i="7"/>
  <c r="Y386" i="7"/>
  <c r="Z385" i="7" s="1"/>
  <c r="AB385" i="7"/>
  <c r="AA385" i="7"/>
  <c r="Y385" i="7"/>
  <c r="Z384" i="7" s="1"/>
  <c r="AB384" i="7"/>
  <c r="AA384" i="7"/>
  <c r="Y384" i="7"/>
  <c r="Z383" i="7" s="1"/>
  <c r="AB383" i="7"/>
  <c r="AA383" i="7"/>
  <c r="Y383" i="7"/>
  <c r="Z382" i="7" s="1"/>
  <c r="AB382" i="7"/>
  <c r="AA382" i="7"/>
  <c r="Y382" i="7"/>
  <c r="Z381" i="7" s="1"/>
  <c r="AB381" i="7"/>
  <c r="AA381" i="7"/>
  <c r="Y381" i="7"/>
  <c r="Z380" i="7" s="1"/>
  <c r="AB380" i="7"/>
  <c r="AA380" i="7"/>
  <c r="Y380" i="7"/>
  <c r="Z379" i="7" s="1"/>
  <c r="AB379" i="7"/>
  <c r="AA379" i="7"/>
  <c r="Y379" i="7"/>
  <c r="Z378" i="7" s="1"/>
  <c r="AB378" i="7"/>
  <c r="AA378" i="7"/>
  <c r="Y378" i="7"/>
  <c r="AB377" i="7"/>
  <c r="AA377" i="7"/>
  <c r="Z377" i="7"/>
  <c r="Y377" i="7"/>
  <c r="Z376" i="7" s="1"/>
  <c r="AB376" i="7"/>
  <c r="AA376" i="7"/>
  <c r="Y376" i="7"/>
  <c r="Z375" i="7" s="1"/>
  <c r="AB375" i="7"/>
  <c r="AA375" i="7"/>
  <c r="Y375" i="7"/>
  <c r="Z374" i="7" s="1"/>
  <c r="AB374" i="7"/>
  <c r="AA374" i="7"/>
  <c r="Y374" i="7"/>
  <c r="AB373" i="7"/>
  <c r="AA373" i="7"/>
  <c r="Z373" i="7"/>
  <c r="Y373" i="7"/>
  <c r="Z372" i="7" s="1"/>
  <c r="AB372" i="7"/>
  <c r="AA372" i="7"/>
  <c r="Y372" i="7"/>
  <c r="Z371" i="7" s="1"/>
  <c r="AB371" i="7"/>
  <c r="AA371" i="7"/>
  <c r="Y371" i="7"/>
  <c r="Z370" i="7" s="1"/>
  <c r="AB370" i="7"/>
  <c r="AA370" i="7"/>
  <c r="Y370" i="7"/>
  <c r="Z369" i="7" s="1"/>
  <c r="AB369" i="7"/>
  <c r="AA369" i="7"/>
  <c r="Y369" i="7"/>
  <c r="Z368" i="7" s="1"/>
  <c r="AB368" i="7"/>
  <c r="AA368" i="7"/>
  <c r="Y368" i="7"/>
  <c r="Z367" i="7" s="1"/>
  <c r="AB367" i="7"/>
  <c r="AA367" i="7"/>
  <c r="Y367" i="7"/>
  <c r="Z366" i="7" s="1"/>
  <c r="AB366" i="7"/>
  <c r="AA366" i="7"/>
  <c r="Y366" i="7"/>
  <c r="Z365" i="7" s="1"/>
  <c r="AB365" i="7"/>
  <c r="AA365" i="7"/>
  <c r="Y365" i="7"/>
  <c r="Z364" i="7" s="1"/>
  <c r="AB364" i="7"/>
  <c r="AA364" i="7"/>
  <c r="Y364" i="7"/>
  <c r="AB363" i="7"/>
  <c r="AA363" i="7"/>
  <c r="Z363" i="7"/>
  <c r="Y363" i="7"/>
  <c r="Z362" i="7" s="1"/>
  <c r="AB362" i="7"/>
  <c r="AA362" i="7"/>
  <c r="Y362" i="7"/>
  <c r="Z361" i="7" s="1"/>
  <c r="AB361" i="7"/>
  <c r="AA361" i="7"/>
  <c r="Y361" i="7"/>
  <c r="Z360" i="7" s="1"/>
  <c r="AB360" i="7"/>
  <c r="AA360" i="7"/>
  <c r="Y360" i="7"/>
  <c r="Z359" i="7" s="1"/>
  <c r="AB359" i="7"/>
  <c r="AA359" i="7"/>
  <c r="Y359" i="7"/>
  <c r="Z358" i="7" s="1"/>
  <c r="AB358" i="7"/>
  <c r="AA358" i="7"/>
  <c r="Y358" i="7"/>
  <c r="Z357" i="7" s="1"/>
  <c r="AB357" i="7"/>
  <c r="AA357" i="7"/>
  <c r="Y357" i="7"/>
  <c r="Z356" i="7" s="1"/>
  <c r="AB356" i="7"/>
  <c r="AA356" i="7"/>
  <c r="Y356" i="7"/>
  <c r="Z355" i="7" s="1"/>
  <c r="AB355" i="7"/>
  <c r="AA355" i="7"/>
  <c r="Y355" i="7"/>
  <c r="Z354" i="7" s="1"/>
  <c r="AB354" i="7"/>
  <c r="AA354" i="7"/>
  <c r="Y354" i="7"/>
  <c r="Z353" i="7" s="1"/>
  <c r="AB353" i="7"/>
  <c r="AA353" i="7"/>
  <c r="Y353" i="7"/>
  <c r="Z352" i="7" s="1"/>
  <c r="AB352" i="7"/>
  <c r="AA352" i="7"/>
  <c r="Y352" i="7"/>
  <c r="Z351" i="7" s="1"/>
  <c r="AB351" i="7"/>
  <c r="AA351" i="7"/>
  <c r="Y351" i="7"/>
  <c r="Z350" i="7" s="1"/>
  <c r="AB350" i="7"/>
  <c r="AA350" i="7"/>
  <c r="Y350" i="7"/>
  <c r="Z349" i="7" s="1"/>
  <c r="AB349" i="7"/>
  <c r="AA349" i="7"/>
  <c r="Y349" i="7"/>
  <c r="Z348" i="7" s="1"/>
  <c r="AB348" i="7"/>
  <c r="AA348" i="7"/>
  <c r="Y348" i="7"/>
  <c r="Z347" i="7" s="1"/>
  <c r="AB347" i="7"/>
  <c r="AA347" i="7"/>
  <c r="Y347" i="7"/>
  <c r="Z346" i="7" s="1"/>
  <c r="AB346" i="7"/>
  <c r="AA346" i="7"/>
  <c r="Y346" i="7"/>
  <c r="Z345" i="7" s="1"/>
  <c r="AB345" i="7"/>
  <c r="AA345" i="7"/>
  <c r="Y345" i="7"/>
  <c r="Z344" i="7" s="1"/>
  <c r="AB344" i="7"/>
  <c r="AA344" i="7"/>
  <c r="Y344" i="7"/>
  <c r="Z343" i="7" s="1"/>
  <c r="AB343" i="7"/>
  <c r="AA343" i="7"/>
  <c r="Y343" i="7"/>
  <c r="Z342" i="7" s="1"/>
  <c r="AB342" i="7"/>
  <c r="AA342" i="7"/>
  <c r="Y342" i="7"/>
  <c r="Z341" i="7" s="1"/>
  <c r="AB341" i="7"/>
  <c r="AA341" i="7"/>
  <c r="Y341" i="7"/>
  <c r="Z340" i="7" s="1"/>
  <c r="AB340" i="7"/>
  <c r="AA340" i="7"/>
  <c r="Y340" i="7"/>
  <c r="Z339" i="7" s="1"/>
  <c r="AB339" i="7"/>
  <c r="AA339" i="7"/>
  <c r="Y339" i="7"/>
  <c r="Z338" i="7" s="1"/>
  <c r="AB338" i="7"/>
  <c r="AA338" i="7"/>
  <c r="Y338" i="7"/>
  <c r="Z337" i="7" s="1"/>
  <c r="AB337" i="7"/>
  <c r="AA337" i="7"/>
  <c r="Y337" i="7"/>
  <c r="Z336" i="7" s="1"/>
  <c r="AB336" i="7"/>
  <c r="AA336" i="7"/>
  <c r="Y336" i="7"/>
  <c r="Z335" i="7" s="1"/>
  <c r="AB335" i="7"/>
  <c r="AA335" i="7"/>
  <c r="Y335" i="7"/>
  <c r="Z334" i="7" s="1"/>
  <c r="AB334" i="7"/>
  <c r="AA334" i="7"/>
  <c r="Y334" i="7"/>
  <c r="Z333" i="7" s="1"/>
  <c r="AB333" i="7"/>
  <c r="AA333" i="7"/>
  <c r="Y333" i="7"/>
  <c r="Z332" i="7" s="1"/>
  <c r="AB332" i="7"/>
  <c r="AA332" i="7"/>
  <c r="Y332" i="7"/>
  <c r="Z331" i="7" s="1"/>
  <c r="AB331" i="7"/>
  <c r="AA331" i="7"/>
  <c r="Y331" i="7"/>
  <c r="Z330" i="7" s="1"/>
  <c r="AB330" i="7"/>
  <c r="AA330" i="7"/>
  <c r="Y330" i="7"/>
  <c r="AB329" i="7"/>
  <c r="AA329" i="7"/>
  <c r="Z329" i="7"/>
  <c r="Y329" i="7"/>
  <c r="Z328" i="7" s="1"/>
  <c r="AB328" i="7"/>
  <c r="AA328" i="7"/>
  <c r="Y328" i="7"/>
  <c r="Z327" i="7" s="1"/>
  <c r="AB327" i="7"/>
  <c r="AA327" i="7"/>
  <c r="Y327" i="7"/>
  <c r="Z326" i="7" s="1"/>
  <c r="AB326" i="7"/>
  <c r="AA326" i="7"/>
  <c r="Y326" i="7"/>
  <c r="Z325" i="7" s="1"/>
  <c r="AB325" i="7"/>
  <c r="AA325" i="7"/>
  <c r="Y325" i="7"/>
  <c r="Z324" i="7" s="1"/>
  <c r="AB324" i="7"/>
  <c r="AA324" i="7"/>
  <c r="Y324" i="7"/>
  <c r="Z323" i="7" s="1"/>
  <c r="AB323" i="7"/>
  <c r="AA323" i="7"/>
  <c r="Y323" i="7"/>
  <c r="Z322" i="7" s="1"/>
  <c r="AB322" i="7"/>
  <c r="AA322" i="7"/>
  <c r="Y322" i="7"/>
  <c r="Z321" i="7" s="1"/>
  <c r="AB321" i="7"/>
  <c r="AA321" i="7"/>
  <c r="Y321" i="7"/>
  <c r="Z320" i="7" s="1"/>
  <c r="AB320" i="7"/>
  <c r="AA320" i="7"/>
  <c r="Y320" i="7"/>
  <c r="Z319" i="7" s="1"/>
  <c r="AB319" i="7"/>
  <c r="AA319" i="7"/>
  <c r="Y319" i="7"/>
  <c r="Z318" i="7" s="1"/>
  <c r="AB318" i="7"/>
  <c r="AA318" i="7"/>
  <c r="Y318" i="7"/>
  <c r="Z317" i="7" s="1"/>
  <c r="AB317" i="7"/>
  <c r="AA317" i="7"/>
  <c r="Y317" i="7"/>
  <c r="Z316" i="7" s="1"/>
  <c r="AB316" i="7"/>
  <c r="AA316" i="7"/>
  <c r="Y316" i="7"/>
  <c r="AB315" i="7"/>
  <c r="AA315" i="7"/>
  <c r="Z315" i="7"/>
  <c r="Y315" i="7"/>
  <c r="Z314" i="7" s="1"/>
  <c r="AB314" i="7"/>
  <c r="AA314" i="7"/>
  <c r="Y314" i="7"/>
  <c r="Z313" i="7" s="1"/>
  <c r="AB313" i="7"/>
  <c r="AA313" i="7"/>
  <c r="Y313" i="7"/>
  <c r="Z312" i="7" s="1"/>
  <c r="AB312" i="7"/>
  <c r="AA312" i="7"/>
  <c r="Y312" i="7"/>
  <c r="Z311" i="7" s="1"/>
  <c r="AB311" i="7"/>
  <c r="AA311" i="7"/>
  <c r="Y311" i="7"/>
  <c r="Z310" i="7" s="1"/>
  <c r="AB310" i="7"/>
  <c r="AA310" i="7"/>
  <c r="Y310" i="7"/>
  <c r="Z309" i="7" s="1"/>
  <c r="AB309" i="7"/>
  <c r="AA309" i="7"/>
  <c r="Y309" i="7"/>
  <c r="Z308" i="7" s="1"/>
  <c r="AB308" i="7"/>
  <c r="AA308" i="7"/>
  <c r="Y308" i="7"/>
  <c r="Z307" i="7" s="1"/>
  <c r="AB307" i="7"/>
  <c r="AA307" i="7"/>
  <c r="Y307" i="7"/>
  <c r="Z306" i="7" s="1"/>
  <c r="AB306" i="7"/>
  <c r="AA306" i="7"/>
  <c r="Y306" i="7"/>
  <c r="Z305" i="7" s="1"/>
  <c r="AB305" i="7"/>
  <c r="AA305" i="7"/>
  <c r="Y305" i="7"/>
  <c r="Z304" i="7" s="1"/>
  <c r="AB304" i="7"/>
  <c r="AA304" i="7"/>
  <c r="Y304" i="7"/>
  <c r="Z303" i="7" s="1"/>
  <c r="AB303" i="7"/>
  <c r="AA303" i="7"/>
  <c r="Y303" i="7"/>
  <c r="Z302" i="7" s="1"/>
  <c r="AB302" i="7"/>
  <c r="AA302" i="7"/>
  <c r="Y302" i="7"/>
  <c r="Z301" i="7" s="1"/>
  <c r="AB301" i="7"/>
  <c r="AA301" i="7"/>
  <c r="Y301" i="7"/>
  <c r="Z300" i="7" s="1"/>
  <c r="AB300" i="7"/>
  <c r="AA300" i="7"/>
  <c r="Y300" i="7"/>
  <c r="Z299" i="7" s="1"/>
  <c r="AB299" i="7"/>
  <c r="AA299" i="7"/>
  <c r="Y299" i="7"/>
  <c r="Z298" i="7" s="1"/>
  <c r="AB298" i="7"/>
  <c r="AA298" i="7"/>
  <c r="Y298" i="7"/>
  <c r="Z297" i="7" s="1"/>
  <c r="AB297" i="7"/>
  <c r="AA297" i="7"/>
  <c r="Y297" i="7"/>
  <c r="Z296" i="7" s="1"/>
  <c r="AB296" i="7"/>
  <c r="AA296" i="7"/>
  <c r="Y296" i="7"/>
  <c r="AB295" i="7"/>
  <c r="AA295" i="7"/>
  <c r="Z295" i="7"/>
  <c r="Y295" i="7"/>
  <c r="Z294" i="7" s="1"/>
  <c r="AB294" i="7"/>
  <c r="AA294" i="7"/>
  <c r="Y294" i="7"/>
  <c r="Z293" i="7" s="1"/>
  <c r="AB293" i="7"/>
  <c r="AA293" i="7"/>
  <c r="Y293" i="7"/>
  <c r="Z292" i="7" s="1"/>
  <c r="AB292" i="7"/>
  <c r="AA292" i="7"/>
  <c r="Y292" i="7"/>
  <c r="Z291" i="7" s="1"/>
  <c r="AB291" i="7"/>
  <c r="AA291" i="7"/>
  <c r="Y291" i="7"/>
  <c r="Z290" i="7" s="1"/>
  <c r="AB290" i="7"/>
  <c r="AA290" i="7"/>
  <c r="Y290" i="7"/>
  <c r="Z289" i="7" s="1"/>
  <c r="AB289" i="7"/>
  <c r="AA289" i="7"/>
  <c r="Y289" i="7"/>
  <c r="Z288" i="7" s="1"/>
  <c r="AB288" i="7"/>
  <c r="AA288" i="7"/>
  <c r="Y288" i="7"/>
  <c r="Z287" i="7" s="1"/>
  <c r="AB287" i="7"/>
  <c r="AA287" i="7"/>
  <c r="Y287" i="7"/>
  <c r="Z286" i="7" s="1"/>
  <c r="AB286" i="7"/>
  <c r="AA286" i="7"/>
  <c r="Y286" i="7"/>
  <c r="AB285" i="7"/>
  <c r="AA285" i="7"/>
  <c r="Z285" i="7"/>
  <c r="Y285" i="7"/>
  <c r="Z284" i="7" s="1"/>
  <c r="AB284" i="7"/>
  <c r="AA284" i="7"/>
  <c r="Y284" i="7"/>
  <c r="Z283" i="7" s="1"/>
  <c r="AB283" i="7"/>
  <c r="AA283" i="7"/>
  <c r="Y283" i="7"/>
  <c r="Z282" i="7" s="1"/>
  <c r="AB282" i="7"/>
  <c r="AA282" i="7"/>
  <c r="Y282" i="7"/>
  <c r="AB281" i="7"/>
  <c r="AA281" i="7"/>
  <c r="Z281" i="7"/>
  <c r="Y281" i="7"/>
  <c r="Z280" i="7" s="1"/>
  <c r="AB280" i="7"/>
  <c r="AA280" i="7"/>
  <c r="Y280" i="7"/>
  <c r="Z279" i="7" s="1"/>
  <c r="AB279" i="7"/>
  <c r="AA279" i="7"/>
  <c r="Y279" i="7"/>
  <c r="Z278" i="7" s="1"/>
  <c r="AB278" i="7"/>
  <c r="AA278" i="7"/>
  <c r="Y278" i="7"/>
  <c r="Z277" i="7" s="1"/>
  <c r="AB277" i="7"/>
  <c r="AA277" i="7"/>
  <c r="Y277" i="7"/>
  <c r="Z276" i="7" s="1"/>
  <c r="AB276" i="7"/>
  <c r="AA276" i="7"/>
  <c r="Y276" i="7"/>
  <c r="Z275" i="7" s="1"/>
  <c r="AB275" i="7"/>
  <c r="AA275" i="7"/>
  <c r="Y275" i="7"/>
  <c r="Z274" i="7" s="1"/>
  <c r="AB274" i="7"/>
  <c r="AA274" i="7"/>
  <c r="Y274" i="7"/>
  <c r="Z273" i="7" s="1"/>
  <c r="AB273" i="7"/>
  <c r="AA273" i="7"/>
  <c r="Y273" i="7"/>
  <c r="Z272" i="7" s="1"/>
  <c r="AB272" i="7"/>
  <c r="AA272" i="7"/>
  <c r="Y272" i="7"/>
  <c r="Z271" i="7" s="1"/>
  <c r="AB271" i="7"/>
  <c r="AA271" i="7"/>
  <c r="Y271" i="7"/>
  <c r="Z270" i="7" s="1"/>
  <c r="AB270" i="7"/>
  <c r="AA270" i="7"/>
  <c r="Y270" i="7"/>
  <c r="Z269" i="7" s="1"/>
  <c r="AB269" i="7"/>
  <c r="AA269" i="7"/>
  <c r="Y269" i="7"/>
  <c r="Z268" i="7" s="1"/>
  <c r="AB268" i="7"/>
  <c r="AA268" i="7"/>
  <c r="Y268" i="7"/>
  <c r="Z267" i="7" s="1"/>
  <c r="AB267" i="7"/>
  <c r="AA267" i="7"/>
  <c r="Y267" i="7"/>
  <c r="Z266" i="7" s="1"/>
  <c r="AB266" i="7"/>
  <c r="AA266" i="7"/>
  <c r="Y266" i="7"/>
  <c r="Z265" i="7" s="1"/>
  <c r="AB265" i="7"/>
  <c r="AA265" i="7"/>
  <c r="Y265" i="7"/>
  <c r="Z264" i="7" s="1"/>
  <c r="AB264" i="7"/>
  <c r="AA264" i="7"/>
  <c r="Y264" i="7"/>
  <c r="Z263" i="7" s="1"/>
  <c r="AB263" i="7"/>
  <c r="AA263" i="7"/>
  <c r="Y263" i="7"/>
  <c r="Z262" i="7" s="1"/>
  <c r="AB262" i="7"/>
  <c r="AA262" i="7"/>
  <c r="Y262" i="7"/>
  <c r="Z261" i="7" s="1"/>
  <c r="AB261" i="7"/>
  <c r="AA261" i="7"/>
  <c r="Y261" i="7"/>
  <c r="Z260" i="7" s="1"/>
  <c r="AB260" i="7"/>
  <c r="AA260" i="7"/>
  <c r="Y260" i="7"/>
  <c r="Z259" i="7" s="1"/>
  <c r="AB259" i="7"/>
  <c r="AA259" i="7"/>
  <c r="Y259" i="7"/>
  <c r="Z258" i="7" s="1"/>
  <c r="AB258" i="7"/>
  <c r="AA258" i="7"/>
  <c r="Y258" i="7"/>
  <c r="Z257" i="7" s="1"/>
  <c r="AB257" i="7"/>
  <c r="AA257" i="7"/>
  <c r="Y257" i="7"/>
  <c r="Z256" i="7" s="1"/>
  <c r="AB256" i="7"/>
  <c r="AA256" i="7"/>
  <c r="Y256" i="7"/>
  <c r="Z255" i="7" s="1"/>
  <c r="AB255" i="7"/>
  <c r="AA255" i="7"/>
  <c r="Y255" i="7"/>
  <c r="Z254" i="7" s="1"/>
  <c r="AB254" i="7"/>
  <c r="AA254" i="7"/>
  <c r="Y254" i="7"/>
  <c r="Z253" i="7" s="1"/>
  <c r="AB253" i="7"/>
  <c r="AA253" i="7"/>
  <c r="Y253" i="7"/>
  <c r="Z252" i="7" s="1"/>
  <c r="AB252" i="7"/>
  <c r="AA252" i="7"/>
  <c r="Y252" i="7"/>
  <c r="AB251" i="7"/>
  <c r="AA251" i="7"/>
  <c r="Z251" i="7"/>
  <c r="Y251" i="7"/>
  <c r="Z250" i="7" s="1"/>
  <c r="AB250" i="7"/>
  <c r="AA250" i="7"/>
  <c r="Y250" i="7"/>
  <c r="Z249" i="7" s="1"/>
  <c r="AB249" i="7"/>
  <c r="AA249" i="7"/>
  <c r="Y249" i="7"/>
  <c r="Z248" i="7" s="1"/>
  <c r="AB248" i="7"/>
  <c r="AA248" i="7"/>
  <c r="Y248" i="7"/>
  <c r="Z247" i="7" s="1"/>
  <c r="AB247" i="7"/>
  <c r="AA247" i="7"/>
  <c r="Y247" i="7"/>
  <c r="Z246" i="7" s="1"/>
  <c r="AB246" i="7"/>
  <c r="AA246" i="7"/>
  <c r="Y246" i="7"/>
  <c r="AB245" i="7"/>
  <c r="AA245" i="7"/>
  <c r="Z245" i="7"/>
  <c r="Y245" i="7"/>
  <c r="Z244" i="7" s="1"/>
  <c r="AB244" i="7"/>
  <c r="AA244" i="7"/>
  <c r="Y244" i="7"/>
  <c r="Z243" i="7" s="1"/>
  <c r="AB243" i="7"/>
  <c r="AA243" i="7"/>
  <c r="Y243" i="7"/>
  <c r="Z242" i="7" s="1"/>
  <c r="AB242" i="7"/>
  <c r="AA242" i="7"/>
  <c r="Y242" i="7"/>
  <c r="Z241" i="7" s="1"/>
  <c r="AB241" i="7"/>
  <c r="AA241" i="7"/>
  <c r="Y241" i="7"/>
  <c r="Z240" i="7" s="1"/>
  <c r="AB240" i="7"/>
  <c r="AA240" i="7"/>
  <c r="Y240" i="7"/>
  <c r="Z239" i="7" s="1"/>
  <c r="AB239" i="7"/>
  <c r="AA239" i="7"/>
  <c r="Y239" i="7"/>
  <c r="Z238" i="7" s="1"/>
  <c r="AB238" i="7"/>
  <c r="AA238" i="7"/>
  <c r="Y238" i="7"/>
  <c r="Z237" i="7" s="1"/>
  <c r="AB237" i="7"/>
  <c r="AA237" i="7"/>
  <c r="Y237" i="7"/>
  <c r="Z236" i="7" s="1"/>
  <c r="AB236" i="7"/>
  <c r="AA236" i="7"/>
  <c r="Y236" i="7"/>
  <c r="AB235" i="7"/>
  <c r="AA235" i="7"/>
  <c r="Z235" i="7"/>
  <c r="Y235" i="7"/>
  <c r="Z234" i="7" s="1"/>
  <c r="AB234" i="7"/>
  <c r="AA234" i="7"/>
  <c r="Y234" i="7"/>
  <c r="Z233" i="7" s="1"/>
  <c r="AB233" i="7"/>
  <c r="AA233" i="7"/>
  <c r="Y233" i="7"/>
  <c r="Z232" i="7" s="1"/>
  <c r="AB232" i="7"/>
  <c r="AA232" i="7"/>
  <c r="Y232" i="7"/>
  <c r="Z231" i="7" s="1"/>
  <c r="AB231" i="7"/>
  <c r="AA231" i="7"/>
  <c r="Y231" i="7"/>
  <c r="Z230" i="7" s="1"/>
  <c r="AB230" i="7"/>
  <c r="AA230" i="7"/>
  <c r="Y230" i="7"/>
  <c r="Z229" i="7" s="1"/>
  <c r="AB229" i="7"/>
  <c r="AA229" i="7"/>
  <c r="Y229" i="7"/>
  <c r="Z228" i="7" s="1"/>
  <c r="AB228" i="7"/>
  <c r="AA228" i="7"/>
  <c r="Y228" i="7"/>
  <c r="Z227" i="7" s="1"/>
  <c r="AB227" i="7"/>
  <c r="AA227" i="7"/>
  <c r="Y227" i="7"/>
  <c r="Z226" i="7" s="1"/>
  <c r="AB226" i="7"/>
  <c r="AA226" i="7"/>
  <c r="Y226" i="7"/>
  <c r="Z225" i="7" s="1"/>
  <c r="AB225" i="7"/>
  <c r="AA225" i="7"/>
  <c r="Y225" i="7"/>
  <c r="Z224" i="7" s="1"/>
  <c r="AB224" i="7"/>
  <c r="AA224" i="7"/>
  <c r="Y224" i="7"/>
  <c r="Z223" i="7" s="1"/>
  <c r="AB223" i="7"/>
  <c r="AA223" i="7"/>
  <c r="Y223" i="7"/>
  <c r="Z222" i="7" s="1"/>
  <c r="AB222" i="7"/>
  <c r="AA222" i="7"/>
  <c r="Y222" i="7"/>
  <c r="Z221" i="7" s="1"/>
  <c r="AB221" i="7"/>
  <c r="AA221" i="7"/>
  <c r="Y221" i="7"/>
  <c r="Z220" i="7" s="1"/>
  <c r="AB220" i="7"/>
  <c r="AA220" i="7"/>
  <c r="Y220" i="7"/>
  <c r="Z219" i="7" s="1"/>
  <c r="AB219" i="7"/>
  <c r="AA219" i="7"/>
  <c r="Y219" i="7"/>
  <c r="Z218" i="7" s="1"/>
  <c r="AB218" i="7"/>
  <c r="AA218" i="7"/>
  <c r="Y218" i="7"/>
  <c r="Z217" i="7" s="1"/>
  <c r="AB217" i="7"/>
  <c r="AA217" i="7"/>
  <c r="Y217" i="7"/>
  <c r="Z216" i="7" s="1"/>
  <c r="AB216" i="7"/>
  <c r="AA216" i="7"/>
  <c r="Y216" i="7"/>
  <c r="Z215" i="7" s="1"/>
  <c r="AB215" i="7"/>
  <c r="AA215" i="7"/>
  <c r="Y215" i="7"/>
  <c r="Z214" i="7" s="1"/>
  <c r="AB214" i="7"/>
  <c r="AA214" i="7"/>
  <c r="Y214" i="7"/>
  <c r="Z213" i="7" s="1"/>
  <c r="AB213" i="7"/>
  <c r="AA213" i="7"/>
  <c r="Y213" i="7"/>
  <c r="Z212" i="7" s="1"/>
  <c r="AB212" i="7"/>
  <c r="AA212" i="7"/>
  <c r="Y212" i="7"/>
  <c r="Z211" i="7" s="1"/>
  <c r="AB211" i="7"/>
  <c r="AA211" i="7"/>
  <c r="Y211" i="7"/>
  <c r="Z210" i="7" s="1"/>
  <c r="AB210" i="7"/>
  <c r="AA210" i="7"/>
  <c r="Y210" i="7"/>
  <c r="Z209" i="7" s="1"/>
  <c r="AB209" i="7"/>
  <c r="AA209" i="7"/>
  <c r="Y209" i="7"/>
  <c r="Z208" i="7" s="1"/>
  <c r="AB208" i="7"/>
  <c r="AA208" i="7"/>
  <c r="Y208" i="7"/>
  <c r="Z207" i="7" s="1"/>
  <c r="AB207" i="7"/>
  <c r="AA207" i="7"/>
  <c r="Y207" i="7"/>
  <c r="Z206" i="7" s="1"/>
  <c r="AB206" i="7"/>
  <c r="AA206" i="7"/>
  <c r="Y206" i="7"/>
  <c r="Z205" i="7" s="1"/>
  <c r="AB205" i="7"/>
  <c r="AA205" i="7"/>
  <c r="Y205" i="7"/>
  <c r="Z204" i="7" s="1"/>
  <c r="AB204" i="7"/>
  <c r="AA204" i="7"/>
  <c r="Y204" i="7"/>
  <c r="AB203" i="7"/>
  <c r="AA203" i="7"/>
  <c r="Z203" i="7"/>
  <c r="Y203" i="7"/>
  <c r="Z202" i="7" s="1"/>
  <c r="AB202" i="7"/>
  <c r="AA202" i="7"/>
  <c r="Y202" i="7"/>
  <c r="Z201" i="7" s="1"/>
  <c r="AB201" i="7"/>
  <c r="AA201" i="7"/>
  <c r="Y201" i="7"/>
  <c r="Z200" i="7" s="1"/>
  <c r="AB200" i="7"/>
  <c r="AA200" i="7"/>
  <c r="Y200" i="7"/>
  <c r="Z199" i="7" s="1"/>
  <c r="AB199" i="7"/>
  <c r="AA199" i="7"/>
  <c r="Y199" i="7"/>
  <c r="Z198" i="7" s="1"/>
  <c r="AB198" i="7"/>
  <c r="AA198" i="7"/>
  <c r="Y198" i="7"/>
  <c r="AB197" i="7"/>
  <c r="AA197" i="7"/>
  <c r="Z197" i="7"/>
  <c r="Y197" i="7"/>
  <c r="Z196" i="7" s="1"/>
  <c r="AB196" i="7"/>
  <c r="AA196" i="7"/>
  <c r="Y196" i="7"/>
  <c r="Z195" i="7" s="1"/>
  <c r="AB195" i="7"/>
  <c r="AA195" i="7"/>
  <c r="Y195" i="7"/>
  <c r="Z194" i="7" s="1"/>
  <c r="AB194" i="7"/>
  <c r="AA194" i="7"/>
  <c r="Y194" i="7"/>
  <c r="Z193" i="7" s="1"/>
  <c r="AB193" i="7"/>
  <c r="AA193" i="7"/>
  <c r="Y193" i="7"/>
  <c r="Z192" i="7" s="1"/>
  <c r="AB192" i="7"/>
  <c r="AA192" i="7"/>
  <c r="Y192" i="7"/>
  <c r="Z191" i="7" s="1"/>
  <c r="AB191" i="7"/>
  <c r="AA191" i="7"/>
  <c r="Y191" i="7"/>
  <c r="Z190" i="7" s="1"/>
  <c r="AB190" i="7"/>
  <c r="AA190" i="7"/>
  <c r="Y190" i="7"/>
  <c r="Z189" i="7" s="1"/>
  <c r="AB189" i="7"/>
  <c r="AA189" i="7"/>
  <c r="Y189" i="7"/>
  <c r="Z188" i="7" s="1"/>
  <c r="AB188" i="7"/>
  <c r="AA188" i="7"/>
  <c r="Y188" i="7"/>
  <c r="AB187" i="7"/>
  <c r="AA187" i="7"/>
  <c r="Z187" i="7"/>
  <c r="Y187" i="7"/>
  <c r="Z186" i="7" s="1"/>
  <c r="AB186" i="7"/>
  <c r="AA186" i="7"/>
  <c r="Y186" i="7"/>
  <c r="Z185" i="7" s="1"/>
  <c r="AB185" i="7"/>
  <c r="AA185" i="7"/>
  <c r="Y185" i="7"/>
  <c r="Z184" i="7" s="1"/>
  <c r="AB184" i="7"/>
  <c r="AA184" i="7"/>
  <c r="Y184" i="7"/>
  <c r="Z183" i="7" s="1"/>
  <c r="AB183" i="7"/>
  <c r="AA183" i="7"/>
  <c r="Y183" i="7"/>
  <c r="Z182" i="7" s="1"/>
  <c r="AB182" i="7"/>
  <c r="AA182" i="7"/>
  <c r="Y182" i="7"/>
  <c r="Z181" i="7" s="1"/>
  <c r="AB181" i="7"/>
  <c r="AA181" i="7"/>
  <c r="Y181" i="7"/>
  <c r="Z180" i="7" s="1"/>
  <c r="AB180" i="7"/>
  <c r="AA180" i="7"/>
  <c r="Y180" i="7"/>
  <c r="Z179" i="7" s="1"/>
  <c r="AB179" i="7"/>
  <c r="AA179" i="7"/>
  <c r="Y179" i="7"/>
  <c r="Z178" i="7" s="1"/>
  <c r="AB178" i="7"/>
  <c r="AA178" i="7"/>
  <c r="Y178" i="7"/>
  <c r="Z177" i="7" s="1"/>
  <c r="AB177" i="7"/>
  <c r="AA177" i="7"/>
  <c r="Y177" i="7"/>
  <c r="Z176" i="7" s="1"/>
  <c r="AB176" i="7"/>
  <c r="AA176" i="7"/>
  <c r="Y176" i="7"/>
  <c r="Z175" i="7" s="1"/>
  <c r="AB175" i="7"/>
  <c r="AA175" i="7"/>
  <c r="Y175" i="7"/>
  <c r="Z174" i="7" s="1"/>
  <c r="AB174" i="7"/>
  <c r="AA174" i="7"/>
  <c r="Y174" i="7"/>
  <c r="Z173" i="7" s="1"/>
  <c r="AB173" i="7"/>
  <c r="AA173" i="7"/>
  <c r="Y173" i="7"/>
  <c r="Z172" i="7" s="1"/>
  <c r="AB172" i="7"/>
  <c r="AA172" i="7"/>
  <c r="Y172" i="7"/>
  <c r="Z171" i="7" s="1"/>
  <c r="AB171" i="7"/>
  <c r="AA171" i="7"/>
  <c r="Y171" i="7"/>
  <c r="Z170" i="7" s="1"/>
  <c r="AB170" i="7"/>
  <c r="AA170" i="7"/>
  <c r="Y170" i="7"/>
  <c r="Z169" i="7" s="1"/>
  <c r="AB169" i="7"/>
  <c r="AA169" i="7"/>
  <c r="Y169" i="7"/>
  <c r="Z168" i="7" s="1"/>
  <c r="AB168" i="7"/>
  <c r="AA168" i="7"/>
  <c r="Y168" i="7"/>
  <c r="Z167" i="7" s="1"/>
  <c r="AB167" i="7"/>
  <c r="AA167" i="7"/>
  <c r="Y167" i="7"/>
  <c r="Z166" i="7" s="1"/>
  <c r="AB166" i="7"/>
  <c r="AA166" i="7"/>
  <c r="Y166" i="7"/>
  <c r="AB165" i="7"/>
  <c r="AA165" i="7"/>
  <c r="Z165" i="7"/>
  <c r="Y165" i="7"/>
  <c r="Z164" i="7" s="1"/>
  <c r="AB164" i="7"/>
  <c r="AA164" i="7"/>
  <c r="Y164" i="7"/>
  <c r="Z163" i="7" s="1"/>
  <c r="AB163" i="7"/>
  <c r="AA163" i="7"/>
  <c r="Y163" i="7"/>
  <c r="Z162" i="7" s="1"/>
  <c r="AB162" i="7"/>
  <c r="AA162" i="7"/>
  <c r="Y162" i="7"/>
  <c r="Z161" i="7" s="1"/>
  <c r="AB161" i="7"/>
  <c r="AA161" i="7"/>
  <c r="Y161" i="7"/>
  <c r="Z160" i="7" s="1"/>
  <c r="AB160" i="7"/>
  <c r="AA160" i="7"/>
  <c r="Y160" i="7"/>
  <c r="Z159" i="7" s="1"/>
  <c r="AB159" i="7"/>
  <c r="AA159" i="7"/>
  <c r="Y159" i="7"/>
  <c r="Z158" i="7" s="1"/>
  <c r="AB158" i="7"/>
  <c r="AA158" i="7"/>
  <c r="Y158" i="7"/>
  <c r="Z157" i="7" s="1"/>
  <c r="AB157" i="7"/>
  <c r="AA157" i="7"/>
  <c r="Y157" i="7"/>
  <c r="Z156" i="7" s="1"/>
  <c r="AB156" i="7"/>
  <c r="AA156" i="7"/>
  <c r="Y156" i="7"/>
  <c r="Z155" i="7" s="1"/>
  <c r="AB155" i="7"/>
  <c r="AA155" i="7"/>
  <c r="Y155" i="7"/>
  <c r="Z154" i="7" s="1"/>
  <c r="AB154" i="7"/>
  <c r="AA154" i="7"/>
  <c r="Y154" i="7"/>
  <c r="Z153" i="7" s="1"/>
  <c r="AB153" i="7"/>
  <c r="AA153" i="7"/>
  <c r="Y153" i="7"/>
  <c r="Z152" i="7" s="1"/>
  <c r="AB152" i="7"/>
  <c r="AA152" i="7"/>
  <c r="Y152" i="7"/>
  <c r="AB151" i="7"/>
  <c r="AA151" i="7"/>
  <c r="Z151" i="7"/>
  <c r="Y151" i="7"/>
  <c r="Z150" i="7" s="1"/>
  <c r="AB150" i="7"/>
  <c r="AA150" i="7"/>
  <c r="Y150" i="7"/>
  <c r="Z149" i="7" s="1"/>
  <c r="AB149" i="7"/>
  <c r="AA149" i="7"/>
  <c r="Y149" i="7"/>
  <c r="Z148" i="7" s="1"/>
  <c r="AB148" i="7"/>
  <c r="AA148" i="7"/>
  <c r="Y148" i="7"/>
  <c r="Z147" i="7" s="1"/>
  <c r="AB147" i="7"/>
  <c r="AA147" i="7"/>
  <c r="Y147" i="7"/>
  <c r="Z146" i="7" s="1"/>
  <c r="AB146" i="7"/>
  <c r="AA146" i="7"/>
  <c r="Y146" i="7"/>
  <c r="Z145" i="7" s="1"/>
  <c r="AB145" i="7"/>
  <c r="AA145" i="7"/>
  <c r="Y145" i="7"/>
  <c r="Z144" i="7" s="1"/>
  <c r="AB144" i="7"/>
  <c r="AA144" i="7"/>
  <c r="Y144" i="7"/>
  <c r="Z143" i="7" s="1"/>
  <c r="AB143" i="7"/>
  <c r="AA143" i="7"/>
  <c r="Y143" i="7"/>
  <c r="Z142" i="7" s="1"/>
  <c r="AB142" i="7"/>
  <c r="AA142" i="7"/>
  <c r="Y142" i="7"/>
  <c r="Z141" i="7" s="1"/>
  <c r="AB141" i="7"/>
  <c r="AA141" i="7"/>
  <c r="Y141" i="7"/>
  <c r="Z140" i="7" s="1"/>
  <c r="AB140" i="7"/>
  <c r="AA140" i="7"/>
  <c r="Y140" i="7"/>
  <c r="Z139" i="7" s="1"/>
  <c r="AB139" i="7"/>
  <c r="AA139" i="7"/>
  <c r="Y139" i="7"/>
  <c r="Z138" i="7" s="1"/>
  <c r="AB138" i="7"/>
  <c r="AA138" i="7"/>
  <c r="Y138" i="7"/>
  <c r="Z137" i="7" s="1"/>
  <c r="AB137" i="7"/>
  <c r="AA137" i="7"/>
  <c r="Y137" i="7"/>
  <c r="Z136" i="7" s="1"/>
  <c r="AB136" i="7"/>
  <c r="AA136" i="7"/>
  <c r="Y136" i="7"/>
  <c r="Z135" i="7" s="1"/>
  <c r="AB135" i="7"/>
  <c r="AA135" i="7"/>
  <c r="Y135" i="7"/>
  <c r="AB134" i="7"/>
  <c r="AA134" i="7"/>
  <c r="Z134" i="7"/>
  <c r="Y134" i="7"/>
  <c r="Z133" i="7" s="1"/>
  <c r="AB133" i="7"/>
  <c r="AA133" i="7"/>
  <c r="Y133" i="7"/>
  <c r="Z132" i="7" s="1"/>
  <c r="AB132" i="7"/>
  <c r="AA132" i="7"/>
  <c r="Y132" i="7"/>
  <c r="Z131" i="7" s="1"/>
  <c r="AB131" i="7"/>
  <c r="AA131" i="7"/>
  <c r="Y131" i="7"/>
  <c r="Z130" i="7" s="1"/>
  <c r="AB130" i="7"/>
  <c r="AA130" i="7"/>
  <c r="Y130" i="7"/>
  <c r="Z129" i="7" s="1"/>
  <c r="AB129" i="7"/>
  <c r="AA129" i="7"/>
  <c r="Y129" i="7"/>
  <c r="Z128" i="7" s="1"/>
  <c r="AB128" i="7"/>
  <c r="AA128" i="7"/>
  <c r="Y128" i="7"/>
  <c r="Z127" i="7" s="1"/>
  <c r="AB127" i="7"/>
  <c r="AA127" i="7"/>
  <c r="Y127" i="7"/>
  <c r="Z126" i="7" s="1"/>
  <c r="AB126" i="7"/>
  <c r="AA126" i="7"/>
  <c r="Y126" i="7"/>
  <c r="Z125" i="7" s="1"/>
  <c r="AB125" i="7"/>
  <c r="AA125" i="7"/>
  <c r="Y125" i="7"/>
  <c r="Z124" i="7" s="1"/>
  <c r="AB124" i="7"/>
  <c r="AA124" i="7"/>
  <c r="Y124" i="7"/>
  <c r="Z123" i="7" s="1"/>
  <c r="AB123" i="7"/>
  <c r="AA123" i="7"/>
  <c r="Y123" i="7"/>
  <c r="Z122" i="7" s="1"/>
  <c r="AB122" i="7"/>
  <c r="AA122" i="7"/>
  <c r="Y122" i="7"/>
  <c r="Z121" i="7" s="1"/>
  <c r="AB121" i="7"/>
  <c r="AA121" i="7"/>
  <c r="Y121" i="7"/>
  <c r="Z120" i="7" s="1"/>
  <c r="AB120" i="7"/>
  <c r="AA120" i="7"/>
  <c r="Y120" i="7"/>
  <c r="Z119" i="7" s="1"/>
  <c r="AB119" i="7"/>
  <c r="AA119" i="7"/>
  <c r="Y119" i="7"/>
  <c r="AB118" i="7"/>
  <c r="AA118" i="7"/>
  <c r="Z118" i="7"/>
  <c r="Y118" i="7"/>
  <c r="Z117" i="7" s="1"/>
  <c r="AB117" i="7"/>
  <c r="AA117" i="7"/>
  <c r="Y117" i="7"/>
  <c r="AB116" i="7"/>
  <c r="AA116" i="7"/>
  <c r="Z116" i="7"/>
  <c r="Y116" i="7"/>
  <c r="Z115" i="7" s="1"/>
  <c r="AB115" i="7"/>
  <c r="AA115" i="7"/>
  <c r="Y115" i="7"/>
  <c r="AB114" i="7"/>
  <c r="AA114" i="7"/>
  <c r="Z114" i="7"/>
  <c r="Y114" i="7"/>
  <c r="Z113" i="7" s="1"/>
  <c r="AB113" i="7"/>
  <c r="AA113" i="7"/>
  <c r="Y113" i="7"/>
  <c r="Z112" i="7" s="1"/>
  <c r="AB112" i="7"/>
  <c r="AA112" i="7"/>
  <c r="Y112" i="7"/>
  <c r="Z111" i="7" s="1"/>
  <c r="AB111" i="7"/>
  <c r="AA111" i="7"/>
  <c r="Y111" i="7"/>
  <c r="Z110" i="7" s="1"/>
  <c r="AB110" i="7"/>
  <c r="AA110" i="7"/>
  <c r="Y110" i="7"/>
  <c r="Z109" i="7" s="1"/>
  <c r="AB109" i="7"/>
  <c r="AA109" i="7"/>
  <c r="Y109" i="7"/>
  <c r="Z108" i="7" s="1"/>
  <c r="AB108" i="7"/>
  <c r="AA108" i="7"/>
  <c r="Y108" i="7"/>
  <c r="Z107" i="7" s="1"/>
  <c r="AB107" i="7"/>
  <c r="AA107" i="7"/>
  <c r="Y107" i="7"/>
  <c r="Z106" i="7" s="1"/>
  <c r="AB106" i="7"/>
  <c r="AA106" i="7"/>
  <c r="Y106" i="7"/>
  <c r="Z105" i="7" s="1"/>
  <c r="AB105" i="7"/>
  <c r="AA105" i="7"/>
  <c r="Y105" i="7"/>
  <c r="Z104" i="7" s="1"/>
  <c r="AB104" i="7"/>
  <c r="AA104" i="7"/>
  <c r="Y104" i="7"/>
  <c r="Z103" i="7" s="1"/>
  <c r="AB103" i="7"/>
  <c r="AA103" i="7"/>
  <c r="Y103" i="7"/>
  <c r="Z102" i="7" s="1"/>
  <c r="AB102" i="7"/>
  <c r="AA102" i="7"/>
  <c r="Y102" i="7"/>
  <c r="Z101" i="7" s="1"/>
  <c r="AB101" i="7"/>
  <c r="AA101" i="7"/>
  <c r="Y101" i="7"/>
  <c r="Z100" i="7" s="1"/>
  <c r="AB100" i="7"/>
  <c r="AA100" i="7"/>
  <c r="Y100" i="7"/>
  <c r="Z99" i="7" s="1"/>
  <c r="AB99" i="7"/>
  <c r="AA99" i="7"/>
  <c r="Y99" i="7"/>
  <c r="AB98" i="7"/>
  <c r="AA98" i="7"/>
  <c r="Z98" i="7"/>
  <c r="Y98" i="7"/>
  <c r="Z97" i="7" s="1"/>
  <c r="AB97" i="7"/>
  <c r="AA97" i="7"/>
  <c r="Y97" i="7"/>
  <c r="Z96" i="7" s="1"/>
  <c r="AB96" i="7"/>
  <c r="AA96" i="7"/>
  <c r="Y96" i="7"/>
  <c r="Z95" i="7" s="1"/>
  <c r="AB95" i="7"/>
  <c r="AA95" i="7"/>
  <c r="Y95" i="7"/>
  <c r="Z94" i="7" s="1"/>
  <c r="AB94" i="7"/>
  <c r="AA94" i="7"/>
  <c r="Y94" i="7"/>
  <c r="Z93" i="7" s="1"/>
  <c r="AB93" i="7"/>
  <c r="AA93" i="7"/>
  <c r="Y93" i="7"/>
  <c r="Z92" i="7" s="1"/>
  <c r="AB92" i="7"/>
  <c r="AA92" i="7"/>
  <c r="Y92" i="7"/>
  <c r="Z91" i="7" s="1"/>
  <c r="AB91" i="7"/>
  <c r="AA91" i="7"/>
  <c r="Y91" i="7"/>
  <c r="Z90" i="7" s="1"/>
  <c r="AB90" i="7"/>
  <c r="AA90" i="7"/>
  <c r="Y90" i="7"/>
  <c r="Z89" i="7" s="1"/>
  <c r="AB89" i="7"/>
  <c r="AA89" i="7"/>
  <c r="Y89" i="7"/>
  <c r="Z88" i="7" s="1"/>
  <c r="AB88" i="7"/>
  <c r="AA88" i="7"/>
  <c r="Y88" i="7"/>
  <c r="Z87" i="7" s="1"/>
  <c r="AB87" i="7"/>
  <c r="AA87" i="7"/>
  <c r="Y87" i="7"/>
  <c r="Z86" i="7" s="1"/>
  <c r="AB86" i="7"/>
  <c r="AA86" i="7"/>
  <c r="Y86" i="7"/>
  <c r="Z85" i="7" s="1"/>
  <c r="AB85" i="7"/>
  <c r="AA85" i="7"/>
  <c r="Y85" i="7"/>
  <c r="AB84" i="7"/>
  <c r="AA84" i="7"/>
  <c r="Z84" i="7"/>
  <c r="Y84" i="7"/>
  <c r="Z83" i="7" s="1"/>
  <c r="AB83" i="7"/>
  <c r="AA83" i="7"/>
  <c r="Y83" i="7"/>
  <c r="Z82" i="7" s="1"/>
  <c r="AB82" i="7"/>
  <c r="AA82" i="7"/>
  <c r="Y82" i="7"/>
  <c r="Z81" i="7" s="1"/>
  <c r="AB81" i="7"/>
  <c r="AA81" i="7"/>
  <c r="Y81" i="7"/>
  <c r="Z80" i="7" s="1"/>
  <c r="AB80" i="7"/>
  <c r="AA80" i="7"/>
  <c r="Y80" i="7"/>
  <c r="Z79" i="7" s="1"/>
  <c r="AB79" i="7"/>
  <c r="AA79" i="7"/>
  <c r="Y79" i="7"/>
  <c r="Z78" i="7" s="1"/>
  <c r="AB78" i="7"/>
  <c r="AA78" i="7"/>
  <c r="Y78" i="7"/>
  <c r="Z77" i="7" s="1"/>
  <c r="AB77" i="7"/>
  <c r="AA77" i="7"/>
  <c r="Y77" i="7"/>
  <c r="Z76" i="7" s="1"/>
  <c r="AB76" i="7"/>
  <c r="AA76" i="7"/>
  <c r="Y76" i="7"/>
  <c r="Z75" i="7" s="1"/>
  <c r="AB75" i="7"/>
  <c r="AA75" i="7"/>
  <c r="Y75" i="7"/>
  <c r="Z74" i="7" s="1"/>
  <c r="AB74" i="7"/>
  <c r="AA74" i="7"/>
  <c r="Y74" i="7"/>
  <c r="Z73" i="7" s="1"/>
  <c r="AB73" i="7"/>
  <c r="AA73" i="7"/>
  <c r="Y73" i="7"/>
  <c r="AB72" i="7"/>
  <c r="AA72" i="7"/>
  <c r="Z72" i="7"/>
  <c r="Y72" i="7"/>
  <c r="Z71" i="7" s="1"/>
  <c r="AB71" i="7"/>
  <c r="AA71" i="7"/>
  <c r="Y71" i="7"/>
  <c r="Z70" i="7" s="1"/>
  <c r="AB70" i="7"/>
  <c r="AA70" i="7"/>
  <c r="Y70" i="7"/>
  <c r="Z69" i="7" s="1"/>
  <c r="AB69" i="7"/>
  <c r="AA69" i="7"/>
  <c r="Y69" i="7"/>
  <c r="AB68" i="7"/>
  <c r="AA68" i="7"/>
  <c r="Z68" i="7"/>
  <c r="Y68" i="7"/>
  <c r="Z67" i="7" s="1"/>
  <c r="AB67" i="7"/>
  <c r="AA67" i="7"/>
  <c r="Y67" i="7"/>
  <c r="Z66" i="7" s="1"/>
  <c r="AB66" i="7"/>
  <c r="AA66" i="7"/>
  <c r="Y66" i="7"/>
  <c r="Z65" i="7" s="1"/>
  <c r="AB65" i="7"/>
  <c r="AA65" i="7"/>
  <c r="Y65" i="7"/>
  <c r="AB64" i="7"/>
  <c r="AA64" i="7"/>
  <c r="Z64" i="7"/>
  <c r="Y64" i="7"/>
  <c r="Z63" i="7" s="1"/>
  <c r="AB63" i="7"/>
  <c r="AA63" i="7"/>
  <c r="Y63" i="7"/>
  <c r="Z62" i="7" s="1"/>
  <c r="AB62" i="7"/>
  <c r="AA62" i="7"/>
  <c r="Y62" i="7"/>
  <c r="Z61" i="7" s="1"/>
  <c r="AB61" i="7"/>
  <c r="AA61" i="7"/>
  <c r="Y61" i="7"/>
  <c r="Z60" i="7" s="1"/>
  <c r="AB60" i="7"/>
  <c r="AA60" i="7"/>
  <c r="Y60" i="7"/>
  <c r="Z59" i="7" s="1"/>
  <c r="AB59" i="7"/>
  <c r="AA59" i="7"/>
  <c r="Y59" i="7"/>
  <c r="Z58" i="7" s="1"/>
  <c r="AB58" i="7"/>
  <c r="AA58" i="7"/>
  <c r="Y58" i="7"/>
  <c r="Z57" i="7" s="1"/>
  <c r="AB57" i="7"/>
  <c r="AA57" i="7"/>
  <c r="Y57" i="7"/>
  <c r="Z56" i="7" s="1"/>
  <c r="AB56" i="7"/>
  <c r="AA56" i="7"/>
  <c r="Y56" i="7"/>
  <c r="Z55" i="7" s="1"/>
  <c r="AB55" i="7"/>
  <c r="AA55" i="7"/>
  <c r="Y55" i="7"/>
  <c r="Z54" i="7" s="1"/>
  <c r="AB54" i="7"/>
  <c r="AA54" i="7"/>
  <c r="Y54" i="7"/>
  <c r="Z53" i="7" s="1"/>
  <c r="AB53" i="7"/>
  <c r="AA53" i="7"/>
  <c r="Y53" i="7"/>
  <c r="Z52" i="7" s="1"/>
  <c r="AB52" i="7"/>
  <c r="AA52" i="7"/>
  <c r="Y52" i="7"/>
  <c r="Z51" i="7" s="1"/>
  <c r="AB51" i="7"/>
  <c r="AA51" i="7"/>
  <c r="Y51" i="7"/>
  <c r="AB50" i="7"/>
  <c r="AA50" i="7"/>
  <c r="Z50" i="7"/>
  <c r="Y50" i="7"/>
  <c r="Z49" i="7" s="1"/>
  <c r="AB49" i="7"/>
  <c r="AA49" i="7"/>
  <c r="Y49" i="7"/>
  <c r="AB48" i="7"/>
  <c r="AA48" i="7"/>
  <c r="Z48" i="7"/>
  <c r="Y48" i="7"/>
  <c r="Z47" i="7" s="1"/>
  <c r="AB47" i="7"/>
  <c r="AA47" i="7"/>
  <c r="Y47" i="7"/>
  <c r="Z46" i="7" s="1"/>
  <c r="AB46" i="7"/>
  <c r="AA46" i="7"/>
  <c r="Y46" i="7"/>
  <c r="Z45" i="7" s="1"/>
  <c r="AB45" i="7"/>
  <c r="AA45" i="7"/>
  <c r="Y45" i="7"/>
  <c r="Z44" i="7" s="1"/>
  <c r="AB44" i="7"/>
  <c r="AA44" i="7"/>
  <c r="Y44" i="7"/>
  <c r="Z43" i="7" s="1"/>
  <c r="AB43" i="7"/>
  <c r="AA43" i="7"/>
  <c r="Y43" i="7"/>
  <c r="Z42" i="7" s="1"/>
  <c r="AB42" i="7"/>
  <c r="AA42" i="7"/>
  <c r="Y42" i="7"/>
  <c r="Z41" i="7" s="1"/>
  <c r="AB41" i="7"/>
  <c r="AA41" i="7"/>
  <c r="Y41" i="7"/>
  <c r="Z40" i="7" s="1"/>
  <c r="AB40" i="7"/>
  <c r="AA40" i="7"/>
  <c r="Y40" i="7"/>
  <c r="Z39" i="7" s="1"/>
  <c r="AB39" i="7"/>
  <c r="AA39" i="7"/>
  <c r="Y39" i="7"/>
  <c r="AB38" i="7"/>
  <c r="AA38" i="7"/>
  <c r="Z38" i="7"/>
  <c r="Y38" i="7"/>
  <c r="Z37" i="7" s="1"/>
  <c r="AB37" i="7"/>
  <c r="AA37" i="7"/>
  <c r="Y37" i="7"/>
  <c r="Z36" i="7" s="1"/>
  <c r="AB36" i="7"/>
  <c r="AA36" i="7"/>
  <c r="Y36" i="7"/>
  <c r="Z35" i="7" s="1"/>
  <c r="AB35" i="7"/>
  <c r="AA35" i="7"/>
  <c r="Y35" i="7"/>
  <c r="Z34" i="7" s="1"/>
  <c r="AB34" i="7"/>
  <c r="AA34" i="7"/>
  <c r="Y34" i="7"/>
  <c r="Z33" i="7" s="1"/>
  <c r="AB33" i="7"/>
  <c r="AA33" i="7"/>
  <c r="Y33" i="7"/>
  <c r="Z32" i="7" s="1"/>
  <c r="AB32" i="7"/>
  <c r="AA32" i="7"/>
  <c r="Y32" i="7"/>
  <c r="Z31" i="7" s="1"/>
  <c r="AB31" i="7"/>
  <c r="AA31" i="7"/>
  <c r="Y31" i="7"/>
  <c r="Z30" i="7" s="1"/>
  <c r="AB30" i="7"/>
  <c r="AA30" i="7"/>
  <c r="Y30" i="7"/>
  <c r="Z29" i="7" s="1"/>
  <c r="AB29" i="7"/>
  <c r="AA29" i="7"/>
  <c r="Y29" i="7"/>
  <c r="Z28" i="7" s="1"/>
  <c r="AB28" i="7"/>
  <c r="AA28" i="7"/>
  <c r="Y28" i="7"/>
  <c r="Z27" i="7" s="1"/>
  <c r="AB27" i="7"/>
  <c r="AA27" i="7"/>
  <c r="Y27" i="7"/>
  <c r="Z26" i="7" s="1"/>
  <c r="AB26" i="7"/>
  <c r="AA26" i="7"/>
  <c r="Y26" i="7"/>
  <c r="Z25" i="7" s="1"/>
  <c r="AB25" i="7"/>
  <c r="AA25" i="7"/>
  <c r="Y25" i="7"/>
  <c r="AB24" i="7"/>
  <c r="AA24" i="7"/>
  <c r="Z24" i="7"/>
  <c r="Y24" i="7"/>
  <c r="Z23" i="7" s="1"/>
  <c r="AB23" i="7"/>
  <c r="AA23" i="7"/>
  <c r="Y23" i="7"/>
  <c r="Z22" i="7" s="1"/>
  <c r="AB22" i="7"/>
  <c r="AA22" i="7"/>
  <c r="Y22" i="7"/>
  <c r="Z21" i="7" s="1"/>
  <c r="AB21" i="7"/>
  <c r="AA21" i="7"/>
  <c r="Y21" i="7"/>
  <c r="Z20" i="7" s="1"/>
  <c r="AB20" i="7"/>
  <c r="AA20" i="7"/>
  <c r="Y20" i="7"/>
  <c r="Z19" i="7" s="1"/>
  <c r="AB19" i="7"/>
  <c r="AA19" i="7"/>
  <c r="Y19" i="7"/>
  <c r="Z18" i="7" s="1"/>
  <c r="AB18" i="7"/>
  <c r="AA18" i="7"/>
  <c r="Y18" i="7"/>
  <c r="AB17" i="7"/>
  <c r="AA17" i="7"/>
  <c r="Z17" i="7"/>
  <c r="Y17" i="7"/>
  <c r="Z16" i="7" s="1"/>
  <c r="AB16" i="7"/>
  <c r="AA16" i="7"/>
  <c r="Y16" i="7"/>
  <c r="Z15" i="7" s="1"/>
  <c r="AB15" i="7"/>
  <c r="AA15" i="7"/>
  <c r="Y15" i="7"/>
  <c r="Z14" i="7" s="1"/>
  <c r="AB14" i="7"/>
  <c r="AA14" i="7"/>
  <c r="Y14" i="7"/>
  <c r="AB13" i="7"/>
  <c r="AA13" i="7"/>
  <c r="Y13" i="7"/>
  <c r="Z13" i="7" s="1"/>
  <c r="AB12" i="7"/>
  <c r="AA12" i="7"/>
  <c r="Y12" i="7"/>
  <c r="Z12" i="7" s="1"/>
  <c r="AB11" i="7"/>
  <c r="AA11" i="7"/>
  <c r="Y11" i="7"/>
  <c r="Z11" i="7" s="1"/>
  <c r="AB10" i="7"/>
  <c r="AA10" i="7"/>
  <c r="Y10" i="7"/>
  <c r="Z10" i="7" s="1"/>
  <c r="AB9" i="7"/>
  <c r="AA9" i="7"/>
  <c r="Y9" i="7"/>
  <c r="Z9" i="7" s="1"/>
  <c r="AB8" i="7"/>
  <c r="AA8" i="7"/>
  <c r="Y8" i="7"/>
  <c r="Z8" i="7" s="1"/>
  <c r="AB7" i="7"/>
  <c r="AA7" i="7"/>
  <c r="Y7" i="7"/>
  <c r="Z7" i="7" s="1"/>
  <c r="AB6" i="7"/>
  <c r="AA6" i="7"/>
  <c r="Y6" i="7"/>
  <c r="Z6" i="7" s="1"/>
  <c r="I1537" i="5"/>
  <c r="I1538" i="5" s="1"/>
  <c r="I1539" i="5" s="1"/>
  <c r="I1540" i="5" s="1"/>
  <c r="I1541" i="5" s="1"/>
  <c r="I1542" i="5" s="1"/>
  <c r="I1543" i="5" s="1"/>
  <c r="I1544" i="5" s="1"/>
  <c r="I1545" i="5" s="1"/>
  <c r="I1546" i="5" s="1"/>
  <c r="I1547" i="5" s="1"/>
  <c r="I1526" i="5"/>
  <c r="I1527" i="5" s="1"/>
  <c r="I1528" i="5" s="1"/>
  <c r="I1529" i="5" s="1"/>
  <c r="I1530" i="5" s="1"/>
  <c r="I1531" i="5" s="1"/>
  <c r="I1532" i="5" s="1"/>
  <c r="I1533" i="5" s="1"/>
  <c r="I1534" i="5" s="1"/>
  <c r="I1535" i="5" s="1"/>
  <c r="I1536" i="5" s="1"/>
  <c r="I1511" i="5"/>
  <c r="I1512" i="5" s="1"/>
  <c r="I1513" i="5" s="1"/>
  <c r="I1514" i="5" s="1"/>
  <c r="I1515" i="5" s="1"/>
  <c r="I1516" i="5" s="1"/>
  <c r="I1517" i="5" s="1"/>
  <c r="I1518" i="5" s="1"/>
  <c r="I1519" i="5" s="1"/>
  <c r="I1520" i="5" s="1"/>
  <c r="I1521" i="5" s="1"/>
  <c r="I1522" i="5" s="1"/>
  <c r="I1523" i="5" s="1"/>
  <c r="I1524" i="5" s="1"/>
  <c r="I1525" i="5" s="1"/>
  <c r="I1500" i="5"/>
  <c r="I1501" i="5" s="1"/>
  <c r="I1502" i="5" s="1"/>
  <c r="I1503" i="5" s="1"/>
  <c r="I1504" i="5" s="1"/>
  <c r="I1505" i="5" s="1"/>
  <c r="I1506" i="5" s="1"/>
  <c r="I1507" i="5" s="1"/>
  <c r="I1508" i="5" s="1"/>
  <c r="I1509" i="5" s="1"/>
  <c r="I1510" i="5" s="1"/>
  <c r="I1477" i="5"/>
  <c r="I1478" i="5" s="1"/>
  <c r="I1479" i="5" s="1"/>
  <c r="I1480" i="5" s="1"/>
  <c r="I1481" i="5" s="1"/>
  <c r="I1482" i="5" s="1"/>
  <c r="I1483" i="5" s="1"/>
  <c r="I1484" i="5" s="1"/>
  <c r="I1485" i="5" s="1"/>
  <c r="I1486" i="5" s="1"/>
  <c r="I1487" i="5" s="1"/>
  <c r="I1488" i="5" s="1"/>
  <c r="I1489" i="5" s="1"/>
  <c r="I1490" i="5" s="1"/>
  <c r="I1491" i="5" s="1"/>
  <c r="I1492" i="5" s="1"/>
  <c r="I1493" i="5" s="1"/>
  <c r="I1494" i="5" s="1"/>
  <c r="I1495" i="5" s="1"/>
  <c r="I1496" i="5" s="1"/>
  <c r="I1497" i="5" s="1"/>
  <c r="I1498" i="5" s="1"/>
  <c r="I1499" i="5" s="1"/>
  <c r="I1454" i="5"/>
  <c r="I1455" i="5" s="1"/>
  <c r="I1456" i="5" s="1"/>
  <c r="I1457" i="5" s="1"/>
  <c r="I1458" i="5" s="1"/>
  <c r="I1459" i="5" s="1"/>
  <c r="I1460" i="5" s="1"/>
  <c r="I1461" i="5" s="1"/>
  <c r="I1462" i="5" s="1"/>
  <c r="I1463" i="5" s="1"/>
  <c r="I1464" i="5" s="1"/>
  <c r="I1465" i="5" s="1"/>
  <c r="I1466" i="5" s="1"/>
  <c r="I1467" i="5" s="1"/>
  <c r="I1468" i="5" s="1"/>
  <c r="I1469" i="5" s="1"/>
  <c r="I1470" i="5" s="1"/>
  <c r="I1471" i="5" s="1"/>
  <c r="I1472" i="5" s="1"/>
  <c r="I1473" i="5" s="1"/>
  <c r="I1474" i="5" s="1"/>
  <c r="I1475" i="5" s="1"/>
  <c r="I1476" i="5" s="1"/>
  <c r="I1443" i="5"/>
  <c r="I1444" i="5" s="1"/>
  <c r="I1445" i="5" s="1"/>
  <c r="I1446" i="5" s="1"/>
  <c r="I1447" i="5" s="1"/>
  <c r="I1448" i="5" s="1"/>
  <c r="I1449" i="5" s="1"/>
  <c r="I1450" i="5" s="1"/>
  <c r="I1451" i="5" s="1"/>
  <c r="I1452" i="5" s="1"/>
  <c r="I1453" i="5" s="1"/>
  <c r="I1430" i="5"/>
  <c r="I1431" i="5" s="1"/>
  <c r="I1432" i="5" s="1"/>
  <c r="I1433" i="5" s="1"/>
  <c r="I1434" i="5" s="1"/>
  <c r="I1435" i="5" s="1"/>
  <c r="I1436" i="5" s="1"/>
  <c r="I1437" i="5" s="1"/>
  <c r="I1438" i="5" s="1"/>
  <c r="I1439" i="5" s="1"/>
  <c r="I1440" i="5" s="1"/>
  <c r="I1441" i="5" s="1"/>
  <c r="I1442" i="5" s="1"/>
  <c r="I1419" i="5"/>
  <c r="I1420" i="5" s="1"/>
  <c r="I1421" i="5" s="1"/>
  <c r="I1422" i="5" s="1"/>
  <c r="I1423" i="5" s="1"/>
  <c r="I1424" i="5" s="1"/>
  <c r="I1425" i="5" s="1"/>
  <c r="I1426" i="5" s="1"/>
  <c r="I1427" i="5" s="1"/>
  <c r="I1428" i="5" s="1"/>
  <c r="I1429" i="5" s="1"/>
  <c r="I1374" i="5"/>
  <c r="I1375" i="5" s="1"/>
  <c r="I1376" i="5" s="1"/>
  <c r="I1377" i="5" s="1"/>
  <c r="I1378" i="5" s="1"/>
  <c r="I1379" i="5" s="1"/>
  <c r="I1380" i="5" s="1"/>
  <c r="I1381" i="5" s="1"/>
  <c r="I1382" i="5" s="1"/>
  <c r="I1383" i="5" s="1"/>
  <c r="I1384" i="5" s="1"/>
  <c r="I1385" i="5" s="1"/>
  <c r="I1386" i="5" s="1"/>
  <c r="I1387" i="5" s="1"/>
  <c r="I1388" i="5" s="1"/>
  <c r="I1389" i="5" s="1"/>
  <c r="I1390" i="5" s="1"/>
  <c r="I1391" i="5" s="1"/>
  <c r="I1392" i="5" s="1"/>
  <c r="I1393" i="5" s="1"/>
  <c r="I1394" i="5" s="1"/>
  <c r="I1395" i="5" s="1"/>
  <c r="I1396" i="5" s="1"/>
  <c r="I1397" i="5" s="1"/>
  <c r="I1398" i="5" s="1"/>
  <c r="I1399" i="5" s="1"/>
  <c r="I1400" i="5" s="1"/>
  <c r="I1401" i="5" s="1"/>
  <c r="I1402" i="5" s="1"/>
  <c r="I1403" i="5" s="1"/>
  <c r="I1404" i="5" s="1"/>
  <c r="I1405" i="5" s="1"/>
  <c r="I1406" i="5" s="1"/>
  <c r="I1407" i="5" s="1"/>
  <c r="I1408" i="5" s="1"/>
  <c r="I1409" i="5" s="1"/>
  <c r="I1410" i="5" s="1"/>
  <c r="I1411" i="5" s="1"/>
  <c r="I1412" i="5" s="1"/>
  <c r="I1413" i="5" s="1"/>
  <c r="I1414" i="5" s="1"/>
  <c r="I1415" i="5" s="1"/>
  <c r="I1416" i="5" s="1"/>
  <c r="I1417" i="5" s="1"/>
  <c r="I1418" i="5" s="1"/>
  <c r="I1363" i="5"/>
  <c r="I1364" i="5" s="1"/>
  <c r="I1365" i="5" s="1"/>
  <c r="I1366" i="5" s="1"/>
  <c r="I1367" i="5" s="1"/>
  <c r="I1368" i="5" s="1"/>
  <c r="I1369" i="5" s="1"/>
  <c r="I1370" i="5" s="1"/>
  <c r="I1371" i="5" s="1"/>
  <c r="I1372" i="5" s="1"/>
  <c r="I1373" i="5" s="1"/>
  <c r="I1352" i="5"/>
  <c r="I1353" i="5" s="1"/>
  <c r="I1354" i="5" s="1"/>
  <c r="I1355" i="5" s="1"/>
  <c r="I1356" i="5" s="1"/>
  <c r="I1357" i="5" s="1"/>
  <c r="I1358" i="5" s="1"/>
  <c r="I1359" i="5" s="1"/>
  <c r="I1360" i="5" s="1"/>
  <c r="I1361" i="5" s="1"/>
  <c r="I1362" i="5" s="1"/>
  <c r="I1337" i="5"/>
  <c r="I1338" i="5" s="1"/>
  <c r="I1339" i="5" s="1"/>
  <c r="I1340" i="5" s="1"/>
  <c r="I1341" i="5" s="1"/>
  <c r="I1342" i="5" s="1"/>
  <c r="I1343" i="5" s="1"/>
  <c r="I1344" i="5" s="1"/>
  <c r="I1345" i="5" s="1"/>
  <c r="I1346" i="5" s="1"/>
  <c r="I1347" i="5" s="1"/>
  <c r="I1348" i="5" s="1"/>
  <c r="I1349" i="5" s="1"/>
  <c r="I1350" i="5" s="1"/>
  <c r="I1351" i="5" s="1"/>
  <c r="I1322" i="5"/>
  <c r="I1323" i="5" s="1"/>
  <c r="I1324" i="5" s="1"/>
  <c r="I1325" i="5" s="1"/>
  <c r="I1326" i="5" s="1"/>
  <c r="I1327" i="5" s="1"/>
  <c r="I1328" i="5" s="1"/>
  <c r="I1329" i="5" s="1"/>
  <c r="I1330" i="5" s="1"/>
  <c r="I1331" i="5" s="1"/>
  <c r="I1332" i="5" s="1"/>
  <c r="I1333" i="5" s="1"/>
  <c r="I1334" i="5" s="1"/>
  <c r="I1335" i="5" s="1"/>
  <c r="I1336" i="5" s="1"/>
  <c r="I1313" i="5"/>
  <c r="I1314" i="5" s="1"/>
  <c r="I1315" i="5" s="1"/>
  <c r="I1316" i="5" s="1"/>
  <c r="I1317" i="5" s="1"/>
  <c r="I1318" i="5" s="1"/>
  <c r="I1319" i="5" s="1"/>
  <c r="I1320" i="5" s="1"/>
  <c r="I1321" i="5" s="1"/>
  <c r="I1311" i="5"/>
  <c r="I1312" i="5" s="1"/>
  <c r="I1296" i="5"/>
  <c r="I1297" i="5" s="1"/>
  <c r="I1298" i="5" s="1"/>
  <c r="I1299" i="5" s="1"/>
  <c r="I1300" i="5" s="1"/>
  <c r="I1301" i="5" s="1"/>
  <c r="I1302" i="5" s="1"/>
  <c r="I1303" i="5" s="1"/>
  <c r="I1304" i="5" s="1"/>
  <c r="I1305" i="5" s="1"/>
  <c r="I1306" i="5" s="1"/>
  <c r="I1307" i="5" s="1"/>
  <c r="I1308" i="5" s="1"/>
  <c r="I1309" i="5" s="1"/>
  <c r="I1310" i="5" s="1"/>
  <c r="I1285" i="5"/>
  <c r="I1286" i="5" s="1"/>
  <c r="I1287" i="5" s="1"/>
  <c r="I1288" i="5" s="1"/>
  <c r="I1289" i="5" s="1"/>
  <c r="I1290" i="5" s="1"/>
  <c r="I1291" i="5" s="1"/>
  <c r="I1292" i="5" s="1"/>
  <c r="I1293" i="5" s="1"/>
  <c r="I1294" i="5" s="1"/>
  <c r="I1295" i="5" s="1"/>
  <c r="I1254" i="5"/>
  <c r="I1255" i="5" s="1"/>
  <c r="I1256" i="5" s="1"/>
  <c r="I1257" i="5" s="1"/>
  <c r="I1258" i="5" s="1"/>
  <c r="I1259" i="5" s="1"/>
  <c r="I1260" i="5" s="1"/>
  <c r="I1261" i="5" s="1"/>
  <c r="I1262" i="5" s="1"/>
  <c r="I1263" i="5" s="1"/>
  <c r="I1264" i="5" s="1"/>
  <c r="I1265" i="5" s="1"/>
  <c r="I1266" i="5" s="1"/>
  <c r="I1267" i="5" s="1"/>
  <c r="I1268" i="5" s="1"/>
  <c r="I1269" i="5" s="1"/>
  <c r="I1270" i="5" s="1"/>
  <c r="I1271" i="5" s="1"/>
  <c r="I1272" i="5" s="1"/>
  <c r="I1273" i="5" s="1"/>
  <c r="I1274" i="5" s="1"/>
  <c r="I1275" i="5" s="1"/>
  <c r="I1276" i="5" s="1"/>
  <c r="I1277" i="5" s="1"/>
  <c r="I1278" i="5" s="1"/>
  <c r="I1279" i="5" s="1"/>
  <c r="I1280" i="5" s="1"/>
  <c r="I1281" i="5" s="1"/>
  <c r="I1282" i="5" s="1"/>
  <c r="I1283" i="5" s="1"/>
  <c r="I1284" i="5" s="1"/>
  <c r="I1235" i="5"/>
  <c r="I1236" i="5" s="1"/>
  <c r="I1237" i="5" s="1"/>
  <c r="I1238" i="5" s="1"/>
  <c r="I1239" i="5" s="1"/>
  <c r="I1240" i="5" s="1"/>
  <c r="I1241" i="5" s="1"/>
  <c r="I1242" i="5" s="1"/>
  <c r="I1243" i="5" s="1"/>
  <c r="I1244" i="5" s="1"/>
  <c r="I1245" i="5" s="1"/>
  <c r="I1246" i="5" s="1"/>
  <c r="I1247" i="5" s="1"/>
  <c r="I1248" i="5" s="1"/>
  <c r="I1249" i="5" s="1"/>
  <c r="I1250" i="5" s="1"/>
  <c r="I1251" i="5" s="1"/>
  <c r="I1252" i="5" s="1"/>
  <c r="I1253" i="5" s="1"/>
  <c r="I1224" i="5"/>
  <c r="I1225" i="5" s="1"/>
  <c r="I1226" i="5" s="1"/>
  <c r="I1227" i="5" s="1"/>
  <c r="I1228" i="5" s="1"/>
  <c r="I1229" i="5" s="1"/>
  <c r="I1230" i="5" s="1"/>
  <c r="I1231" i="5" s="1"/>
  <c r="I1232" i="5" s="1"/>
  <c r="I1233" i="5" s="1"/>
  <c r="I1234" i="5" s="1"/>
  <c r="I1193" i="5"/>
  <c r="I1194" i="5" s="1"/>
  <c r="I1195" i="5" s="1"/>
  <c r="I1196" i="5" s="1"/>
  <c r="I1197" i="5" s="1"/>
  <c r="I1198" i="5" s="1"/>
  <c r="I1199" i="5" s="1"/>
  <c r="I1200" i="5" s="1"/>
  <c r="I1201" i="5" s="1"/>
  <c r="I1202" i="5" s="1"/>
  <c r="I1203" i="5" s="1"/>
  <c r="I1204" i="5" s="1"/>
  <c r="I1205" i="5" s="1"/>
  <c r="I1206" i="5" s="1"/>
  <c r="I1207" i="5" s="1"/>
  <c r="I1208" i="5" s="1"/>
  <c r="I1209" i="5" s="1"/>
  <c r="I1210" i="5" s="1"/>
  <c r="I1211" i="5" s="1"/>
  <c r="I1212" i="5" s="1"/>
  <c r="I1213" i="5" s="1"/>
  <c r="I1214" i="5" s="1"/>
  <c r="I1215" i="5" s="1"/>
  <c r="I1216" i="5" s="1"/>
  <c r="I1217" i="5" s="1"/>
  <c r="I1218" i="5" s="1"/>
  <c r="I1219" i="5" s="1"/>
  <c r="I1220" i="5" s="1"/>
  <c r="I1221" i="5" s="1"/>
  <c r="I1222" i="5" s="1"/>
  <c r="I1223" i="5" s="1"/>
  <c r="I1178" i="5"/>
  <c r="I1179" i="5" s="1"/>
  <c r="I1180" i="5" s="1"/>
  <c r="I1181" i="5" s="1"/>
  <c r="I1182" i="5" s="1"/>
  <c r="I1183" i="5" s="1"/>
  <c r="I1184" i="5" s="1"/>
  <c r="I1185" i="5" s="1"/>
  <c r="I1186" i="5" s="1"/>
  <c r="I1187" i="5" s="1"/>
  <c r="I1188" i="5" s="1"/>
  <c r="I1189" i="5" s="1"/>
  <c r="I1190" i="5" s="1"/>
  <c r="I1191" i="5" s="1"/>
  <c r="I1192" i="5" s="1"/>
  <c r="I1169" i="5"/>
  <c r="I1170" i="5" s="1"/>
  <c r="I1171" i="5" s="1"/>
  <c r="I1172" i="5" s="1"/>
  <c r="I1173" i="5" s="1"/>
  <c r="I1174" i="5" s="1"/>
  <c r="I1175" i="5" s="1"/>
  <c r="I1176" i="5" s="1"/>
  <c r="I1177" i="5" s="1"/>
  <c r="I1160" i="5"/>
  <c r="I1161" i="5" s="1"/>
  <c r="I1162" i="5" s="1"/>
  <c r="I1163" i="5" s="1"/>
  <c r="I1164" i="5" s="1"/>
  <c r="I1165" i="5" s="1"/>
  <c r="I1166" i="5" s="1"/>
  <c r="I1167" i="5" s="1"/>
  <c r="I1168" i="5" s="1"/>
  <c r="I1149" i="5"/>
  <c r="I1150" i="5" s="1"/>
  <c r="I1151" i="5" s="1"/>
  <c r="I1152" i="5" s="1"/>
  <c r="I1153" i="5" s="1"/>
  <c r="I1154" i="5" s="1"/>
  <c r="I1155" i="5" s="1"/>
  <c r="I1156" i="5" s="1"/>
  <c r="I1157" i="5" s="1"/>
  <c r="I1158" i="5" s="1"/>
  <c r="I1159" i="5" s="1"/>
  <c r="I1138" i="5"/>
  <c r="I1139" i="5" s="1"/>
  <c r="I1140" i="5" s="1"/>
  <c r="I1141" i="5" s="1"/>
  <c r="I1142" i="5" s="1"/>
  <c r="I1143" i="5" s="1"/>
  <c r="I1144" i="5" s="1"/>
  <c r="I1145" i="5" s="1"/>
  <c r="I1146" i="5" s="1"/>
  <c r="I1147" i="5" s="1"/>
  <c r="I1148" i="5" s="1"/>
  <c r="I1127" i="5"/>
  <c r="I1128" i="5" s="1"/>
  <c r="I1129" i="5" s="1"/>
  <c r="I1130" i="5" s="1"/>
  <c r="I1131" i="5" s="1"/>
  <c r="I1132" i="5" s="1"/>
  <c r="I1133" i="5" s="1"/>
  <c r="I1134" i="5" s="1"/>
  <c r="I1135" i="5" s="1"/>
  <c r="I1136" i="5" s="1"/>
  <c r="I1137" i="5" s="1"/>
  <c r="I1088" i="5"/>
  <c r="I1089" i="5" s="1"/>
  <c r="I1090" i="5" s="1"/>
  <c r="I1091" i="5" s="1"/>
  <c r="I1092" i="5" s="1"/>
  <c r="I1093" i="5" s="1"/>
  <c r="I1094" i="5" s="1"/>
  <c r="I1095" i="5" s="1"/>
  <c r="I1096" i="5" s="1"/>
  <c r="I1097" i="5" s="1"/>
  <c r="I1098" i="5" s="1"/>
  <c r="I1099" i="5" s="1"/>
  <c r="I1100" i="5" s="1"/>
  <c r="I1101" i="5" s="1"/>
  <c r="I1102" i="5" s="1"/>
  <c r="I1103" i="5" s="1"/>
  <c r="I1104" i="5" s="1"/>
  <c r="I1105" i="5" s="1"/>
  <c r="I1106" i="5" s="1"/>
  <c r="I1107" i="5" s="1"/>
  <c r="I1108" i="5" s="1"/>
  <c r="I1109" i="5" s="1"/>
  <c r="I1110" i="5" s="1"/>
  <c r="I1111" i="5" s="1"/>
  <c r="I1112" i="5" s="1"/>
  <c r="I1113" i="5" s="1"/>
  <c r="I1114" i="5" s="1"/>
  <c r="I1115" i="5" s="1"/>
  <c r="I1116" i="5" s="1"/>
  <c r="I1117" i="5" s="1"/>
  <c r="I1118" i="5" s="1"/>
  <c r="I1119" i="5" s="1"/>
  <c r="I1120" i="5" s="1"/>
  <c r="I1121" i="5" s="1"/>
  <c r="I1122" i="5" s="1"/>
  <c r="I1123" i="5" s="1"/>
  <c r="I1124" i="5" s="1"/>
  <c r="I1125" i="5" s="1"/>
  <c r="I1126" i="5" s="1"/>
  <c r="I1069" i="5"/>
  <c r="I1070" i="5" s="1"/>
  <c r="I1071" i="5" s="1"/>
  <c r="I1072" i="5" s="1"/>
  <c r="I1073" i="5" s="1"/>
  <c r="I1074" i="5" s="1"/>
  <c r="I1075" i="5" s="1"/>
  <c r="I1076" i="5" s="1"/>
  <c r="I1077" i="5" s="1"/>
  <c r="I1078" i="5" s="1"/>
  <c r="I1079" i="5" s="1"/>
  <c r="I1080" i="5" s="1"/>
  <c r="I1081" i="5" s="1"/>
  <c r="I1082" i="5" s="1"/>
  <c r="I1083" i="5" s="1"/>
  <c r="I1084" i="5" s="1"/>
  <c r="I1085" i="5" s="1"/>
  <c r="I1086" i="5" s="1"/>
  <c r="I1087" i="5" s="1"/>
  <c r="I1049" i="5"/>
  <c r="I1050" i="5" s="1"/>
  <c r="I1051" i="5" s="1"/>
  <c r="I1052" i="5" s="1"/>
  <c r="I1053" i="5" s="1"/>
  <c r="I1054" i="5" s="1"/>
  <c r="I1055" i="5" s="1"/>
  <c r="I1056" i="5" s="1"/>
  <c r="I1057" i="5" s="1"/>
  <c r="I1058" i="5" s="1"/>
  <c r="I1059" i="5" s="1"/>
  <c r="I1060" i="5" s="1"/>
  <c r="I1061" i="5" s="1"/>
  <c r="I1062" i="5" s="1"/>
  <c r="I1063" i="5" s="1"/>
  <c r="I1064" i="5" s="1"/>
  <c r="I1065" i="5" s="1"/>
  <c r="I1066" i="5" s="1"/>
  <c r="I1067" i="5" s="1"/>
  <c r="I1068" i="5" s="1"/>
  <c r="I1023" i="5"/>
  <c r="I1024" i="5" s="1"/>
  <c r="I1025" i="5" s="1"/>
  <c r="I1026" i="5" s="1"/>
  <c r="I1027" i="5" s="1"/>
  <c r="I1028" i="5" s="1"/>
  <c r="I1029" i="5" s="1"/>
  <c r="I1030" i="5" s="1"/>
  <c r="I1031" i="5" s="1"/>
  <c r="I1032" i="5" s="1"/>
  <c r="I1033" i="5" s="1"/>
  <c r="I1034" i="5" s="1"/>
  <c r="I1035" i="5" s="1"/>
  <c r="I1036" i="5" s="1"/>
  <c r="I1037" i="5" s="1"/>
  <c r="I1038" i="5" s="1"/>
  <c r="I1039" i="5" s="1"/>
  <c r="I1040" i="5" s="1"/>
  <c r="I1041" i="5" s="1"/>
  <c r="I1042" i="5" s="1"/>
  <c r="I1043" i="5" s="1"/>
  <c r="I1044" i="5" s="1"/>
  <c r="I1045" i="5" s="1"/>
  <c r="I1046" i="5" s="1"/>
  <c r="I1047" i="5" s="1"/>
  <c r="I1048" i="5" s="1"/>
  <c r="I1008" i="5"/>
  <c r="I1009" i="5" s="1"/>
  <c r="I1010" i="5" s="1"/>
  <c r="I1011" i="5" s="1"/>
  <c r="I1012" i="5" s="1"/>
  <c r="I1013" i="5" s="1"/>
  <c r="I1014" i="5" s="1"/>
  <c r="I1015" i="5" s="1"/>
  <c r="I1016" i="5" s="1"/>
  <c r="I1017" i="5" s="1"/>
  <c r="I1018" i="5" s="1"/>
  <c r="I1019" i="5" s="1"/>
  <c r="I1020" i="5" s="1"/>
  <c r="I1021" i="5" s="1"/>
  <c r="I1022" i="5" s="1"/>
  <c r="I1001" i="5"/>
  <c r="I1002" i="5" s="1"/>
  <c r="I1003" i="5" s="1"/>
  <c r="I1004" i="5" s="1"/>
  <c r="I1005" i="5" s="1"/>
  <c r="I1006" i="5" s="1"/>
  <c r="I1007" i="5" s="1"/>
  <c r="I991" i="5"/>
  <c r="I992" i="5" s="1"/>
  <c r="I993" i="5" s="1"/>
  <c r="I994" i="5" s="1"/>
  <c r="I995" i="5" s="1"/>
  <c r="I996" i="5" s="1"/>
  <c r="I997" i="5" s="1"/>
  <c r="I998" i="5" s="1"/>
  <c r="I999" i="5" s="1"/>
  <c r="I1000" i="5" s="1"/>
  <c r="I963" i="5"/>
  <c r="I964" i="5" s="1"/>
  <c r="I965" i="5" s="1"/>
  <c r="I966" i="5" s="1"/>
  <c r="I967" i="5" s="1"/>
  <c r="I968" i="5" s="1"/>
  <c r="I969" i="5" s="1"/>
  <c r="I970" i="5" s="1"/>
  <c r="I971" i="5" s="1"/>
  <c r="I972" i="5" s="1"/>
  <c r="I973" i="5" s="1"/>
  <c r="I974" i="5" s="1"/>
  <c r="I975" i="5" s="1"/>
  <c r="I976" i="5" s="1"/>
  <c r="I977" i="5" s="1"/>
  <c r="I978" i="5" s="1"/>
  <c r="I979" i="5" s="1"/>
  <c r="I980" i="5" s="1"/>
  <c r="I981" i="5" s="1"/>
  <c r="I982" i="5" s="1"/>
  <c r="I983" i="5" s="1"/>
  <c r="I984" i="5" s="1"/>
  <c r="I985" i="5" s="1"/>
  <c r="I986" i="5" s="1"/>
  <c r="I987" i="5" s="1"/>
  <c r="I988" i="5" s="1"/>
  <c r="I989" i="5" s="1"/>
  <c r="I990" i="5" s="1"/>
  <c r="I952" i="5"/>
  <c r="I953" i="5" s="1"/>
  <c r="I954" i="5" s="1"/>
  <c r="I955" i="5" s="1"/>
  <c r="I956" i="5" s="1"/>
  <c r="I957" i="5" s="1"/>
  <c r="I958" i="5" s="1"/>
  <c r="I959" i="5" s="1"/>
  <c r="I960" i="5" s="1"/>
  <c r="I961" i="5" s="1"/>
  <c r="I962" i="5" s="1"/>
  <c r="I929" i="5"/>
  <c r="I930" i="5" s="1"/>
  <c r="I931" i="5" s="1"/>
  <c r="I932" i="5" s="1"/>
  <c r="I933" i="5" s="1"/>
  <c r="I934" i="5" s="1"/>
  <c r="I935" i="5" s="1"/>
  <c r="I936" i="5" s="1"/>
  <c r="I937" i="5" s="1"/>
  <c r="I938" i="5" s="1"/>
  <c r="I939" i="5" s="1"/>
  <c r="I940" i="5" s="1"/>
  <c r="I941" i="5" s="1"/>
  <c r="I942" i="5" s="1"/>
  <c r="I943" i="5" s="1"/>
  <c r="I944" i="5" s="1"/>
  <c r="I945" i="5" s="1"/>
  <c r="I946" i="5" s="1"/>
  <c r="I947" i="5" s="1"/>
  <c r="I948" i="5" s="1"/>
  <c r="I949" i="5" s="1"/>
  <c r="I950" i="5" s="1"/>
  <c r="I951" i="5" s="1"/>
  <c r="I898" i="5"/>
  <c r="I899" i="5" s="1"/>
  <c r="I900" i="5" s="1"/>
  <c r="I901" i="5" s="1"/>
  <c r="I902" i="5" s="1"/>
  <c r="I903" i="5" s="1"/>
  <c r="I904" i="5" s="1"/>
  <c r="I905" i="5" s="1"/>
  <c r="I906" i="5" s="1"/>
  <c r="I907" i="5" s="1"/>
  <c r="I908" i="5" s="1"/>
  <c r="I909" i="5" s="1"/>
  <c r="I910" i="5" s="1"/>
  <c r="I911" i="5" s="1"/>
  <c r="I912" i="5" s="1"/>
  <c r="I913" i="5" s="1"/>
  <c r="I914" i="5" s="1"/>
  <c r="I915" i="5" s="1"/>
  <c r="I916" i="5" s="1"/>
  <c r="I917" i="5" s="1"/>
  <c r="I918" i="5" s="1"/>
  <c r="I919" i="5" s="1"/>
  <c r="I920" i="5" s="1"/>
  <c r="I921" i="5" s="1"/>
  <c r="I922" i="5" s="1"/>
  <c r="I923" i="5" s="1"/>
  <c r="I924" i="5" s="1"/>
  <c r="I925" i="5" s="1"/>
  <c r="I926" i="5" s="1"/>
  <c r="I927" i="5" s="1"/>
  <c r="I928" i="5" s="1"/>
  <c r="I887" i="5"/>
  <c r="I888" i="5" s="1"/>
  <c r="I889" i="5" s="1"/>
  <c r="I890" i="5" s="1"/>
  <c r="I891" i="5" s="1"/>
  <c r="I892" i="5" s="1"/>
  <c r="I893" i="5" s="1"/>
  <c r="I894" i="5" s="1"/>
  <c r="I895" i="5" s="1"/>
  <c r="I896" i="5" s="1"/>
  <c r="I897" i="5" s="1"/>
  <c r="I876" i="5"/>
  <c r="I877" i="5" s="1"/>
  <c r="I878" i="5" s="1"/>
  <c r="I879" i="5" s="1"/>
  <c r="I880" i="5" s="1"/>
  <c r="I881" i="5" s="1"/>
  <c r="I882" i="5" s="1"/>
  <c r="I883" i="5" s="1"/>
  <c r="I884" i="5" s="1"/>
  <c r="I885" i="5" s="1"/>
  <c r="I886" i="5" s="1"/>
  <c r="I849" i="5"/>
  <c r="I850" i="5" s="1"/>
  <c r="I851" i="5" s="1"/>
  <c r="I852" i="5" s="1"/>
  <c r="I853" i="5" s="1"/>
  <c r="I854" i="5" s="1"/>
  <c r="I855" i="5" s="1"/>
  <c r="I856" i="5" s="1"/>
  <c r="I857" i="5" s="1"/>
  <c r="I858" i="5" s="1"/>
  <c r="I859" i="5" s="1"/>
  <c r="I860" i="5" s="1"/>
  <c r="I861" i="5" s="1"/>
  <c r="I862" i="5" s="1"/>
  <c r="I863" i="5" s="1"/>
  <c r="I864" i="5" s="1"/>
  <c r="I865" i="5" s="1"/>
  <c r="I866" i="5" s="1"/>
  <c r="I867" i="5" s="1"/>
  <c r="I868" i="5" s="1"/>
  <c r="I869" i="5" s="1"/>
  <c r="I870" i="5" s="1"/>
  <c r="I871" i="5" s="1"/>
  <c r="I872" i="5" s="1"/>
  <c r="I873" i="5" s="1"/>
  <c r="I874" i="5" s="1"/>
  <c r="I875" i="5" s="1"/>
  <c r="I822" i="5"/>
  <c r="I823" i="5" s="1"/>
  <c r="I824" i="5" s="1"/>
  <c r="I825" i="5" s="1"/>
  <c r="I826" i="5" s="1"/>
  <c r="I827" i="5" s="1"/>
  <c r="I828" i="5" s="1"/>
  <c r="I829" i="5" s="1"/>
  <c r="I830" i="5" s="1"/>
  <c r="I831" i="5" s="1"/>
  <c r="I832" i="5" s="1"/>
  <c r="I833" i="5" s="1"/>
  <c r="I834" i="5" s="1"/>
  <c r="I835" i="5" s="1"/>
  <c r="I836" i="5" s="1"/>
  <c r="I837" i="5" s="1"/>
  <c r="I838" i="5" s="1"/>
  <c r="I839" i="5" s="1"/>
  <c r="I840" i="5" s="1"/>
  <c r="I841" i="5" s="1"/>
  <c r="I842" i="5" s="1"/>
  <c r="I843" i="5" s="1"/>
  <c r="I844" i="5" s="1"/>
  <c r="I845" i="5" s="1"/>
  <c r="I846" i="5" s="1"/>
  <c r="I847" i="5" s="1"/>
  <c r="I848" i="5" s="1"/>
  <c r="I796" i="5"/>
  <c r="I797" i="5" s="1"/>
  <c r="I798" i="5" s="1"/>
  <c r="I799" i="5" s="1"/>
  <c r="I800" i="5" s="1"/>
  <c r="I801" i="5" s="1"/>
  <c r="I802" i="5" s="1"/>
  <c r="I803" i="5" s="1"/>
  <c r="I804" i="5" s="1"/>
  <c r="I805" i="5" s="1"/>
  <c r="I806" i="5" s="1"/>
  <c r="I807" i="5" s="1"/>
  <c r="I808" i="5" s="1"/>
  <c r="I809" i="5" s="1"/>
  <c r="I810" i="5" s="1"/>
  <c r="I811" i="5" s="1"/>
  <c r="I812" i="5" s="1"/>
  <c r="I813" i="5" s="1"/>
  <c r="I814" i="5" s="1"/>
  <c r="I815" i="5" s="1"/>
  <c r="I816" i="5" s="1"/>
  <c r="I817" i="5" s="1"/>
  <c r="I818" i="5" s="1"/>
  <c r="I819" i="5" s="1"/>
  <c r="I820" i="5" s="1"/>
  <c r="I821" i="5" s="1"/>
  <c r="I781" i="5"/>
  <c r="I782" i="5" s="1"/>
  <c r="I783" i="5" s="1"/>
  <c r="I784" i="5" s="1"/>
  <c r="I785" i="5" s="1"/>
  <c r="I786" i="5" s="1"/>
  <c r="I787" i="5" s="1"/>
  <c r="I788" i="5" s="1"/>
  <c r="I789" i="5" s="1"/>
  <c r="I790" i="5" s="1"/>
  <c r="I791" i="5" s="1"/>
  <c r="I792" i="5" s="1"/>
  <c r="I793" i="5" s="1"/>
  <c r="I794" i="5" s="1"/>
  <c r="I795" i="5" s="1"/>
  <c r="I746" i="5"/>
  <c r="I747" i="5" s="1"/>
  <c r="I748" i="5" s="1"/>
  <c r="I749" i="5" s="1"/>
  <c r="I750" i="5" s="1"/>
  <c r="I751" i="5" s="1"/>
  <c r="I752" i="5" s="1"/>
  <c r="I753" i="5" s="1"/>
  <c r="I754" i="5" s="1"/>
  <c r="I755" i="5" s="1"/>
  <c r="I756" i="5" s="1"/>
  <c r="I757" i="5" s="1"/>
  <c r="I758" i="5" s="1"/>
  <c r="I759" i="5" s="1"/>
  <c r="I760" i="5" s="1"/>
  <c r="I761" i="5" s="1"/>
  <c r="I762" i="5" s="1"/>
  <c r="I763" i="5" s="1"/>
  <c r="I764" i="5" s="1"/>
  <c r="I765" i="5" s="1"/>
  <c r="I766" i="5" s="1"/>
  <c r="I767" i="5" s="1"/>
  <c r="I768" i="5" s="1"/>
  <c r="I769" i="5" s="1"/>
  <c r="I770" i="5" s="1"/>
  <c r="I771" i="5" s="1"/>
  <c r="I772" i="5" s="1"/>
  <c r="I773" i="5" s="1"/>
  <c r="I774" i="5" s="1"/>
  <c r="I775" i="5" s="1"/>
  <c r="I776" i="5" s="1"/>
  <c r="I777" i="5" s="1"/>
  <c r="I778" i="5" s="1"/>
  <c r="I779" i="5" s="1"/>
  <c r="I780" i="5" s="1"/>
  <c r="I679" i="5"/>
  <c r="I680" i="5" s="1"/>
  <c r="I681" i="5" s="1"/>
  <c r="I682" i="5" s="1"/>
  <c r="I683" i="5" s="1"/>
  <c r="I684" i="5" s="1"/>
  <c r="I685" i="5" s="1"/>
  <c r="I686" i="5" s="1"/>
  <c r="I687" i="5" s="1"/>
  <c r="I688" i="5" s="1"/>
  <c r="I689" i="5" s="1"/>
  <c r="I690" i="5" s="1"/>
  <c r="I691" i="5" s="1"/>
  <c r="I692" i="5" s="1"/>
  <c r="I693" i="5" s="1"/>
  <c r="I694" i="5" s="1"/>
  <c r="I695" i="5" s="1"/>
  <c r="I696" i="5" s="1"/>
  <c r="I697" i="5" s="1"/>
  <c r="I698" i="5" s="1"/>
  <c r="I699" i="5" s="1"/>
  <c r="I700" i="5" s="1"/>
  <c r="I701" i="5" s="1"/>
  <c r="I702" i="5" s="1"/>
  <c r="I703" i="5" s="1"/>
  <c r="I704" i="5" s="1"/>
  <c r="I705" i="5" s="1"/>
  <c r="I706" i="5" s="1"/>
  <c r="I707" i="5" s="1"/>
  <c r="I708" i="5" s="1"/>
  <c r="I709" i="5" s="1"/>
  <c r="I710" i="5" s="1"/>
  <c r="I711" i="5" s="1"/>
  <c r="I712" i="5" s="1"/>
  <c r="I713" i="5" s="1"/>
  <c r="I714" i="5" s="1"/>
  <c r="I715" i="5" s="1"/>
  <c r="I716" i="5" s="1"/>
  <c r="I717" i="5" s="1"/>
  <c r="I718" i="5" s="1"/>
  <c r="I719" i="5" s="1"/>
  <c r="I720" i="5" s="1"/>
  <c r="I721" i="5" s="1"/>
  <c r="I722" i="5" s="1"/>
  <c r="I723" i="5" s="1"/>
  <c r="I724" i="5" s="1"/>
  <c r="I725" i="5" s="1"/>
  <c r="I726" i="5" s="1"/>
  <c r="I727" i="5" s="1"/>
  <c r="I728" i="5" s="1"/>
  <c r="I729" i="5" s="1"/>
  <c r="I730" i="5" s="1"/>
  <c r="I731" i="5" s="1"/>
  <c r="I732" i="5" s="1"/>
  <c r="I733" i="5" s="1"/>
  <c r="I734" i="5" s="1"/>
  <c r="I735" i="5" s="1"/>
  <c r="I736" i="5" s="1"/>
  <c r="I737" i="5" s="1"/>
  <c r="I738" i="5" s="1"/>
  <c r="I739" i="5" s="1"/>
  <c r="I740" i="5" s="1"/>
  <c r="I741" i="5" s="1"/>
  <c r="I742" i="5" s="1"/>
  <c r="I743" i="5" s="1"/>
  <c r="I744" i="5" s="1"/>
  <c r="I745" i="5" s="1"/>
  <c r="I612" i="5"/>
  <c r="I613" i="5" s="1"/>
  <c r="I614" i="5" s="1"/>
  <c r="I615" i="5" s="1"/>
  <c r="I616" i="5" s="1"/>
  <c r="I617" i="5" s="1"/>
  <c r="I618" i="5" s="1"/>
  <c r="I619" i="5" s="1"/>
  <c r="I620" i="5" s="1"/>
  <c r="I621" i="5" s="1"/>
  <c r="I622" i="5" s="1"/>
  <c r="I623" i="5" s="1"/>
  <c r="I624" i="5" s="1"/>
  <c r="I625" i="5" s="1"/>
  <c r="I626" i="5" s="1"/>
  <c r="I627" i="5" s="1"/>
  <c r="I628" i="5" s="1"/>
  <c r="I629" i="5" s="1"/>
  <c r="I630" i="5" s="1"/>
  <c r="I631" i="5" s="1"/>
  <c r="I632" i="5" s="1"/>
  <c r="I633" i="5" s="1"/>
  <c r="I634" i="5" s="1"/>
  <c r="I635" i="5" s="1"/>
  <c r="I636" i="5" s="1"/>
  <c r="I637" i="5" s="1"/>
  <c r="I638" i="5" s="1"/>
  <c r="I639" i="5" s="1"/>
  <c r="I640" i="5" s="1"/>
  <c r="I641" i="5" s="1"/>
  <c r="I642" i="5" s="1"/>
  <c r="I643" i="5" s="1"/>
  <c r="I644" i="5" s="1"/>
  <c r="I645" i="5" s="1"/>
  <c r="I646" i="5" s="1"/>
  <c r="I647" i="5" s="1"/>
  <c r="I648" i="5" s="1"/>
  <c r="I649" i="5" s="1"/>
  <c r="I650" i="5" s="1"/>
  <c r="I651" i="5" s="1"/>
  <c r="I652" i="5" s="1"/>
  <c r="I653" i="5" s="1"/>
  <c r="I654" i="5" s="1"/>
  <c r="I655" i="5" s="1"/>
  <c r="I656" i="5" s="1"/>
  <c r="I657" i="5" s="1"/>
  <c r="I658" i="5" s="1"/>
  <c r="I659" i="5" s="1"/>
  <c r="I660" i="5" s="1"/>
  <c r="I661" i="5" s="1"/>
  <c r="I662" i="5" s="1"/>
  <c r="I663" i="5" s="1"/>
  <c r="I664" i="5" s="1"/>
  <c r="I665" i="5" s="1"/>
  <c r="I666" i="5" s="1"/>
  <c r="I667" i="5" s="1"/>
  <c r="I668" i="5" s="1"/>
  <c r="I669" i="5" s="1"/>
  <c r="I670" i="5" s="1"/>
  <c r="I671" i="5" s="1"/>
  <c r="I672" i="5" s="1"/>
  <c r="I673" i="5" s="1"/>
  <c r="I674" i="5" s="1"/>
  <c r="I675" i="5" s="1"/>
  <c r="I676" i="5" s="1"/>
  <c r="I677" i="5" s="1"/>
  <c r="I678" i="5" s="1"/>
  <c r="I573" i="5"/>
  <c r="I574" i="5" s="1"/>
  <c r="I575" i="5" s="1"/>
  <c r="I576" i="5" s="1"/>
  <c r="I577" i="5" s="1"/>
  <c r="I578" i="5" s="1"/>
  <c r="I579" i="5" s="1"/>
  <c r="I580" i="5" s="1"/>
  <c r="I581" i="5" s="1"/>
  <c r="I582" i="5" s="1"/>
  <c r="I583" i="5" s="1"/>
  <c r="I584" i="5" s="1"/>
  <c r="I585" i="5" s="1"/>
  <c r="I586" i="5" s="1"/>
  <c r="I587" i="5" s="1"/>
  <c r="I588" i="5" s="1"/>
  <c r="I589" i="5" s="1"/>
  <c r="I590" i="5" s="1"/>
  <c r="I591" i="5" s="1"/>
  <c r="I592" i="5" s="1"/>
  <c r="I593" i="5" s="1"/>
  <c r="I594" i="5" s="1"/>
  <c r="I595" i="5" s="1"/>
  <c r="I596" i="5" s="1"/>
  <c r="I597" i="5" s="1"/>
  <c r="I598" i="5" s="1"/>
  <c r="I599" i="5" s="1"/>
  <c r="I600" i="5" s="1"/>
  <c r="I601" i="5" s="1"/>
  <c r="I602" i="5" s="1"/>
  <c r="I603" i="5" s="1"/>
  <c r="I604" i="5" s="1"/>
  <c r="I605" i="5" s="1"/>
  <c r="I606" i="5" s="1"/>
  <c r="I607" i="5" s="1"/>
  <c r="I608" i="5" s="1"/>
  <c r="I609" i="5" s="1"/>
  <c r="I610" i="5" s="1"/>
  <c r="I611" i="5" s="1"/>
  <c r="I556" i="5"/>
  <c r="I557" i="5" s="1"/>
  <c r="I558" i="5" s="1"/>
  <c r="I559" i="5" s="1"/>
  <c r="I560" i="5" s="1"/>
  <c r="I561" i="5" s="1"/>
  <c r="I562" i="5" s="1"/>
  <c r="I563" i="5" s="1"/>
  <c r="I564" i="5" s="1"/>
  <c r="I565" i="5" s="1"/>
  <c r="I566" i="5" s="1"/>
  <c r="I567" i="5" s="1"/>
  <c r="I568" i="5" s="1"/>
  <c r="I569" i="5" s="1"/>
  <c r="I570" i="5" s="1"/>
  <c r="I571" i="5" s="1"/>
  <c r="I572" i="5" s="1"/>
  <c r="I538" i="5"/>
  <c r="I539" i="5" s="1"/>
  <c r="I540" i="5" s="1"/>
  <c r="I541" i="5" s="1"/>
  <c r="I542" i="5" s="1"/>
  <c r="I543" i="5" s="1"/>
  <c r="I544" i="5" s="1"/>
  <c r="I545" i="5" s="1"/>
  <c r="I546" i="5" s="1"/>
  <c r="I547" i="5" s="1"/>
  <c r="I548" i="5" s="1"/>
  <c r="I549" i="5" s="1"/>
  <c r="I550" i="5" s="1"/>
  <c r="I551" i="5" s="1"/>
  <c r="I552" i="5" s="1"/>
  <c r="I553" i="5" s="1"/>
  <c r="I554" i="5" s="1"/>
  <c r="I555" i="5" s="1"/>
  <c r="I516" i="5"/>
  <c r="I517" i="5" s="1"/>
  <c r="I518" i="5" s="1"/>
  <c r="I519" i="5" s="1"/>
  <c r="I520" i="5" s="1"/>
  <c r="I521" i="5" s="1"/>
  <c r="I522" i="5" s="1"/>
  <c r="I523" i="5" s="1"/>
  <c r="I524" i="5" s="1"/>
  <c r="I525" i="5" s="1"/>
  <c r="I526" i="5" s="1"/>
  <c r="I527" i="5" s="1"/>
  <c r="I528" i="5" s="1"/>
  <c r="I529" i="5" s="1"/>
  <c r="I530" i="5" s="1"/>
  <c r="I531" i="5" s="1"/>
  <c r="I532" i="5" s="1"/>
  <c r="I533" i="5" s="1"/>
  <c r="I534" i="5" s="1"/>
  <c r="I535" i="5" s="1"/>
  <c r="I536" i="5" s="1"/>
  <c r="I537" i="5" s="1"/>
  <c r="I497" i="5"/>
  <c r="I498" i="5" s="1"/>
  <c r="I499" i="5" s="1"/>
  <c r="I500" i="5" s="1"/>
  <c r="I501" i="5" s="1"/>
  <c r="I502" i="5" s="1"/>
  <c r="I503" i="5" s="1"/>
  <c r="I504" i="5" s="1"/>
  <c r="I505" i="5" s="1"/>
  <c r="I506" i="5" s="1"/>
  <c r="I507" i="5" s="1"/>
  <c r="I508" i="5" s="1"/>
  <c r="I509" i="5" s="1"/>
  <c r="I510" i="5" s="1"/>
  <c r="I511" i="5" s="1"/>
  <c r="I512" i="5" s="1"/>
  <c r="I513" i="5" s="1"/>
  <c r="I514" i="5" s="1"/>
  <c r="I515" i="5" s="1"/>
  <c r="I482" i="5"/>
  <c r="I483" i="5" s="1"/>
  <c r="I484" i="5" s="1"/>
  <c r="I485" i="5" s="1"/>
  <c r="I486" i="5" s="1"/>
  <c r="I487" i="5" s="1"/>
  <c r="I488" i="5" s="1"/>
  <c r="I489" i="5" s="1"/>
  <c r="I490" i="5" s="1"/>
  <c r="I491" i="5" s="1"/>
  <c r="I492" i="5" s="1"/>
  <c r="I493" i="5" s="1"/>
  <c r="I494" i="5" s="1"/>
  <c r="I495" i="5" s="1"/>
  <c r="I496" i="5" s="1"/>
  <c r="I459" i="5"/>
  <c r="I460" i="5" s="1"/>
  <c r="I461" i="5" s="1"/>
  <c r="I462" i="5" s="1"/>
  <c r="I463" i="5" s="1"/>
  <c r="I464" i="5" s="1"/>
  <c r="I465" i="5" s="1"/>
  <c r="I466" i="5" s="1"/>
  <c r="I467" i="5" s="1"/>
  <c r="I468" i="5" s="1"/>
  <c r="I469" i="5" s="1"/>
  <c r="I470" i="5" s="1"/>
  <c r="I471" i="5" s="1"/>
  <c r="I472" i="5" s="1"/>
  <c r="I473" i="5" s="1"/>
  <c r="I474" i="5" s="1"/>
  <c r="I475" i="5" s="1"/>
  <c r="I476" i="5" s="1"/>
  <c r="I477" i="5" s="1"/>
  <c r="I478" i="5" s="1"/>
  <c r="I479" i="5" s="1"/>
  <c r="I480" i="5" s="1"/>
  <c r="I481" i="5" s="1"/>
  <c r="I438" i="5"/>
  <c r="I439" i="5" s="1"/>
  <c r="I440" i="5" s="1"/>
  <c r="I441" i="5" s="1"/>
  <c r="I442" i="5" s="1"/>
  <c r="I443" i="5" s="1"/>
  <c r="I444" i="5" s="1"/>
  <c r="I445" i="5" s="1"/>
  <c r="I446" i="5" s="1"/>
  <c r="I447" i="5" s="1"/>
  <c r="I448" i="5" s="1"/>
  <c r="I449" i="5" s="1"/>
  <c r="I450" i="5" s="1"/>
  <c r="I451" i="5" s="1"/>
  <c r="I452" i="5" s="1"/>
  <c r="I453" i="5" s="1"/>
  <c r="I454" i="5" s="1"/>
  <c r="I455" i="5" s="1"/>
  <c r="I456" i="5" s="1"/>
  <c r="I457" i="5" s="1"/>
  <c r="I458" i="5" s="1"/>
  <c r="I403" i="5"/>
  <c r="I404" i="5" s="1"/>
  <c r="I405" i="5" s="1"/>
  <c r="I406" i="5" s="1"/>
  <c r="I407" i="5" s="1"/>
  <c r="I408" i="5" s="1"/>
  <c r="I409" i="5" s="1"/>
  <c r="I410" i="5" s="1"/>
  <c r="I411" i="5" s="1"/>
  <c r="I412" i="5" s="1"/>
  <c r="I413" i="5" s="1"/>
  <c r="I414" i="5" s="1"/>
  <c r="I415" i="5" s="1"/>
  <c r="I416" i="5" s="1"/>
  <c r="I417" i="5" s="1"/>
  <c r="I418" i="5" s="1"/>
  <c r="I419" i="5" s="1"/>
  <c r="I420" i="5" s="1"/>
  <c r="I421" i="5" s="1"/>
  <c r="I422" i="5" s="1"/>
  <c r="I423" i="5" s="1"/>
  <c r="I424" i="5" s="1"/>
  <c r="I425" i="5" s="1"/>
  <c r="I426" i="5" s="1"/>
  <c r="I427" i="5" s="1"/>
  <c r="I428" i="5" s="1"/>
  <c r="I429" i="5" s="1"/>
  <c r="I430" i="5" s="1"/>
  <c r="I431" i="5" s="1"/>
  <c r="I432" i="5" s="1"/>
  <c r="I433" i="5" s="1"/>
  <c r="I434" i="5" s="1"/>
  <c r="I435" i="5" s="1"/>
  <c r="I436" i="5" s="1"/>
  <c r="I437" i="5" s="1"/>
  <c r="I380" i="5"/>
  <c r="I381" i="5" s="1"/>
  <c r="I382" i="5" s="1"/>
  <c r="I383" i="5" s="1"/>
  <c r="I384" i="5" s="1"/>
  <c r="I385" i="5" s="1"/>
  <c r="I386" i="5" s="1"/>
  <c r="I387" i="5" s="1"/>
  <c r="I388" i="5" s="1"/>
  <c r="I389" i="5" s="1"/>
  <c r="I390" i="5" s="1"/>
  <c r="I391" i="5" s="1"/>
  <c r="I392" i="5" s="1"/>
  <c r="I393" i="5" s="1"/>
  <c r="I394" i="5" s="1"/>
  <c r="I395" i="5" s="1"/>
  <c r="I396" i="5" s="1"/>
  <c r="I397" i="5" s="1"/>
  <c r="I398" i="5" s="1"/>
  <c r="I399" i="5" s="1"/>
  <c r="I400" i="5" s="1"/>
  <c r="I401" i="5" s="1"/>
  <c r="I402" i="5" s="1"/>
  <c r="I365" i="5"/>
  <c r="I366" i="5" s="1"/>
  <c r="I367" i="5" s="1"/>
  <c r="I368" i="5" s="1"/>
  <c r="I369" i="5" s="1"/>
  <c r="I370" i="5" s="1"/>
  <c r="I371" i="5" s="1"/>
  <c r="I372" i="5" s="1"/>
  <c r="I373" i="5" s="1"/>
  <c r="I374" i="5" s="1"/>
  <c r="I375" i="5" s="1"/>
  <c r="I376" i="5" s="1"/>
  <c r="I377" i="5" s="1"/>
  <c r="I378" i="5" s="1"/>
  <c r="I379" i="5" s="1"/>
  <c r="I350" i="5"/>
  <c r="I351" i="5" s="1"/>
  <c r="I352" i="5" s="1"/>
  <c r="I353" i="5" s="1"/>
  <c r="I354" i="5" s="1"/>
  <c r="I355" i="5" s="1"/>
  <c r="I356" i="5" s="1"/>
  <c r="I357" i="5" s="1"/>
  <c r="I358" i="5" s="1"/>
  <c r="I359" i="5" s="1"/>
  <c r="I360" i="5" s="1"/>
  <c r="I361" i="5" s="1"/>
  <c r="I362" i="5" s="1"/>
  <c r="I363" i="5" s="1"/>
  <c r="I364" i="5" s="1"/>
  <c r="I323" i="5"/>
  <c r="I324" i="5" s="1"/>
  <c r="I325" i="5" s="1"/>
  <c r="I326" i="5" s="1"/>
  <c r="I327" i="5" s="1"/>
  <c r="I328" i="5" s="1"/>
  <c r="I329" i="5" s="1"/>
  <c r="I330" i="5" s="1"/>
  <c r="I331" i="5" s="1"/>
  <c r="I332" i="5" s="1"/>
  <c r="I333" i="5" s="1"/>
  <c r="I334" i="5" s="1"/>
  <c r="I335" i="5" s="1"/>
  <c r="I336" i="5" s="1"/>
  <c r="I337" i="5" s="1"/>
  <c r="I338" i="5" s="1"/>
  <c r="I339" i="5" s="1"/>
  <c r="I340" i="5" s="1"/>
  <c r="I341" i="5" s="1"/>
  <c r="I342" i="5" s="1"/>
  <c r="I343" i="5" s="1"/>
  <c r="I344" i="5" s="1"/>
  <c r="I345" i="5" s="1"/>
  <c r="I346" i="5" s="1"/>
  <c r="I347" i="5" s="1"/>
  <c r="I348" i="5" s="1"/>
  <c r="I349" i="5" s="1"/>
  <c r="I308" i="5"/>
  <c r="I309" i="5" s="1"/>
  <c r="I310" i="5" s="1"/>
  <c r="I311" i="5" s="1"/>
  <c r="I312" i="5" s="1"/>
  <c r="I313" i="5" s="1"/>
  <c r="I314" i="5" s="1"/>
  <c r="I315" i="5" s="1"/>
  <c r="I316" i="5" s="1"/>
  <c r="I317" i="5" s="1"/>
  <c r="I318" i="5" s="1"/>
  <c r="I319" i="5" s="1"/>
  <c r="I320" i="5" s="1"/>
  <c r="I321" i="5" s="1"/>
  <c r="I322" i="5" s="1"/>
  <c r="I284" i="5"/>
  <c r="I285" i="5" s="1"/>
  <c r="I286" i="5" s="1"/>
  <c r="I287" i="5" s="1"/>
  <c r="I288" i="5" s="1"/>
  <c r="I289" i="5" s="1"/>
  <c r="I290" i="5" s="1"/>
  <c r="I291" i="5" s="1"/>
  <c r="I292" i="5" s="1"/>
  <c r="I293" i="5" s="1"/>
  <c r="I294" i="5" s="1"/>
  <c r="I295" i="5" s="1"/>
  <c r="I296" i="5" s="1"/>
  <c r="I297" i="5" s="1"/>
  <c r="I298" i="5" s="1"/>
  <c r="I299" i="5" s="1"/>
  <c r="I300" i="5" s="1"/>
  <c r="I301" i="5" s="1"/>
  <c r="I302" i="5" s="1"/>
  <c r="I303" i="5" s="1"/>
  <c r="I304" i="5" s="1"/>
  <c r="I305" i="5" s="1"/>
  <c r="I306" i="5" s="1"/>
  <c r="I307" i="5" s="1"/>
  <c r="I273" i="5"/>
  <c r="I274" i="5" s="1"/>
  <c r="I275" i="5" s="1"/>
  <c r="I276" i="5" s="1"/>
  <c r="I277" i="5" s="1"/>
  <c r="I278" i="5" s="1"/>
  <c r="I279" i="5" s="1"/>
  <c r="I280" i="5" s="1"/>
  <c r="I281" i="5" s="1"/>
  <c r="I282" i="5" s="1"/>
  <c r="I283" i="5" s="1"/>
  <c r="I238" i="5"/>
  <c r="I239" i="5" s="1"/>
  <c r="I240" i="5" s="1"/>
  <c r="I241" i="5" s="1"/>
  <c r="I242" i="5" s="1"/>
  <c r="I243" i="5" s="1"/>
  <c r="I244" i="5" s="1"/>
  <c r="I245" i="5" s="1"/>
  <c r="I246" i="5" s="1"/>
  <c r="I247" i="5" s="1"/>
  <c r="I248" i="5" s="1"/>
  <c r="I249" i="5" s="1"/>
  <c r="I250" i="5" s="1"/>
  <c r="I251" i="5" s="1"/>
  <c r="I252" i="5" s="1"/>
  <c r="I253" i="5" s="1"/>
  <c r="I254" i="5" s="1"/>
  <c r="I255" i="5" s="1"/>
  <c r="I256" i="5" s="1"/>
  <c r="I257" i="5" s="1"/>
  <c r="I258" i="5" s="1"/>
  <c r="I259" i="5" s="1"/>
  <c r="I260" i="5" s="1"/>
  <c r="I261" i="5" s="1"/>
  <c r="I262" i="5" s="1"/>
  <c r="I263" i="5" s="1"/>
  <c r="I264" i="5" s="1"/>
  <c r="I265" i="5" s="1"/>
  <c r="I266" i="5" s="1"/>
  <c r="I267" i="5" s="1"/>
  <c r="I268" i="5" s="1"/>
  <c r="I269" i="5" s="1"/>
  <c r="I270" i="5" s="1"/>
  <c r="I271" i="5" s="1"/>
  <c r="I272" i="5" s="1"/>
  <c r="I227" i="5"/>
  <c r="I228" i="5" s="1"/>
  <c r="I229" i="5" s="1"/>
  <c r="I230" i="5" s="1"/>
  <c r="I231" i="5" s="1"/>
  <c r="I232" i="5" s="1"/>
  <c r="I233" i="5" s="1"/>
  <c r="I234" i="5" s="1"/>
  <c r="I235" i="5" s="1"/>
  <c r="I236" i="5" s="1"/>
  <c r="I237" i="5" s="1"/>
  <c r="I208" i="5"/>
  <c r="I209" i="5" s="1"/>
  <c r="I210" i="5" s="1"/>
  <c r="I211" i="5" s="1"/>
  <c r="I212" i="5" s="1"/>
  <c r="I213" i="5" s="1"/>
  <c r="I214" i="5" s="1"/>
  <c r="I215" i="5" s="1"/>
  <c r="I216" i="5" s="1"/>
  <c r="I217" i="5" s="1"/>
  <c r="I218" i="5" s="1"/>
  <c r="I219" i="5" s="1"/>
  <c r="I220" i="5" s="1"/>
  <c r="I221" i="5" s="1"/>
  <c r="I222" i="5" s="1"/>
  <c r="I223" i="5" s="1"/>
  <c r="I224" i="5" s="1"/>
  <c r="I225" i="5" s="1"/>
  <c r="I226" i="5" s="1"/>
  <c r="I185" i="5"/>
  <c r="I186" i="5" s="1"/>
  <c r="I187" i="5" s="1"/>
  <c r="I188" i="5" s="1"/>
  <c r="I189" i="5" s="1"/>
  <c r="I190" i="5" s="1"/>
  <c r="I191" i="5" s="1"/>
  <c r="I192" i="5" s="1"/>
  <c r="I193" i="5" s="1"/>
  <c r="I194" i="5" s="1"/>
  <c r="I195" i="5" s="1"/>
  <c r="I196" i="5" s="1"/>
  <c r="I197" i="5" s="1"/>
  <c r="I198" i="5" s="1"/>
  <c r="I199" i="5" s="1"/>
  <c r="I200" i="5" s="1"/>
  <c r="I201" i="5" s="1"/>
  <c r="I202" i="5" s="1"/>
  <c r="I203" i="5" s="1"/>
  <c r="I204" i="5" s="1"/>
  <c r="I205" i="5" s="1"/>
  <c r="I206" i="5" s="1"/>
  <c r="I207" i="5" s="1"/>
  <c r="I108" i="5"/>
  <c r="I109" i="5" s="1"/>
  <c r="I110" i="5" s="1"/>
  <c r="I111" i="5" s="1"/>
  <c r="I112" i="5" s="1"/>
  <c r="I113" i="5" s="1"/>
  <c r="I114" i="5" s="1"/>
  <c r="I115" i="5" s="1"/>
  <c r="I116" i="5" s="1"/>
  <c r="I117" i="5" s="1"/>
  <c r="I118" i="5" s="1"/>
  <c r="I119" i="5" s="1"/>
  <c r="I120" i="5" s="1"/>
  <c r="I121" i="5" s="1"/>
  <c r="I122" i="5" s="1"/>
  <c r="I123" i="5" s="1"/>
  <c r="I124" i="5" s="1"/>
  <c r="I125" i="5" s="1"/>
  <c r="I126" i="5" s="1"/>
  <c r="I127" i="5" s="1"/>
  <c r="I128" i="5" s="1"/>
  <c r="I129" i="5" s="1"/>
  <c r="I130" i="5" s="1"/>
  <c r="I131" i="5" s="1"/>
  <c r="I132" i="5" s="1"/>
  <c r="I133" i="5" s="1"/>
  <c r="I134" i="5" s="1"/>
  <c r="I135" i="5" s="1"/>
  <c r="I136" i="5" s="1"/>
  <c r="I137" i="5" s="1"/>
  <c r="I138" i="5" s="1"/>
  <c r="I139" i="5" s="1"/>
  <c r="I140" i="5" s="1"/>
  <c r="I141" i="5" s="1"/>
  <c r="I142" i="5" s="1"/>
  <c r="I143" i="5" s="1"/>
  <c r="I144" i="5" s="1"/>
  <c r="I145" i="5" s="1"/>
  <c r="I146" i="5" s="1"/>
  <c r="I147" i="5" s="1"/>
  <c r="I148" i="5" s="1"/>
  <c r="I149" i="5" s="1"/>
  <c r="I150" i="5" s="1"/>
  <c r="I151" i="5" s="1"/>
  <c r="I152" i="5" s="1"/>
  <c r="I153" i="5" s="1"/>
  <c r="I154" i="5" s="1"/>
  <c r="I155" i="5" s="1"/>
  <c r="I156" i="5" s="1"/>
  <c r="I157" i="5" s="1"/>
  <c r="I158" i="5" s="1"/>
  <c r="I159" i="5" s="1"/>
  <c r="I160" i="5" s="1"/>
  <c r="I161" i="5" s="1"/>
  <c r="I162" i="5" s="1"/>
  <c r="I163" i="5" s="1"/>
  <c r="I164" i="5" s="1"/>
  <c r="I165" i="5" s="1"/>
  <c r="I166" i="5" s="1"/>
  <c r="I167" i="5" s="1"/>
  <c r="I168" i="5" s="1"/>
  <c r="I169" i="5" s="1"/>
  <c r="I170" i="5" s="1"/>
  <c r="I171" i="5" s="1"/>
  <c r="I172" i="5" s="1"/>
  <c r="I173" i="5" s="1"/>
  <c r="I174" i="5" s="1"/>
  <c r="I175" i="5" s="1"/>
  <c r="I176" i="5" s="1"/>
  <c r="I177" i="5" s="1"/>
  <c r="I178" i="5" s="1"/>
  <c r="I179" i="5" s="1"/>
  <c r="I180" i="5" s="1"/>
  <c r="I181" i="5" s="1"/>
  <c r="I182" i="5" s="1"/>
  <c r="I183" i="5" s="1"/>
  <c r="I184" i="5" s="1"/>
  <c r="I85" i="5"/>
  <c r="I86" i="5" s="1"/>
  <c r="I87" i="5" s="1"/>
  <c r="I88" i="5" s="1"/>
  <c r="I89" i="5" s="1"/>
  <c r="I90" i="5" s="1"/>
  <c r="I91" i="5" s="1"/>
  <c r="I92" i="5" s="1"/>
  <c r="I93" i="5" s="1"/>
  <c r="I94" i="5" s="1"/>
  <c r="I95" i="5" s="1"/>
  <c r="I96" i="5" s="1"/>
  <c r="I97" i="5" s="1"/>
  <c r="I98" i="5" s="1"/>
  <c r="I99" i="5" s="1"/>
  <c r="I100" i="5" s="1"/>
  <c r="I101" i="5" s="1"/>
  <c r="I102" i="5" s="1"/>
  <c r="I103" i="5" s="1"/>
  <c r="I104" i="5" s="1"/>
  <c r="I105" i="5" s="1"/>
  <c r="I106" i="5" s="1"/>
  <c r="I107" i="5" s="1"/>
  <c r="I58" i="5"/>
  <c r="I59" i="5" s="1"/>
  <c r="I60" i="5" s="1"/>
  <c r="I61" i="5" s="1"/>
  <c r="I62" i="5" s="1"/>
  <c r="I63" i="5" s="1"/>
  <c r="I64" i="5" s="1"/>
  <c r="I65" i="5" s="1"/>
  <c r="I66" i="5" s="1"/>
  <c r="I67" i="5" s="1"/>
  <c r="I68" i="5" s="1"/>
  <c r="I69" i="5" s="1"/>
  <c r="I70" i="5" s="1"/>
  <c r="I71" i="5" s="1"/>
  <c r="I72" i="5" s="1"/>
  <c r="I73" i="5" s="1"/>
  <c r="I74" i="5" s="1"/>
  <c r="I75" i="5" s="1"/>
  <c r="I76" i="5" s="1"/>
  <c r="I77" i="5" s="1"/>
  <c r="I78" i="5" s="1"/>
  <c r="I79" i="5" s="1"/>
  <c r="I80" i="5" s="1"/>
  <c r="I81" i="5" s="1"/>
  <c r="I82" i="5" s="1"/>
  <c r="I83" i="5" s="1"/>
  <c r="I84" i="5" s="1"/>
  <c r="I39" i="5"/>
  <c r="I40" i="5" s="1"/>
  <c r="I41" i="5" s="1"/>
  <c r="I42" i="5" s="1"/>
  <c r="I43" i="5" s="1"/>
  <c r="I44" i="5" s="1"/>
  <c r="I45" i="5" s="1"/>
  <c r="I46" i="5" s="1"/>
  <c r="I47" i="5" s="1"/>
  <c r="I48" i="5" s="1"/>
  <c r="I49" i="5" s="1"/>
  <c r="I50" i="5" s="1"/>
  <c r="I51" i="5" s="1"/>
  <c r="I52" i="5" s="1"/>
  <c r="I53" i="5" s="1"/>
  <c r="I54" i="5" s="1"/>
  <c r="I55" i="5" s="1"/>
  <c r="I56" i="5" s="1"/>
  <c r="I57" i="5" s="1"/>
  <c r="I21" i="5"/>
  <c r="I22" i="5" s="1"/>
  <c r="I23" i="5" s="1"/>
  <c r="I24" i="5" s="1"/>
  <c r="I25" i="5" s="1"/>
  <c r="I26" i="5" s="1"/>
  <c r="I27" i="5" s="1"/>
  <c r="I28" i="5" s="1"/>
  <c r="I29" i="5" s="1"/>
  <c r="I30" i="5" s="1"/>
  <c r="I31" i="5" s="1"/>
  <c r="I32" i="5" s="1"/>
  <c r="I33" i="5" s="1"/>
  <c r="I34" i="5" s="1"/>
  <c r="I35" i="5" s="1"/>
  <c r="I36" i="5" s="1"/>
  <c r="I37" i="5" s="1"/>
  <c r="I38" i="5" s="1"/>
  <c r="I7" i="5"/>
  <c r="I8" i="5" s="1"/>
  <c r="I6" i="5"/>
  <c r="I5" i="5"/>
  <c r="AN77" i="4"/>
  <c r="AO77" i="4" s="1"/>
  <c r="S77" i="4"/>
  <c r="X77" i="4" s="1"/>
  <c r="R77" i="4"/>
  <c r="V77" i="4" s="1"/>
  <c r="Q77" i="4"/>
  <c r="U77" i="4" s="1"/>
  <c r="O77" i="4"/>
  <c r="W77" i="4" s="1"/>
  <c r="AM76" i="4"/>
  <c r="G76" i="4"/>
  <c r="F76" i="4"/>
  <c r="E76" i="4"/>
  <c r="D76" i="4"/>
  <c r="C76" i="4"/>
  <c r="B76" i="4"/>
  <c r="L76" i="4" s="1"/>
  <c r="A76" i="4"/>
  <c r="AM75" i="4"/>
  <c r="G75" i="4"/>
  <c r="F75" i="4"/>
  <c r="E75" i="4"/>
  <c r="D75" i="4"/>
  <c r="C75" i="4"/>
  <c r="B75" i="4"/>
  <c r="J75" i="4" s="1"/>
  <c r="A75" i="4"/>
  <c r="AM74" i="4"/>
  <c r="G74" i="4"/>
  <c r="F74" i="4"/>
  <c r="E74" i="4"/>
  <c r="D74" i="4"/>
  <c r="C74" i="4"/>
  <c r="B74" i="4"/>
  <c r="J74" i="4" s="1"/>
  <c r="A74" i="4"/>
  <c r="AM73" i="4"/>
  <c r="G73" i="4"/>
  <c r="F73" i="4"/>
  <c r="E73" i="4"/>
  <c r="D73" i="4"/>
  <c r="C73" i="4"/>
  <c r="B73" i="4"/>
  <c r="M73" i="4" s="1"/>
  <c r="A73" i="4"/>
  <c r="AM72" i="4"/>
  <c r="G72" i="4"/>
  <c r="F72" i="4"/>
  <c r="E72" i="4"/>
  <c r="D72" i="4"/>
  <c r="C72" i="4"/>
  <c r="B72" i="4"/>
  <c r="P72" i="4" s="1"/>
  <c r="A72" i="4"/>
  <c r="AM71" i="4"/>
  <c r="AH71" i="4"/>
  <c r="J71" i="4"/>
  <c r="G71" i="4"/>
  <c r="F71" i="4"/>
  <c r="E71" i="4"/>
  <c r="D71" i="4"/>
  <c r="C71" i="4"/>
  <c r="B71" i="4"/>
  <c r="AI71" i="4" s="1"/>
  <c r="A71" i="4"/>
  <c r="AM70" i="4"/>
  <c r="G70" i="4"/>
  <c r="F70" i="4"/>
  <c r="E70" i="4"/>
  <c r="D70" i="4"/>
  <c r="C70" i="4"/>
  <c r="B70" i="4"/>
  <c r="P70" i="4" s="1"/>
  <c r="A70" i="4"/>
  <c r="AM69" i="4"/>
  <c r="G69" i="4"/>
  <c r="F69" i="4"/>
  <c r="E69" i="4"/>
  <c r="D69" i="4"/>
  <c r="C69" i="4"/>
  <c r="B69" i="4"/>
  <c r="K69" i="4" s="1"/>
  <c r="A69" i="4"/>
  <c r="AM68" i="4"/>
  <c r="G68" i="4"/>
  <c r="F68" i="4"/>
  <c r="E68" i="4"/>
  <c r="D68" i="4"/>
  <c r="C68" i="4"/>
  <c r="B68" i="4"/>
  <c r="P68" i="4" s="1"/>
  <c r="A68" i="4"/>
  <c r="AM67" i="4"/>
  <c r="G67" i="4"/>
  <c r="F67" i="4"/>
  <c r="E67" i="4"/>
  <c r="D67" i="4"/>
  <c r="C67" i="4"/>
  <c r="B67" i="4"/>
  <c r="N67" i="4" s="1"/>
  <c r="O67" i="4" s="1"/>
  <c r="W67" i="4" s="1"/>
  <c r="A67" i="4"/>
  <c r="AM66" i="4"/>
  <c r="G66" i="4"/>
  <c r="F66" i="4"/>
  <c r="E66" i="4"/>
  <c r="D66" i="4"/>
  <c r="C66" i="4"/>
  <c r="B66" i="4"/>
  <c r="K66" i="4" s="1"/>
  <c r="A66" i="4"/>
  <c r="AM65" i="4"/>
  <c r="G65" i="4"/>
  <c r="F65" i="4"/>
  <c r="E65" i="4"/>
  <c r="D65" i="4"/>
  <c r="C65" i="4"/>
  <c r="B65" i="4"/>
  <c r="J65" i="4" s="1"/>
  <c r="A65" i="4"/>
  <c r="AM64" i="4"/>
  <c r="G64" i="4"/>
  <c r="F64" i="4"/>
  <c r="E64" i="4"/>
  <c r="D64" i="4"/>
  <c r="C64" i="4"/>
  <c r="B64" i="4"/>
  <c r="N64" i="4" s="1"/>
  <c r="O64" i="4" s="1"/>
  <c r="W64" i="4" s="1"/>
  <c r="A64" i="4"/>
  <c r="AM63" i="4"/>
  <c r="G63" i="4"/>
  <c r="F63" i="4"/>
  <c r="E63" i="4"/>
  <c r="D63" i="4"/>
  <c r="C63" i="4"/>
  <c r="B63" i="4"/>
  <c r="AN63" i="4" s="1"/>
  <c r="AO63" i="4" s="1"/>
  <c r="Y63" i="4" s="1"/>
  <c r="A63" i="4"/>
  <c r="AM62" i="4"/>
  <c r="J62" i="4"/>
  <c r="G62" i="4"/>
  <c r="F62" i="4"/>
  <c r="E62" i="4"/>
  <c r="D62" i="4"/>
  <c r="C62" i="4"/>
  <c r="B62" i="4"/>
  <c r="N62" i="4" s="1"/>
  <c r="O62" i="4" s="1"/>
  <c r="W62" i="4" s="1"/>
  <c r="A62" i="4"/>
  <c r="AM61" i="4"/>
  <c r="G61" i="4"/>
  <c r="F61" i="4"/>
  <c r="E61" i="4"/>
  <c r="D61" i="4"/>
  <c r="C61" i="4"/>
  <c r="B61" i="4"/>
  <c r="K61" i="4" s="1"/>
  <c r="A61" i="4"/>
  <c r="AM60" i="4"/>
  <c r="G60" i="4"/>
  <c r="F60" i="4"/>
  <c r="E60" i="4"/>
  <c r="D60" i="4"/>
  <c r="C60" i="4"/>
  <c r="B60" i="4"/>
  <c r="J60" i="4" s="1"/>
  <c r="A60" i="4"/>
  <c r="AM59" i="4"/>
  <c r="M59" i="4"/>
  <c r="G59" i="4"/>
  <c r="F59" i="4"/>
  <c r="E59" i="4"/>
  <c r="D59" i="4"/>
  <c r="C59" i="4"/>
  <c r="B59" i="4"/>
  <c r="K59" i="4" s="1"/>
  <c r="A59" i="4"/>
  <c r="AM58" i="4"/>
  <c r="G58" i="4"/>
  <c r="F58" i="4"/>
  <c r="E58" i="4"/>
  <c r="D58" i="4"/>
  <c r="C58" i="4"/>
  <c r="B58" i="4"/>
  <c r="K58" i="4" s="1"/>
  <c r="A58" i="4"/>
  <c r="AM57" i="4"/>
  <c r="G57" i="4"/>
  <c r="F57" i="4"/>
  <c r="E57" i="4"/>
  <c r="D57" i="4"/>
  <c r="C57" i="4"/>
  <c r="B57" i="4"/>
  <c r="K57" i="4" s="1"/>
  <c r="A57" i="4"/>
  <c r="AM56" i="4"/>
  <c r="G56" i="4"/>
  <c r="F56" i="4"/>
  <c r="E56" i="4"/>
  <c r="D56" i="4"/>
  <c r="C56" i="4"/>
  <c r="B56" i="4"/>
  <c r="J56" i="4" s="1"/>
  <c r="A56" i="4"/>
  <c r="AM55" i="4"/>
  <c r="G55" i="4"/>
  <c r="F55" i="4"/>
  <c r="E55" i="4"/>
  <c r="D55" i="4"/>
  <c r="C55" i="4"/>
  <c r="B55" i="4"/>
  <c r="N55" i="4" s="1"/>
  <c r="O55" i="4" s="1"/>
  <c r="W55" i="4" s="1"/>
  <c r="A55" i="4"/>
  <c r="AM54" i="4"/>
  <c r="G54" i="4"/>
  <c r="F54" i="4"/>
  <c r="E54" i="4"/>
  <c r="D54" i="4"/>
  <c r="C54" i="4"/>
  <c r="B54" i="4"/>
  <c r="N54" i="4" s="1"/>
  <c r="O54" i="4" s="1"/>
  <c r="W54" i="4" s="1"/>
  <c r="A54" i="4"/>
  <c r="AM53" i="4"/>
  <c r="M53" i="4"/>
  <c r="G53" i="4"/>
  <c r="F53" i="4"/>
  <c r="E53" i="4"/>
  <c r="D53" i="4"/>
  <c r="C53" i="4"/>
  <c r="B53" i="4"/>
  <c r="K53" i="4" s="1"/>
  <c r="A53" i="4"/>
  <c r="AM52" i="4"/>
  <c r="G52" i="4"/>
  <c r="F52" i="4"/>
  <c r="E52" i="4"/>
  <c r="D52" i="4"/>
  <c r="C52" i="4"/>
  <c r="B52" i="4"/>
  <c r="AH52" i="4" s="1"/>
  <c r="A52" i="4"/>
  <c r="AM51" i="4"/>
  <c r="N51" i="4"/>
  <c r="O51" i="4" s="1"/>
  <c r="W51" i="4" s="1"/>
  <c r="G51" i="4"/>
  <c r="F51" i="4"/>
  <c r="E51" i="4"/>
  <c r="D51" i="4"/>
  <c r="C51" i="4"/>
  <c r="B51" i="4"/>
  <c r="AI51" i="4" s="1"/>
  <c r="A51" i="4"/>
  <c r="AM50" i="4"/>
  <c r="G50" i="4"/>
  <c r="F50" i="4"/>
  <c r="E50" i="4"/>
  <c r="D50" i="4"/>
  <c r="C50" i="4"/>
  <c r="B50" i="4"/>
  <c r="L50" i="4" s="1"/>
  <c r="A50" i="4"/>
  <c r="AM49" i="4"/>
  <c r="G49" i="4"/>
  <c r="F49" i="4"/>
  <c r="E49" i="4"/>
  <c r="D49" i="4"/>
  <c r="C49" i="4"/>
  <c r="B49" i="4"/>
  <c r="J49" i="4" s="1"/>
  <c r="A49" i="4"/>
  <c r="AM48" i="4"/>
  <c r="G48" i="4"/>
  <c r="F48" i="4"/>
  <c r="E48" i="4"/>
  <c r="D48" i="4"/>
  <c r="C48" i="4"/>
  <c r="B48" i="4"/>
  <c r="AN48" i="4" s="1"/>
  <c r="AO48" i="4" s="1"/>
  <c r="Y48" i="4" s="1"/>
  <c r="A48" i="4"/>
  <c r="AN47" i="4"/>
  <c r="AO47" i="4" s="1"/>
  <c r="Y47" i="4" s="1"/>
  <c r="AM47" i="4"/>
  <c r="G47" i="4"/>
  <c r="F47" i="4"/>
  <c r="E47" i="4"/>
  <c r="D47" i="4"/>
  <c r="C47" i="4"/>
  <c r="B47" i="4"/>
  <c r="L47" i="4" s="1"/>
  <c r="A47" i="4"/>
  <c r="AM46" i="4"/>
  <c r="G46" i="4"/>
  <c r="F46" i="4"/>
  <c r="E46" i="4"/>
  <c r="D46" i="4"/>
  <c r="C46" i="4"/>
  <c r="B46" i="4"/>
  <c r="J46" i="4" s="1"/>
  <c r="A46" i="4"/>
  <c r="AM45" i="4"/>
  <c r="G45" i="4"/>
  <c r="F45" i="4"/>
  <c r="E45" i="4"/>
  <c r="D45" i="4"/>
  <c r="C45" i="4"/>
  <c r="B45" i="4"/>
  <c r="AH45" i="4" s="1"/>
  <c r="A45" i="4"/>
  <c r="AM44" i="4"/>
  <c r="L44" i="4"/>
  <c r="G44" i="4"/>
  <c r="F44" i="4"/>
  <c r="E44" i="4"/>
  <c r="D44" i="4"/>
  <c r="C44" i="4"/>
  <c r="B44" i="4"/>
  <c r="J44" i="4" s="1"/>
  <c r="A44" i="4"/>
  <c r="AM43" i="4"/>
  <c r="G43" i="4"/>
  <c r="F43" i="4"/>
  <c r="E43" i="4"/>
  <c r="D43" i="4"/>
  <c r="C43" i="4"/>
  <c r="B43" i="4"/>
  <c r="L43" i="4" s="1"/>
  <c r="A43" i="4"/>
  <c r="AM42" i="4"/>
  <c r="G42" i="4"/>
  <c r="F42" i="4"/>
  <c r="E42" i="4"/>
  <c r="D42" i="4"/>
  <c r="C42" i="4"/>
  <c r="B42" i="4"/>
  <c r="J42" i="4" s="1"/>
  <c r="A42" i="4"/>
  <c r="AM41" i="4"/>
  <c r="M41" i="4"/>
  <c r="G41" i="4"/>
  <c r="F41" i="4"/>
  <c r="E41" i="4"/>
  <c r="D41" i="4"/>
  <c r="C41" i="4"/>
  <c r="B41" i="4"/>
  <c r="AH41" i="4" s="1"/>
  <c r="A41" i="4"/>
  <c r="AM40" i="4"/>
  <c r="G40" i="4"/>
  <c r="F40" i="4"/>
  <c r="E40" i="4"/>
  <c r="D40" i="4"/>
  <c r="C40" i="4"/>
  <c r="B40" i="4"/>
  <c r="J40" i="4" s="1"/>
  <c r="A40" i="4"/>
  <c r="AM39" i="4"/>
  <c r="G39" i="4"/>
  <c r="F39" i="4"/>
  <c r="E39" i="4"/>
  <c r="D39" i="4"/>
  <c r="C39" i="4"/>
  <c r="B39" i="4"/>
  <c r="L39" i="4" s="1"/>
  <c r="A39" i="4"/>
  <c r="AN38" i="4"/>
  <c r="AO38" i="4" s="1"/>
  <c r="Y38" i="4" s="1"/>
  <c r="AM38" i="4"/>
  <c r="K38" i="4"/>
  <c r="G38" i="4"/>
  <c r="F38" i="4"/>
  <c r="E38" i="4"/>
  <c r="D38" i="4"/>
  <c r="C38" i="4"/>
  <c r="B38" i="4"/>
  <c r="J38" i="4" s="1"/>
  <c r="A38" i="4"/>
  <c r="AN37" i="4"/>
  <c r="AO37" i="4" s="1"/>
  <c r="Y37" i="4" s="1"/>
  <c r="AM37" i="4"/>
  <c r="G37" i="4"/>
  <c r="F37" i="4"/>
  <c r="E37" i="4"/>
  <c r="D37" i="4"/>
  <c r="C37" i="4"/>
  <c r="B37" i="4"/>
  <c r="AH37" i="4" s="1"/>
  <c r="A37" i="4"/>
  <c r="AM36" i="4"/>
  <c r="G36" i="4"/>
  <c r="F36" i="4"/>
  <c r="E36" i="4"/>
  <c r="D36" i="4"/>
  <c r="C36" i="4"/>
  <c r="B36" i="4"/>
  <c r="J36" i="4" s="1"/>
  <c r="A36" i="4"/>
  <c r="AM35" i="4"/>
  <c r="G35" i="4"/>
  <c r="F35" i="4"/>
  <c r="E35" i="4"/>
  <c r="D35" i="4"/>
  <c r="C35" i="4"/>
  <c r="B35" i="4"/>
  <c r="L35" i="4" s="1"/>
  <c r="A35" i="4"/>
  <c r="AM34" i="4"/>
  <c r="G34" i="4"/>
  <c r="F34" i="4"/>
  <c r="E34" i="4"/>
  <c r="D34" i="4"/>
  <c r="C34" i="4"/>
  <c r="B34" i="4"/>
  <c r="J34" i="4" s="1"/>
  <c r="A34" i="4"/>
  <c r="AM33" i="4"/>
  <c r="G33" i="4"/>
  <c r="F33" i="4"/>
  <c r="E33" i="4"/>
  <c r="D33" i="4"/>
  <c r="C33" i="4"/>
  <c r="B33" i="4"/>
  <c r="AH33" i="4" s="1"/>
  <c r="A33" i="4"/>
  <c r="AM32" i="4"/>
  <c r="G32" i="4"/>
  <c r="F32" i="4"/>
  <c r="E32" i="4"/>
  <c r="D32" i="4"/>
  <c r="C32" i="4"/>
  <c r="B32" i="4"/>
  <c r="J32" i="4" s="1"/>
  <c r="A32" i="4"/>
  <c r="AM31" i="4"/>
  <c r="G31" i="4"/>
  <c r="F31" i="4"/>
  <c r="E31" i="4"/>
  <c r="D31" i="4"/>
  <c r="C31" i="4"/>
  <c r="B31" i="4"/>
  <c r="L31" i="4" s="1"/>
  <c r="A31" i="4"/>
  <c r="AM30" i="4"/>
  <c r="L30" i="4"/>
  <c r="G30" i="4"/>
  <c r="F30" i="4"/>
  <c r="E30" i="4"/>
  <c r="D30" i="4"/>
  <c r="C30" i="4"/>
  <c r="B30" i="4"/>
  <c r="J30" i="4" s="1"/>
  <c r="A30" i="4"/>
  <c r="AM29" i="4"/>
  <c r="G29" i="4"/>
  <c r="F29" i="4"/>
  <c r="E29" i="4"/>
  <c r="D29" i="4"/>
  <c r="C29" i="4"/>
  <c r="B29" i="4"/>
  <c r="AH29" i="4" s="1"/>
  <c r="A29" i="4"/>
  <c r="AM28" i="4"/>
  <c r="G28" i="4"/>
  <c r="F28" i="4"/>
  <c r="E28" i="4"/>
  <c r="D28" i="4"/>
  <c r="C28" i="4"/>
  <c r="B28" i="4"/>
  <c r="J28" i="4" s="1"/>
  <c r="A28" i="4"/>
  <c r="AN27" i="4"/>
  <c r="AO27" i="4" s="1"/>
  <c r="Y27" i="4" s="1"/>
  <c r="AM27" i="4"/>
  <c r="G27" i="4"/>
  <c r="F27" i="4"/>
  <c r="E27" i="4"/>
  <c r="D27" i="4"/>
  <c r="C27" i="4"/>
  <c r="B27" i="4"/>
  <c r="L27" i="4" s="1"/>
  <c r="A27" i="4"/>
  <c r="AM26" i="4"/>
  <c r="AI26" i="4"/>
  <c r="P26" i="4"/>
  <c r="G26" i="4"/>
  <c r="F26" i="4"/>
  <c r="E26" i="4"/>
  <c r="D26" i="4"/>
  <c r="C26" i="4"/>
  <c r="B26" i="4"/>
  <c r="J26" i="4" s="1"/>
  <c r="A26" i="4"/>
  <c r="AM25" i="4"/>
  <c r="AI25" i="4"/>
  <c r="G25" i="4"/>
  <c r="F25" i="4"/>
  <c r="E25" i="4"/>
  <c r="D25" i="4"/>
  <c r="C25" i="4"/>
  <c r="B25" i="4"/>
  <c r="AH25" i="4" s="1"/>
  <c r="A25" i="4"/>
  <c r="AM24" i="4"/>
  <c r="G24" i="4"/>
  <c r="F24" i="4"/>
  <c r="E24" i="4"/>
  <c r="D24" i="4"/>
  <c r="C24" i="4"/>
  <c r="B24" i="4"/>
  <c r="J24" i="4" s="1"/>
  <c r="A24" i="4"/>
  <c r="AM23" i="4"/>
  <c r="G23" i="4"/>
  <c r="F23" i="4"/>
  <c r="E23" i="4"/>
  <c r="D23" i="4"/>
  <c r="C23" i="4"/>
  <c r="B23" i="4"/>
  <c r="L23" i="4" s="1"/>
  <c r="A23" i="4"/>
  <c r="AM22" i="4"/>
  <c r="G22" i="4"/>
  <c r="F22" i="4"/>
  <c r="E22" i="4"/>
  <c r="D22" i="4"/>
  <c r="C22" i="4"/>
  <c r="B22" i="4"/>
  <c r="J22" i="4" s="1"/>
  <c r="A22" i="4"/>
  <c r="AM21" i="4"/>
  <c r="G21" i="4"/>
  <c r="F21" i="4"/>
  <c r="E21" i="4"/>
  <c r="D21" i="4"/>
  <c r="C21" i="4"/>
  <c r="B21" i="4"/>
  <c r="AH21" i="4" s="1"/>
  <c r="A21" i="4"/>
  <c r="AM20" i="4"/>
  <c r="N20" i="4"/>
  <c r="O20" i="4" s="1"/>
  <c r="W20" i="4" s="1"/>
  <c r="G20" i="4"/>
  <c r="F20" i="4"/>
  <c r="E20" i="4"/>
  <c r="D20" i="4"/>
  <c r="C20" i="4"/>
  <c r="B20" i="4"/>
  <c r="J20" i="4" s="1"/>
  <c r="A20" i="4"/>
  <c r="AM19" i="4"/>
  <c r="G19" i="4"/>
  <c r="F19" i="4"/>
  <c r="E19" i="4"/>
  <c r="D19" i="4"/>
  <c r="C19" i="4"/>
  <c r="B19" i="4"/>
  <c r="L19" i="4" s="1"/>
  <c r="A19" i="4"/>
  <c r="AM18" i="4"/>
  <c r="G18" i="4"/>
  <c r="F18" i="4"/>
  <c r="E18" i="4"/>
  <c r="D18" i="4"/>
  <c r="C18" i="4"/>
  <c r="B18" i="4"/>
  <c r="J18" i="4" s="1"/>
  <c r="A18" i="4"/>
  <c r="AM17" i="4"/>
  <c r="M17" i="4"/>
  <c r="G17" i="4"/>
  <c r="F17" i="4"/>
  <c r="E17" i="4"/>
  <c r="D17" i="4"/>
  <c r="C17" i="4"/>
  <c r="B17" i="4"/>
  <c r="AH17" i="4" s="1"/>
  <c r="A17" i="4"/>
  <c r="AM16" i="4"/>
  <c r="N16" i="4"/>
  <c r="O16" i="4" s="1"/>
  <c r="W16" i="4" s="1"/>
  <c r="G16" i="4"/>
  <c r="F16" i="4"/>
  <c r="E16" i="4"/>
  <c r="D16" i="4"/>
  <c r="C16" i="4"/>
  <c r="B16" i="4"/>
  <c r="J16" i="4" s="1"/>
  <c r="A16" i="4"/>
  <c r="AM15" i="4"/>
  <c r="G15" i="4"/>
  <c r="F15" i="4"/>
  <c r="E15" i="4"/>
  <c r="D15" i="4"/>
  <c r="C15" i="4"/>
  <c r="B15" i="4"/>
  <c r="L15" i="4" s="1"/>
  <c r="A15" i="4"/>
  <c r="AM14" i="4"/>
  <c r="G14" i="4"/>
  <c r="F14" i="4"/>
  <c r="E14" i="4"/>
  <c r="D14" i="4"/>
  <c r="C14" i="4"/>
  <c r="B14" i="4"/>
  <c r="J14" i="4" s="1"/>
  <c r="A14" i="4"/>
  <c r="AM13" i="4"/>
  <c r="G13" i="4"/>
  <c r="F13" i="4"/>
  <c r="E13" i="4"/>
  <c r="D13" i="4"/>
  <c r="C13" i="4"/>
  <c r="B13" i="4"/>
  <c r="AH13" i="4" s="1"/>
  <c r="A13" i="4"/>
  <c r="AM12" i="4"/>
  <c r="N12" i="4"/>
  <c r="O12" i="4" s="1"/>
  <c r="W12" i="4" s="1"/>
  <c r="G12" i="4"/>
  <c r="F12" i="4"/>
  <c r="E12" i="4"/>
  <c r="D12" i="4"/>
  <c r="C12" i="4"/>
  <c r="B12" i="4"/>
  <c r="J12" i="4" s="1"/>
  <c r="A12" i="4"/>
  <c r="AM11" i="4"/>
  <c r="G11" i="4"/>
  <c r="F11" i="4"/>
  <c r="E11" i="4"/>
  <c r="D11" i="4"/>
  <c r="C11" i="4"/>
  <c r="B11" i="4"/>
  <c r="AI11" i="4" s="1"/>
  <c r="A11" i="4"/>
  <c r="AM10" i="4"/>
  <c r="G10" i="4"/>
  <c r="F10" i="4"/>
  <c r="E10" i="4"/>
  <c r="D10" i="4"/>
  <c r="C10" i="4"/>
  <c r="B10" i="4"/>
  <c r="M10" i="4" s="1"/>
  <c r="A10" i="4"/>
  <c r="AM9" i="4"/>
  <c r="G9" i="4"/>
  <c r="F9" i="4"/>
  <c r="E9" i="4"/>
  <c r="D9" i="4"/>
  <c r="C9" i="4"/>
  <c r="B9" i="4"/>
  <c r="AH9" i="4" s="1"/>
  <c r="A9" i="4"/>
  <c r="AM8" i="4"/>
  <c r="G8" i="4"/>
  <c r="F8" i="4"/>
  <c r="E8" i="4"/>
  <c r="D8" i="4"/>
  <c r="C8" i="4"/>
  <c r="B8" i="4"/>
  <c r="M8" i="4" s="1"/>
  <c r="A8" i="4"/>
  <c r="AM7" i="4"/>
  <c r="G7" i="4"/>
  <c r="F7" i="4"/>
  <c r="E7" i="4"/>
  <c r="D7" i="4"/>
  <c r="C7" i="4"/>
  <c r="B7" i="4"/>
  <c r="A7" i="4"/>
  <c r="AM6" i="4"/>
  <c r="G6" i="4"/>
  <c r="F6" i="4"/>
  <c r="E6" i="4"/>
  <c r="D6" i="4"/>
  <c r="C6" i="4"/>
  <c r="B6" i="4"/>
  <c r="J6" i="4" s="1"/>
  <c r="A6" i="4"/>
  <c r="AM5" i="4"/>
  <c r="AI5" i="4"/>
  <c r="K5" i="4"/>
  <c r="G5" i="4"/>
  <c r="F5" i="4"/>
  <c r="E5" i="4"/>
  <c r="D5" i="4"/>
  <c r="C5" i="4"/>
  <c r="B5" i="4"/>
  <c r="AH5" i="4" s="1"/>
  <c r="A5" i="4"/>
  <c r="AN4" i="4"/>
  <c r="AO4" i="4" s="1"/>
  <c r="Y4" i="4" s="1"/>
  <c r="AM4" i="4"/>
  <c r="G4" i="4"/>
  <c r="F4" i="4"/>
  <c r="E4" i="4"/>
  <c r="D4" i="4"/>
  <c r="C4" i="4"/>
  <c r="B4" i="4"/>
  <c r="N4" i="4" s="1"/>
  <c r="O4" i="4" s="1"/>
  <c r="W4" i="4" s="1"/>
  <c r="A4" i="4"/>
  <c r="D14" i="3"/>
  <c r="A6" i="1"/>
  <c r="B20" i="16" s="1"/>
  <c r="M29" i="4" l="1"/>
  <c r="AI14" i="4"/>
  <c r="AN21" i="4"/>
  <c r="AO21" i="4" s="1"/>
  <c r="Y21" i="4" s="1"/>
  <c r="AI23" i="4"/>
  <c r="K30" i="4"/>
  <c r="AI33" i="4"/>
  <c r="AN39" i="4"/>
  <c r="AO39" i="4" s="1"/>
  <c r="Y39" i="4" s="1"/>
  <c r="K41" i="4"/>
  <c r="AN43" i="4"/>
  <c r="AO43" i="4" s="1"/>
  <c r="Y43" i="4" s="1"/>
  <c r="K44" i="4"/>
  <c r="L51" i="4"/>
  <c r="L69" i="4"/>
  <c r="R69" i="4" s="1"/>
  <c r="V69" i="4" s="1"/>
  <c r="AN73" i="4"/>
  <c r="AO73" i="4" s="1"/>
  <c r="Y73" i="4" s="1"/>
  <c r="K76" i="4"/>
  <c r="M69" i="4"/>
  <c r="AI69" i="4"/>
  <c r="P18" i="4"/>
  <c r="AI30" i="4"/>
  <c r="L38" i="4"/>
  <c r="AN41" i="4"/>
  <c r="AO41" i="4" s="1"/>
  <c r="Y41" i="4" s="1"/>
  <c r="K42" i="4"/>
  <c r="P54" i="4"/>
  <c r="K9" i="4"/>
  <c r="K20" i="4"/>
  <c r="P42" i="4"/>
  <c r="AN44" i="4"/>
  <c r="AO44" i="4" s="1"/>
  <c r="Y44" i="4" s="1"/>
  <c r="K45" i="4"/>
  <c r="AN69" i="4"/>
  <c r="AO69" i="4" s="1"/>
  <c r="Y69" i="4" s="1"/>
  <c r="J70" i="4"/>
  <c r="AH30" i="4"/>
  <c r="P44" i="4"/>
  <c r="AI9" i="4"/>
  <c r="K28" i="4"/>
  <c r="AN30" i="4"/>
  <c r="AO30" i="4" s="1"/>
  <c r="Y30" i="4" s="1"/>
  <c r="M31" i="4"/>
  <c r="M39" i="4"/>
  <c r="M43" i="4"/>
  <c r="AI45" i="4"/>
  <c r="AI20" i="4"/>
  <c r="N28" i="4"/>
  <c r="O28" i="4" s="1"/>
  <c r="W28" i="4" s="1"/>
  <c r="AI31" i="4"/>
  <c r="AI39" i="4"/>
  <c r="AI43" i="4"/>
  <c r="P14" i="4"/>
  <c r="S14" i="4" s="1"/>
  <c r="X14" i="4" s="1"/>
  <c r="K33" i="4"/>
  <c r="N50" i="4"/>
  <c r="O50" i="4" s="1"/>
  <c r="W50" i="4" s="1"/>
  <c r="K68" i="4"/>
  <c r="AI17" i="4"/>
  <c r="AH36" i="4"/>
  <c r="AH68" i="4"/>
  <c r="P22" i="4"/>
  <c r="N44" i="4"/>
  <c r="O44" i="4" s="1"/>
  <c r="W44" i="4" s="1"/>
  <c r="P46" i="4"/>
  <c r="AH22" i="4"/>
  <c r="AI36" i="4"/>
  <c r="AN15" i="4"/>
  <c r="AO15" i="4" s="1"/>
  <c r="Y15" i="4" s="1"/>
  <c r="K16" i="4"/>
  <c r="AN17" i="4"/>
  <c r="AO17" i="4" s="1"/>
  <c r="Y17" i="4" s="1"/>
  <c r="K18" i="4"/>
  <c r="AH20" i="4"/>
  <c r="AN22" i="4"/>
  <c r="AO22" i="4" s="1"/>
  <c r="Y22" i="4" s="1"/>
  <c r="M23" i="4"/>
  <c r="P30" i="4"/>
  <c r="S30" i="4" s="1"/>
  <c r="X30" i="4" s="1"/>
  <c r="AN31" i="4"/>
  <c r="AO31" i="4" s="1"/>
  <c r="Y31" i="4" s="1"/>
  <c r="L32" i="4"/>
  <c r="AI42" i="4"/>
  <c r="S42" i="4" s="1"/>
  <c r="X42" i="4" s="1"/>
  <c r="AH46" i="4"/>
  <c r="J53" i="4"/>
  <c r="L61" i="4"/>
  <c r="R61" i="4" s="1"/>
  <c r="V61" i="4" s="1"/>
  <c r="L73" i="4"/>
  <c r="AN19" i="4"/>
  <c r="AO19" i="4" s="1"/>
  <c r="Y19" i="4" s="1"/>
  <c r="AI46" i="4"/>
  <c r="M61" i="4"/>
  <c r="P69" i="4"/>
  <c r="S69" i="4" s="1"/>
  <c r="X69" i="4" s="1"/>
  <c r="AN42" i="4"/>
  <c r="AO42" i="4" s="1"/>
  <c r="Y42" i="4" s="1"/>
  <c r="AH44" i="4"/>
  <c r="AH53" i="4"/>
  <c r="AI6" i="4"/>
  <c r="AH16" i="4"/>
  <c r="P6" i="4"/>
  <c r="AH28" i="4"/>
  <c r="K36" i="4"/>
  <c r="AI41" i="4"/>
  <c r="AI44" i="4"/>
  <c r="K49" i="4"/>
  <c r="AN12" i="4"/>
  <c r="AO12" i="4" s="1"/>
  <c r="Y12" i="4" s="1"/>
  <c r="K13" i="4"/>
  <c r="AN18" i="4"/>
  <c r="AO18" i="4" s="1"/>
  <c r="Y18" i="4" s="1"/>
  <c r="M19" i="4"/>
  <c r="K22" i="4"/>
  <c r="AN23" i="4"/>
  <c r="AO23" i="4" s="1"/>
  <c r="Y23" i="4" s="1"/>
  <c r="P24" i="4"/>
  <c r="P38" i="4"/>
  <c r="AH6" i="4"/>
  <c r="AI13" i="4"/>
  <c r="AN16" i="4"/>
  <c r="AO16" i="4" s="1"/>
  <c r="Y16" i="4" s="1"/>
  <c r="K17" i="4"/>
  <c r="L22" i="4"/>
  <c r="K25" i="4"/>
  <c r="AI28" i="4"/>
  <c r="N36" i="4"/>
  <c r="O36" i="4" s="1"/>
  <c r="W36" i="4" s="1"/>
  <c r="AH38" i="4"/>
  <c r="N49" i="4"/>
  <c r="O49" i="4" s="1"/>
  <c r="W49" i="4" s="1"/>
  <c r="AN53" i="4"/>
  <c r="AO53" i="4" s="1"/>
  <c r="Y53" i="4" s="1"/>
  <c r="J54" i="4"/>
  <c r="J68" i="4"/>
  <c r="O78" i="10"/>
  <c r="I9" i="5"/>
  <c r="S26" i="4"/>
  <c r="X26" i="4" s="1"/>
  <c r="J10" i="4"/>
  <c r="AH10" i="4"/>
  <c r="P10" i="4"/>
  <c r="L10" i="4"/>
  <c r="AN10" i="4"/>
  <c r="AO10" i="4" s="1"/>
  <c r="Y10" i="4" s="1"/>
  <c r="K10" i="4"/>
  <c r="AI10" i="4"/>
  <c r="M4" i="4"/>
  <c r="L11" i="4"/>
  <c r="AN11" i="4"/>
  <c r="AO11" i="4" s="1"/>
  <c r="Y11" i="4" s="1"/>
  <c r="M11" i="4"/>
  <c r="J4" i="4"/>
  <c r="AI4" i="4"/>
  <c r="L4" i="4"/>
  <c r="AH4" i="4"/>
  <c r="K4" i="4"/>
  <c r="P4" i="4"/>
  <c r="L7" i="4"/>
  <c r="M7" i="4"/>
  <c r="AN7" i="4"/>
  <c r="AO7" i="4" s="1"/>
  <c r="Y7" i="4" s="1"/>
  <c r="AI7" i="4"/>
  <c r="J8" i="4"/>
  <c r="P8" i="4"/>
  <c r="AN8" i="4"/>
  <c r="AO8" i="4" s="1"/>
  <c r="Y8" i="4" s="1"/>
  <c r="N8" i="4"/>
  <c r="O8" i="4" s="1"/>
  <c r="W8" i="4" s="1"/>
  <c r="AI8" i="4"/>
  <c r="L8" i="4"/>
  <c r="AH8" i="4"/>
  <c r="K8" i="4"/>
  <c r="R8" i="4" s="1"/>
  <c r="V8" i="4" s="1"/>
  <c r="M6" i="4"/>
  <c r="M12" i="4"/>
  <c r="M14" i="4"/>
  <c r="M21" i="4"/>
  <c r="L24" i="4"/>
  <c r="M26" i="4"/>
  <c r="AN29" i="4"/>
  <c r="AO29" i="4" s="1"/>
  <c r="Y29" i="4" s="1"/>
  <c r="R30" i="4"/>
  <c r="V30" i="4" s="1"/>
  <c r="P32" i="4"/>
  <c r="AI34" i="4"/>
  <c r="M37" i="4"/>
  <c r="L40" i="4"/>
  <c r="AN40" i="4"/>
  <c r="AO40" i="4" s="1"/>
  <c r="Y40" i="4" s="1"/>
  <c r="R44" i="4"/>
  <c r="V44" i="4" s="1"/>
  <c r="M46" i="4"/>
  <c r="AI49" i="4"/>
  <c r="AI59" i="4"/>
  <c r="L63" i="4"/>
  <c r="AH67" i="4"/>
  <c r="N21" i="4"/>
  <c r="O21" i="4" s="1"/>
  <c r="W21" i="4" s="1"/>
  <c r="M24" i="4"/>
  <c r="AN24" i="4"/>
  <c r="AO24" i="4" s="1"/>
  <c r="Y24" i="4" s="1"/>
  <c r="P63" i="4"/>
  <c r="J72" i="4"/>
  <c r="AH74" i="4"/>
  <c r="N37" i="4"/>
  <c r="O37" i="4" s="1"/>
  <c r="W37" i="4" s="1"/>
  <c r="M40" i="4"/>
  <c r="M5" i="4"/>
  <c r="AN9" i="4"/>
  <c r="AO9" i="4" s="1"/>
  <c r="Y9" i="4" s="1"/>
  <c r="M13" i="4"/>
  <c r="L16" i="4"/>
  <c r="R16" i="4" s="1"/>
  <c r="V16" i="4" s="1"/>
  <c r="AI16" i="4"/>
  <c r="L18" i="4"/>
  <c r="R18" i="4" s="1"/>
  <c r="V18" i="4" s="1"/>
  <c r="P20" i="4"/>
  <c r="S20" i="4" s="1"/>
  <c r="X20" i="4" s="1"/>
  <c r="AI21" i="4"/>
  <c r="AI22" i="4"/>
  <c r="S22" i="4" s="1"/>
  <c r="X22" i="4" s="1"/>
  <c r="N24" i="4"/>
  <c r="O24" i="4" s="1"/>
  <c r="W24" i="4" s="1"/>
  <c r="M25" i="4"/>
  <c r="L28" i="4"/>
  <c r="R28" i="4" s="1"/>
  <c r="V28" i="4" s="1"/>
  <c r="M30" i="4"/>
  <c r="AH32" i="4"/>
  <c r="AN33" i="4"/>
  <c r="AO33" i="4" s="1"/>
  <c r="Y33" i="4" s="1"/>
  <c r="K34" i="4"/>
  <c r="AN34" i="4"/>
  <c r="AO34" i="4" s="1"/>
  <c r="Y34" i="4" s="1"/>
  <c r="M35" i="4"/>
  <c r="P36" i="4"/>
  <c r="S36" i="4" s="1"/>
  <c r="X36" i="4" s="1"/>
  <c r="AI37" i="4"/>
  <c r="AI38" i="4"/>
  <c r="S38" i="4" s="1"/>
  <c r="X38" i="4" s="1"/>
  <c r="N40" i="4"/>
  <c r="O40" i="4" s="1"/>
  <c r="W40" i="4" s="1"/>
  <c r="N41" i="4"/>
  <c r="O41" i="4" s="1"/>
  <c r="W41" i="4" s="1"/>
  <c r="AH42" i="4"/>
  <c r="M44" i="4"/>
  <c r="M45" i="4"/>
  <c r="L49" i="4"/>
  <c r="R49" i="4" s="1"/>
  <c r="V49" i="4" s="1"/>
  <c r="AN49" i="4"/>
  <c r="AO49" i="4" s="1"/>
  <c r="Y49" i="4" s="1"/>
  <c r="L54" i="4"/>
  <c r="AN57" i="4"/>
  <c r="AO57" i="4" s="1"/>
  <c r="Y57" i="4" s="1"/>
  <c r="J58" i="4"/>
  <c r="AN59" i="4"/>
  <c r="AO59" i="4" s="1"/>
  <c r="Y59" i="4" s="1"/>
  <c r="L72" i="4"/>
  <c r="N75" i="4"/>
  <c r="O75" i="4" s="1"/>
  <c r="W75" i="4" s="1"/>
  <c r="N5" i="4"/>
  <c r="O5" i="4" s="1"/>
  <c r="W5" i="4" s="1"/>
  <c r="P12" i="4"/>
  <c r="N13" i="4"/>
  <c r="O13" i="4" s="1"/>
  <c r="W13" i="4" s="1"/>
  <c r="AH14" i="4"/>
  <c r="M16" i="4"/>
  <c r="M18" i="4"/>
  <c r="AI19" i="4"/>
  <c r="N25" i="4"/>
  <c r="O25" i="4" s="1"/>
  <c r="W25" i="4" s="1"/>
  <c r="AH26" i="4"/>
  <c r="M28" i="4"/>
  <c r="AN28" i="4"/>
  <c r="AO28" i="4" s="1"/>
  <c r="Y28" i="4" s="1"/>
  <c r="K29" i="4"/>
  <c r="K32" i="4"/>
  <c r="R32" i="4" s="1"/>
  <c r="V32" i="4" s="1"/>
  <c r="AI32" i="4"/>
  <c r="L34" i="4"/>
  <c r="AI35" i="4"/>
  <c r="N45" i="4"/>
  <c r="O45" i="4" s="1"/>
  <c r="W45" i="4" s="1"/>
  <c r="M49" i="4"/>
  <c r="M50" i="4"/>
  <c r="J52" i="4"/>
  <c r="L59" i="4"/>
  <c r="R59" i="4" s="1"/>
  <c r="V59" i="4" s="1"/>
  <c r="AI63" i="4"/>
  <c r="N72" i="4"/>
  <c r="O72" i="4" s="1"/>
  <c r="W72" i="4" s="1"/>
  <c r="AI75" i="4"/>
  <c r="M34" i="4"/>
  <c r="R38" i="4"/>
  <c r="V38" i="4" s="1"/>
  <c r="P40" i="4"/>
  <c r="N29" i="4"/>
  <c r="O29" i="4" s="1"/>
  <c r="W29" i="4" s="1"/>
  <c r="P34" i="4"/>
  <c r="S34" i="4" s="1"/>
  <c r="X34" i="4" s="1"/>
  <c r="AN35" i="4"/>
  <c r="AO35" i="4" s="1"/>
  <c r="Y35" i="4" s="1"/>
  <c r="AH40" i="4"/>
  <c r="N59" i="4"/>
  <c r="O59" i="4" s="1"/>
  <c r="W59" i="4" s="1"/>
  <c r="M32" i="4"/>
  <c r="AN32" i="4"/>
  <c r="AO32" i="4" s="1"/>
  <c r="Y32" i="4" s="1"/>
  <c r="AN5" i="4"/>
  <c r="AO5" i="4" s="1"/>
  <c r="Y5" i="4" s="1"/>
  <c r="K6" i="4"/>
  <c r="M9" i="4"/>
  <c r="K12" i="4"/>
  <c r="AH12" i="4"/>
  <c r="AN13" i="4"/>
  <c r="AO13" i="4" s="1"/>
  <c r="Y13" i="4" s="1"/>
  <c r="K14" i="4"/>
  <c r="AN14" i="4"/>
  <c r="AO14" i="4" s="1"/>
  <c r="Y14" i="4" s="1"/>
  <c r="M15" i="4"/>
  <c r="P16" i="4"/>
  <c r="S16" i="4" s="1"/>
  <c r="X16" i="4" s="1"/>
  <c r="N17" i="4"/>
  <c r="O17" i="4" s="1"/>
  <c r="W17" i="4" s="1"/>
  <c r="AH18" i="4"/>
  <c r="L20" i="4"/>
  <c r="R20" i="4" s="1"/>
  <c r="V20" i="4" s="1"/>
  <c r="M22" i="4"/>
  <c r="AH24" i="4"/>
  <c r="AN25" i="4"/>
  <c r="AO25" i="4" s="1"/>
  <c r="Y25" i="4" s="1"/>
  <c r="K26" i="4"/>
  <c r="AN26" i="4"/>
  <c r="AO26" i="4" s="1"/>
  <c r="Y26" i="4" s="1"/>
  <c r="M27" i="4"/>
  <c r="P28" i="4"/>
  <c r="S28" i="4" s="1"/>
  <c r="X28" i="4" s="1"/>
  <c r="AI29" i="4"/>
  <c r="N32" i="4"/>
  <c r="O32" i="4" s="1"/>
  <c r="W32" i="4" s="1"/>
  <c r="M33" i="4"/>
  <c r="L36" i="4"/>
  <c r="R36" i="4" s="1"/>
  <c r="V36" i="4" s="1"/>
  <c r="M38" i="4"/>
  <c r="AI40" i="4"/>
  <c r="S40" i="4" s="1"/>
  <c r="X40" i="4" s="1"/>
  <c r="L42" i="4"/>
  <c r="R42" i="4" s="1"/>
  <c r="V42" i="4" s="1"/>
  <c r="AN45" i="4"/>
  <c r="AO45" i="4" s="1"/>
  <c r="Y45" i="4" s="1"/>
  <c r="K46" i="4"/>
  <c r="AN46" i="4"/>
  <c r="AO46" i="4" s="1"/>
  <c r="Y46" i="4" s="1"/>
  <c r="M47" i="4"/>
  <c r="P49" i="4"/>
  <c r="S49" i="4" s="1"/>
  <c r="X49" i="4" s="1"/>
  <c r="AH50" i="4"/>
  <c r="P53" i="4"/>
  <c r="AH56" i="4"/>
  <c r="P59" i="4"/>
  <c r="S59" i="4" s="1"/>
  <c r="X59" i="4" s="1"/>
  <c r="J64" i="4"/>
  <c r="L64" i="4"/>
  <c r="P64" i="4"/>
  <c r="N69" i="4"/>
  <c r="O69" i="4" s="1"/>
  <c r="W69" i="4" s="1"/>
  <c r="K73" i="4"/>
  <c r="R73" i="4" s="1"/>
  <c r="V73" i="4" s="1"/>
  <c r="AI73" i="4"/>
  <c r="N73" i="4"/>
  <c r="O73" i="4" s="1"/>
  <c r="W73" i="4" s="1"/>
  <c r="AN76" i="4"/>
  <c r="AO76" i="4" s="1"/>
  <c r="Y76" i="4" s="1"/>
  <c r="P76" i="4"/>
  <c r="N76" i="4"/>
  <c r="O76" i="4" s="1"/>
  <c r="W76" i="4" s="1"/>
  <c r="L6" i="4"/>
  <c r="AN6" i="4"/>
  <c r="AO6" i="4" s="1"/>
  <c r="Y6" i="4" s="1"/>
  <c r="N9" i="4"/>
  <c r="O9" i="4" s="1"/>
  <c r="W9" i="4" s="1"/>
  <c r="L12" i="4"/>
  <c r="AI12" i="4"/>
  <c r="L14" i="4"/>
  <c r="AI15" i="4"/>
  <c r="AI18" i="4"/>
  <c r="S18" i="4" s="1"/>
  <c r="X18" i="4" s="1"/>
  <c r="M20" i="4"/>
  <c r="AN20" i="4"/>
  <c r="AO20" i="4" s="1"/>
  <c r="Y20" i="4" s="1"/>
  <c r="K21" i="4"/>
  <c r="K24" i="4"/>
  <c r="R24" i="4" s="1"/>
  <c r="V24" i="4" s="1"/>
  <c r="AI24" i="4"/>
  <c r="S24" i="4" s="1"/>
  <c r="X24" i="4" s="1"/>
  <c r="L26" i="4"/>
  <c r="AI27" i="4"/>
  <c r="N33" i="4"/>
  <c r="O33" i="4" s="1"/>
  <c r="W33" i="4" s="1"/>
  <c r="AH34" i="4"/>
  <c r="M36" i="4"/>
  <c r="AN36" i="4"/>
  <c r="AO36" i="4" s="1"/>
  <c r="Y36" i="4" s="1"/>
  <c r="K37" i="4"/>
  <c r="K40" i="4"/>
  <c r="R40" i="4" s="1"/>
  <c r="V40" i="4" s="1"/>
  <c r="M42" i="4"/>
  <c r="S44" i="4"/>
  <c r="X44" i="4" s="1"/>
  <c r="L46" i="4"/>
  <c r="AI47" i="4"/>
  <c r="AH49" i="4"/>
  <c r="AI50" i="4"/>
  <c r="M57" i="4"/>
  <c r="J63" i="4"/>
  <c r="P73" i="4"/>
  <c r="AH76" i="4"/>
  <c r="AA77" i="4"/>
  <c r="AI61" i="4"/>
  <c r="K55" i="4"/>
  <c r="M55" i="4"/>
  <c r="J55" i="4"/>
  <c r="J57" i="4"/>
  <c r="K67" i="4"/>
  <c r="AI67" i="4"/>
  <c r="L67" i="4"/>
  <c r="AN67" i="4"/>
  <c r="AO67" i="4" s="1"/>
  <c r="Y67" i="4" s="1"/>
  <c r="P67" i="4"/>
  <c r="S67" i="4" s="1"/>
  <c r="X67" i="4" s="1"/>
  <c r="J67" i="4"/>
  <c r="J5" i="4"/>
  <c r="N7" i="4"/>
  <c r="O7" i="4" s="1"/>
  <c r="W7" i="4" s="1"/>
  <c r="J9" i="4"/>
  <c r="N11" i="4"/>
  <c r="O11" i="4" s="1"/>
  <c r="W11" i="4" s="1"/>
  <c r="J13" i="4"/>
  <c r="N15" i="4"/>
  <c r="O15" i="4" s="1"/>
  <c r="W15" i="4" s="1"/>
  <c r="J17" i="4"/>
  <c r="N19" i="4"/>
  <c r="O19" i="4" s="1"/>
  <c r="W19" i="4" s="1"/>
  <c r="J21" i="4"/>
  <c r="N23" i="4"/>
  <c r="O23" i="4" s="1"/>
  <c r="W23" i="4" s="1"/>
  <c r="J25" i="4"/>
  <c r="N27" i="4"/>
  <c r="O27" i="4" s="1"/>
  <c r="W27" i="4" s="1"/>
  <c r="J29" i="4"/>
  <c r="N31" i="4"/>
  <c r="O31" i="4" s="1"/>
  <c r="W31" i="4" s="1"/>
  <c r="J33" i="4"/>
  <c r="N35" i="4"/>
  <c r="O35" i="4" s="1"/>
  <c r="W35" i="4" s="1"/>
  <c r="J37" i="4"/>
  <c r="N39" i="4"/>
  <c r="O39" i="4" s="1"/>
  <c r="W39" i="4" s="1"/>
  <c r="J41" i="4"/>
  <c r="N43" i="4"/>
  <c r="O43" i="4" s="1"/>
  <c r="W43" i="4" s="1"/>
  <c r="J45" i="4"/>
  <c r="N47" i="4"/>
  <c r="O47" i="4" s="1"/>
  <c r="W47" i="4" s="1"/>
  <c r="J48" i="4"/>
  <c r="K51" i="4"/>
  <c r="R51" i="4" s="1"/>
  <c r="V51" i="4" s="1"/>
  <c r="AN51" i="4"/>
  <c r="AO51" i="4" s="1"/>
  <c r="Y51" i="4" s="1"/>
  <c r="P51" i="4"/>
  <c r="S51" i="4" s="1"/>
  <c r="X51" i="4" s="1"/>
  <c r="J51" i="4"/>
  <c r="P52" i="4"/>
  <c r="L53" i="4"/>
  <c r="R53" i="4" s="1"/>
  <c r="L55" i="4"/>
  <c r="AN55" i="4"/>
  <c r="AO55" i="4" s="1"/>
  <c r="Y55" i="4" s="1"/>
  <c r="L57" i="4"/>
  <c r="R57" i="4" s="1"/>
  <c r="V57" i="4" s="1"/>
  <c r="AH58" i="4"/>
  <c r="AI62" i="4"/>
  <c r="AN62" i="4"/>
  <c r="AO62" i="4" s="1"/>
  <c r="Y62" i="4" s="1"/>
  <c r="M62" i="4"/>
  <c r="L62" i="4"/>
  <c r="P62" i="4"/>
  <c r="K62" i="4"/>
  <c r="R62" i="4" s="1"/>
  <c r="V62" i="4" s="1"/>
  <c r="M67" i="4"/>
  <c r="AH48" i="4"/>
  <c r="P48" i="4"/>
  <c r="K48" i="4"/>
  <c r="AN60" i="4"/>
  <c r="AO60" i="4" s="1"/>
  <c r="Y60" i="4" s="1"/>
  <c r="M60" i="4"/>
  <c r="AI60" i="4"/>
  <c r="N60" i="4"/>
  <c r="O60" i="4" s="1"/>
  <c r="W60" i="4" s="1"/>
  <c r="L60" i="4"/>
  <c r="K60" i="4"/>
  <c r="AI66" i="4"/>
  <c r="AN66" i="4"/>
  <c r="AO66" i="4" s="1"/>
  <c r="Y66" i="4" s="1"/>
  <c r="M66" i="4"/>
  <c r="J66" i="4"/>
  <c r="N66" i="4"/>
  <c r="O66" i="4" s="1"/>
  <c r="W66" i="4" s="1"/>
  <c r="L66" i="4"/>
  <c r="R66" i="4" s="1"/>
  <c r="V66" i="4" s="1"/>
  <c r="L5" i="4"/>
  <c r="R5" i="4" s="1"/>
  <c r="V5" i="4" s="1"/>
  <c r="N6" i="4"/>
  <c r="P7" i="4"/>
  <c r="S7" i="4" s="1"/>
  <c r="X7" i="4" s="1"/>
  <c r="AH7" i="4"/>
  <c r="L9" i="4"/>
  <c r="R9" i="4" s="1"/>
  <c r="V9" i="4" s="1"/>
  <c r="N10" i="4"/>
  <c r="O10" i="4" s="1"/>
  <c r="W10" i="4" s="1"/>
  <c r="P11" i="4"/>
  <c r="S11" i="4" s="1"/>
  <c r="X11" i="4" s="1"/>
  <c r="AH11" i="4"/>
  <c r="L13" i="4"/>
  <c r="R13" i="4" s="1"/>
  <c r="V13" i="4" s="1"/>
  <c r="N14" i="4"/>
  <c r="O14" i="4" s="1"/>
  <c r="P15" i="4"/>
  <c r="S15" i="4" s="1"/>
  <c r="X15" i="4" s="1"/>
  <c r="AH15" i="4"/>
  <c r="L17" i="4"/>
  <c r="R17" i="4" s="1"/>
  <c r="V17" i="4" s="1"/>
  <c r="N18" i="4"/>
  <c r="O18" i="4" s="1"/>
  <c r="P19" i="4"/>
  <c r="S19" i="4" s="1"/>
  <c r="X19" i="4" s="1"/>
  <c r="AH19" i="4"/>
  <c r="L21" i="4"/>
  <c r="R21" i="4" s="1"/>
  <c r="V21" i="4" s="1"/>
  <c r="N22" i="4"/>
  <c r="O22" i="4" s="1"/>
  <c r="P23" i="4"/>
  <c r="S23" i="4" s="1"/>
  <c r="X23" i="4" s="1"/>
  <c r="AH23" i="4"/>
  <c r="L25" i="4"/>
  <c r="R25" i="4" s="1"/>
  <c r="V25" i="4" s="1"/>
  <c r="N26" i="4"/>
  <c r="O26" i="4" s="1"/>
  <c r="P27" i="4"/>
  <c r="S27" i="4" s="1"/>
  <c r="X27" i="4" s="1"/>
  <c r="AH27" i="4"/>
  <c r="L29" i="4"/>
  <c r="R29" i="4" s="1"/>
  <c r="V29" i="4" s="1"/>
  <c r="N30" i="4"/>
  <c r="O30" i="4" s="1"/>
  <c r="P31" i="4"/>
  <c r="S31" i="4" s="1"/>
  <c r="X31" i="4" s="1"/>
  <c r="AH31" i="4"/>
  <c r="L33" i="4"/>
  <c r="R33" i="4" s="1"/>
  <c r="V33" i="4" s="1"/>
  <c r="N34" i="4"/>
  <c r="O34" i="4" s="1"/>
  <c r="P35" i="4"/>
  <c r="S35" i="4" s="1"/>
  <c r="X35" i="4" s="1"/>
  <c r="AH35" i="4"/>
  <c r="L37" i="4"/>
  <c r="R37" i="4" s="1"/>
  <c r="V37" i="4" s="1"/>
  <c r="N38" i="4"/>
  <c r="O38" i="4" s="1"/>
  <c r="P39" i="4"/>
  <c r="S39" i="4" s="1"/>
  <c r="X39" i="4" s="1"/>
  <c r="AH39" i="4"/>
  <c r="L41" i="4"/>
  <c r="R41" i="4" s="1"/>
  <c r="V41" i="4" s="1"/>
  <c r="N42" i="4"/>
  <c r="O42" i="4" s="1"/>
  <c r="P43" i="4"/>
  <c r="S43" i="4" s="1"/>
  <c r="X43" i="4" s="1"/>
  <c r="AH43" i="4"/>
  <c r="L45" i="4"/>
  <c r="R45" i="4" s="1"/>
  <c r="V45" i="4" s="1"/>
  <c r="N46" i="4"/>
  <c r="O46" i="4" s="1"/>
  <c r="P47" i="4"/>
  <c r="S47" i="4" s="1"/>
  <c r="X47" i="4" s="1"/>
  <c r="AH47" i="4"/>
  <c r="L48" i="4"/>
  <c r="P50" i="4"/>
  <c r="S50" i="4" s="1"/>
  <c r="X50" i="4" s="1"/>
  <c r="M51" i="4"/>
  <c r="N53" i="4"/>
  <c r="O53" i="4" s="1"/>
  <c r="W53" i="4" s="1"/>
  <c r="P55" i="4"/>
  <c r="N57" i="4"/>
  <c r="O57" i="4" s="1"/>
  <c r="W57" i="4" s="1"/>
  <c r="AH62" i="4"/>
  <c r="P66" i="4"/>
  <c r="S66" i="4" s="1"/>
  <c r="X66" i="4" s="1"/>
  <c r="AH66" i="4"/>
  <c r="K71" i="4"/>
  <c r="R71" i="4" s="1"/>
  <c r="AN71" i="4"/>
  <c r="AO71" i="4" s="1"/>
  <c r="Y71" i="4" s="1"/>
  <c r="P71" i="4"/>
  <c r="S71" i="4" s="1"/>
  <c r="X71" i="4" s="1"/>
  <c r="N71" i="4"/>
  <c r="O71" i="4" s="1"/>
  <c r="W71" i="4" s="1"/>
  <c r="M71" i="4"/>
  <c r="L71" i="4"/>
  <c r="M48" i="4"/>
  <c r="AN56" i="4"/>
  <c r="AO56" i="4" s="1"/>
  <c r="Y56" i="4" s="1"/>
  <c r="M56" i="4"/>
  <c r="AI56" i="4"/>
  <c r="K56" i="4"/>
  <c r="P57" i="4"/>
  <c r="AI58" i="4"/>
  <c r="AN58" i="4"/>
  <c r="AO58" i="4" s="1"/>
  <c r="Y58" i="4" s="1"/>
  <c r="M58" i="4"/>
  <c r="L58" i="4"/>
  <c r="R58" i="4" s="1"/>
  <c r="P60" i="4"/>
  <c r="S60" i="4" s="1"/>
  <c r="X60" i="4" s="1"/>
  <c r="K65" i="4"/>
  <c r="M65" i="4"/>
  <c r="AI65" i="4"/>
  <c r="L65" i="4"/>
  <c r="N65" i="4"/>
  <c r="O65" i="4" s="1"/>
  <c r="W65" i="4" s="1"/>
  <c r="J11" i="4"/>
  <c r="J15" i="4"/>
  <c r="J19" i="4"/>
  <c r="J23" i="4"/>
  <c r="J27" i="4"/>
  <c r="J31" i="4"/>
  <c r="J35" i="4"/>
  <c r="J39" i="4"/>
  <c r="J43" i="4"/>
  <c r="J47" i="4"/>
  <c r="N48" i="4"/>
  <c r="O48" i="4" s="1"/>
  <c r="W48" i="4" s="1"/>
  <c r="AI48" i="4"/>
  <c r="AN52" i="4"/>
  <c r="AO52" i="4" s="1"/>
  <c r="Y52" i="4" s="1"/>
  <c r="M52" i="4"/>
  <c r="AI52" i="4"/>
  <c r="K52" i="4"/>
  <c r="L56" i="4"/>
  <c r="N58" i="4"/>
  <c r="O58" i="4" s="1"/>
  <c r="W58" i="4" s="1"/>
  <c r="P65" i="4"/>
  <c r="AH65" i="4"/>
  <c r="K15" i="4"/>
  <c r="R15" i="4" s="1"/>
  <c r="V15" i="4" s="1"/>
  <c r="K23" i="4"/>
  <c r="R23" i="4" s="1"/>
  <c r="V23" i="4" s="1"/>
  <c r="K27" i="4"/>
  <c r="R27" i="4" s="1"/>
  <c r="V27" i="4" s="1"/>
  <c r="K35" i="4"/>
  <c r="R35" i="4" s="1"/>
  <c r="V35" i="4" s="1"/>
  <c r="K39" i="4"/>
  <c r="R39" i="4" s="1"/>
  <c r="V39" i="4" s="1"/>
  <c r="K43" i="4"/>
  <c r="R43" i="4" s="1"/>
  <c r="V43" i="4" s="1"/>
  <c r="K47" i="4"/>
  <c r="R47" i="4" s="1"/>
  <c r="V47" i="4" s="1"/>
  <c r="J50" i="4"/>
  <c r="AN50" i="4"/>
  <c r="AO50" i="4" s="1"/>
  <c r="Y50" i="4" s="1"/>
  <c r="L52" i="4"/>
  <c r="AH55" i="4"/>
  <c r="N56" i="4"/>
  <c r="O56" i="4" s="1"/>
  <c r="W56" i="4" s="1"/>
  <c r="AH57" i="4"/>
  <c r="AH60" i="4"/>
  <c r="AN68" i="4"/>
  <c r="AO68" i="4" s="1"/>
  <c r="Y68" i="4" s="1"/>
  <c r="M68" i="4"/>
  <c r="AI68" i="4"/>
  <c r="S68" i="4" s="1"/>
  <c r="X68" i="4" s="1"/>
  <c r="N68" i="4"/>
  <c r="O68" i="4" s="1"/>
  <c r="W68" i="4" s="1"/>
  <c r="L68" i="4"/>
  <c r="R68" i="4" s="1"/>
  <c r="J7" i="4"/>
  <c r="K7" i="4"/>
  <c r="R7" i="4" s="1"/>
  <c r="V7" i="4" s="1"/>
  <c r="K11" i="4"/>
  <c r="R11" i="4" s="1"/>
  <c r="V11" i="4" s="1"/>
  <c r="K19" i="4"/>
  <c r="R19" i="4" s="1"/>
  <c r="V19" i="4" s="1"/>
  <c r="K31" i="4"/>
  <c r="R31" i="4" s="1"/>
  <c r="V31" i="4" s="1"/>
  <c r="P5" i="4"/>
  <c r="P9" i="4"/>
  <c r="S9" i="4" s="1"/>
  <c r="X9" i="4" s="1"/>
  <c r="P13" i="4"/>
  <c r="S13" i="4" s="1"/>
  <c r="X13" i="4" s="1"/>
  <c r="P17" i="4"/>
  <c r="S17" i="4" s="1"/>
  <c r="X17" i="4" s="1"/>
  <c r="P21" i="4"/>
  <c r="S21" i="4" s="1"/>
  <c r="X21" i="4" s="1"/>
  <c r="P25" i="4"/>
  <c r="S25" i="4" s="1"/>
  <c r="X25" i="4" s="1"/>
  <c r="P29" i="4"/>
  <c r="S29" i="4" s="1"/>
  <c r="X29" i="4" s="1"/>
  <c r="P33" i="4"/>
  <c r="S33" i="4" s="1"/>
  <c r="X33" i="4" s="1"/>
  <c r="P37" i="4"/>
  <c r="S37" i="4" s="1"/>
  <c r="X37" i="4" s="1"/>
  <c r="P41" i="4"/>
  <c r="S41" i="4" s="1"/>
  <c r="X41" i="4" s="1"/>
  <c r="P45" i="4"/>
  <c r="S45" i="4" s="1"/>
  <c r="X45" i="4" s="1"/>
  <c r="K50" i="4"/>
  <c r="R50" i="4" s="1"/>
  <c r="V50" i="4" s="1"/>
  <c r="AH51" i="4"/>
  <c r="N52" i="4"/>
  <c r="O52" i="4" s="1"/>
  <c r="W52" i="4" s="1"/>
  <c r="AI53" i="4"/>
  <c r="S53" i="4" s="1"/>
  <c r="X53" i="4" s="1"/>
  <c r="AI55" i="4"/>
  <c r="P56" i="4"/>
  <c r="S56" i="4" s="1"/>
  <c r="X56" i="4" s="1"/>
  <c r="AI57" i="4"/>
  <c r="P58" i="4"/>
  <c r="S58" i="4" s="1"/>
  <c r="X58" i="4" s="1"/>
  <c r="K63" i="4"/>
  <c r="R63" i="4" s="1"/>
  <c r="N63" i="4"/>
  <c r="O63" i="4" s="1"/>
  <c r="W63" i="4" s="1"/>
  <c r="M63" i="4"/>
  <c r="AH63" i="4"/>
  <c r="AN65" i="4"/>
  <c r="AO65" i="4" s="1"/>
  <c r="Y65" i="4" s="1"/>
  <c r="AI54" i="4"/>
  <c r="S54" i="4" s="1"/>
  <c r="X54" i="4" s="1"/>
  <c r="AN54" i="4"/>
  <c r="AO54" i="4" s="1"/>
  <c r="Y54" i="4" s="1"/>
  <c r="M54" i="4"/>
  <c r="K54" i="4"/>
  <c r="R54" i="4" s="1"/>
  <c r="AH54" i="4"/>
  <c r="J59" i="4"/>
  <c r="AH59" i="4"/>
  <c r="N61" i="4"/>
  <c r="O61" i="4" s="1"/>
  <c r="W61" i="4" s="1"/>
  <c r="AI70" i="4"/>
  <c r="S70" i="4" s="1"/>
  <c r="X70" i="4" s="1"/>
  <c r="AN70" i="4"/>
  <c r="AO70" i="4" s="1"/>
  <c r="Y70" i="4" s="1"/>
  <c r="M70" i="4"/>
  <c r="K70" i="4"/>
  <c r="AH70" i="4"/>
  <c r="P61" i="4"/>
  <c r="S61" i="4" s="1"/>
  <c r="X61" i="4" s="1"/>
  <c r="AN61" i="4"/>
  <c r="AO61" i="4" s="1"/>
  <c r="Y61" i="4" s="1"/>
  <c r="AN64" i="4"/>
  <c r="AO64" i="4" s="1"/>
  <c r="Y64" i="4" s="1"/>
  <c r="M64" i="4"/>
  <c r="AI64" i="4"/>
  <c r="S64" i="4" s="1"/>
  <c r="X64" i="4" s="1"/>
  <c r="K64" i="4"/>
  <c r="R64" i="4" s="1"/>
  <c r="AH64" i="4"/>
  <c r="J69" i="4"/>
  <c r="AH69" i="4"/>
  <c r="L70" i="4"/>
  <c r="N70" i="4"/>
  <c r="O70" i="4" s="1"/>
  <c r="W70" i="4" s="1"/>
  <c r="AI74" i="4"/>
  <c r="N74" i="4"/>
  <c r="O74" i="4" s="1"/>
  <c r="W74" i="4" s="1"/>
  <c r="AN74" i="4"/>
  <c r="AO74" i="4" s="1"/>
  <c r="Y74" i="4" s="1"/>
  <c r="M74" i="4"/>
  <c r="K74" i="4"/>
  <c r="J73" i="4"/>
  <c r="AH73" i="4"/>
  <c r="L74" i="4"/>
  <c r="K75" i="4"/>
  <c r="AH75" i="4"/>
  <c r="P75" i="4"/>
  <c r="S75" i="4" s="1"/>
  <c r="X75" i="4" s="1"/>
  <c r="L75" i="4"/>
  <c r="AN75" i="4"/>
  <c r="AO75" i="4" s="1"/>
  <c r="Y75" i="4" s="1"/>
  <c r="J61" i="4"/>
  <c r="AH61" i="4"/>
  <c r="AN72" i="4"/>
  <c r="AO72" i="4" s="1"/>
  <c r="Y72" i="4" s="1"/>
  <c r="M72" i="4"/>
  <c r="AI72" i="4"/>
  <c r="S72" i="4" s="1"/>
  <c r="X72" i="4" s="1"/>
  <c r="K72" i="4"/>
  <c r="R72" i="4" s="1"/>
  <c r="AH72" i="4"/>
  <c r="P74" i="4"/>
  <c r="M75" i="4"/>
  <c r="R76" i="4"/>
  <c r="V76" i="4" s="1"/>
  <c r="T77" i="4"/>
  <c r="Y77" i="4"/>
  <c r="AI76" i="4"/>
  <c r="S76" i="4" s="1"/>
  <c r="X76" i="4" s="1"/>
  <c r="J76" i="4"/>
  <c r="M76" i="4"/>
  <c r="S4" i="4" l="1"/>
  <c r="X4" i="4" s="1"/>
  <c r="S46" i="4"/>
  <c r="X46" i="4" s="1"/>
  <c r="S74" i="4"/>
  <c r="X74" i="4" s="1"/>
  <c r="R10" i="4"/>
  <c r="V10" i="4" s="1"/>
  <c r="R22" i="4"/>
  <c r="V22" i="4" s="1"/>
  <c r="S6" i="4"/>
  <c r="X6" i="4" s="1"/>
  <c r="S65" i="4"/>
  <c r="X65" i="4" s="1"/>
  <c r="R60" i="4"/>
  <c r="S12" i="4"/>
  <c r="X12" i="4" s="1"/>
  <c r="S63" i="4"/>
  <c r="X63" i="4" s="1"/>
  <c r="S32" i="4"/>
  <c r="X32" i="4" s="1"/>
  <c r="I44" i="1"/>
  <c r="R75" i="4"/>
  <c r="R46" i="4"/>
  <c r="V46" i="4" s="1"/>
  <c r="R65" i="4"/>
  <c r="S73" i="4"/>
  <c r="X73" i="4" s="1"/>
  <c r="R12" i="4"/>
  <c r="V12" i="4" s="1"/>
  <c r="R6" i="4"/>
  <c r="V6" i="4" s="1"/>
  <c r="R34" i="4"/>
  <c r="V34" i="4" s="1"/>
  <c r="R26" i="4"/>
  <c r="V26" i="4" s="1"/>
  <c r="R52" i="4"/>
  <c r="I10" i="5"/>
  <c r="R14" i="4"/>
  <c r="V14" i="4" s="1"/>
  <c r="S8" i="4"/>
  <c r="X8" i="4" s="1"/>
  <c r="R4" i="4"/>
  <c r="V4" i="4" s="1"/>
  <c r="S10" i="4"/>
  <c r="X10" i="4" s="1"/>
  <c r="V68" i="4"/>
  <c r="I47" i="1"/>
  <c r="J47" i="1"/>
  <c r="F46" i="1"/>
  <c r="B45" i="1"/>
  <c r="J43" i="1"/>
  <c r="F42" i="1"/>
  <c r="B41" i="1"/>
  <c r="J39" i="1"/>
  <c r="K47" i="1"/>
  <c r="L47" i="1" s="1"/>
  <c r="G46" i="1"/>
  <c r="C45" i="1"/>
  <c r="K43" i="1"/>
  <c r="L43" i="1" s="1"/>
  <c r="G42" i="1"/>
  <c r="C41" i="1"/>
  <c r="K39" i="1"/>
  <c r="L39" i="1" s="1"/>
  <c r="J41" i="1"/>
  <c r="G44" i="1"/>
  <c r="D43" i="1"/>
  <c r="B46" i="1"/>
  <c r="D44" i="1"/>
  <c r="G47" i="1"/>
  <c r="C42" i="1"/>
  <c r="F41" i="1"/>
  <c r="H70" i="11"/>
  <c r="C64" i="11"/>
  <c r="J57" i="11"/>
  <c r="C75" i="11"/>
  <c r="J68" i="11"/>
  <c r="E62" i="11"/>
  <c r="A56" i="11"/>
  <c r="H72" i="11"/>
  <c r="B64" i="11"/>
  <c r="H55" i="11"/>
  <c r="H48" i="11"/>
  <c r="C42" i="11"/>
  <c r="J35" i="11"/>
  <c r="I75" i="11"/>
  <c r="B67" i="11"/>
  <c r="E73" i="11"/>
  <c r="N64" i="11"/>
  <c r="F76" i="11"/>
  <c r="N67" i="11"/>
  <c r="F59" i="11"/>
  <c r="F51" i="11"/>
  <c r="C74" i="11"/>
  <c r="I65" i="11"/>
  <c r="C57" i="11"/>
  <c r="J49" i="11"/>
  <c r="E43" i="11"/>
  <c r="E64" i="11"/>
  <c r="A50" i="11"/>
  <c r="N40" i="11"/>
  <c r="H33" i="11"/>
  <c r="J26" i="11"/>
  <c r="E20" i="11"/>
  <c r="A14" i="11"/>
  <c r="H7" i="11"/>
  <c r="I66" i="11"/>
  <c r="B51" i="11"/>
  <c r="N41" i="11"/>
  <c r="E34" i="11"/>
  <c r="F27" i="11"/>
  <c r="B21" i="11"/>
  <c r="I14" i="11"/>
  <c r="D8" i="11"/>
  <c r="F69" i="11"/>
  <c r="B52" i="11"/>
  <c r="J42" i="11"/>
  <c r="C35" i="11"/>
  <c r="C28" i="11"/>
  <c r="J21" i="11"/>
  <c r="E15" i="11"/>
  <c r="A9" i="11"/>
  <c r="J71" i="11"/>
  <c r="D53" i="11"/>
  <c r="I43" i="11"/>
  <c r="A36" i="11"/>
  <c r="N28" i="11"/>
  <c r="F22" i="11"/>
  <c r="B16" i="11"/>
  <c r="I9" i="11"/>
  <c r="B74" i="11"/>
  <c r="J54" i="11"/>
  <c r="I44" i="11"/>
  <c r="J36" i="11"/>
  <c r="H29" i="11"/>
  <c r="C23" i="11"/>
  <c r="J16" i="11"/>
  <c r="E10" i="11"/>
  <c r="A4" i="11"/>
  <c r="D41" i="11"/>
  <c r="A23" i="11"/>
  <c r="B6" i="11"/>
  <c r="C41" i="11"/>
  <c r="N22" i="11"/>
  <c r="F5" i="11"/>
  <c r="B41" i="11"/>
  <c r="D22" i="11"/>
  <c r="E5" i="11"/>
  <c r="D40" i="11"/>
  <c r="C22" i="11"/>
  <c r="D5" i="11"/>
  <c r="C40" i="11"/>
  <c r="B22" i="11"/>
  <c r="I4" i="11"/>
  <c r="E42" i="11"/>
  <c r="J23" i="11"/>
  <c r="N6" i="11"/>
  <c r="D45" i="11"/>
  <c r="F25" i="11"/>
  <c r="H8" i="11"/>
  <c r="I47" i="11"/>
  <c r="I27" i="11"/>
  <c r="D10" i="11"/>
  <c r="I42" i="1"/>
  <c r="J48" i="1"/>
  <c r="B43" i="1"/>
  <c r="K45" i="1"/>
  <c r="L45" i="1" s="1"/>
  <c r="F47" i="1"/>
  <c r="K46" i="1"/>
  <c r="L46" i="1" s="1"/>
  <c r="G41" i="1"/>
  <c r="J42" i="1"/>
  <c r="C76" i="11"/>
  <c r="J69" i="11"/>
  <c r="E63" i="11"/>
  <c r="A57" i="11"/>
  <c r="E74" i="11"/>
  <c r="A68" i="11"/>
  <c r="H61" i="11"/>
  <c r="C55" i="11"/>
  <c r="H71" i="11"/>
  <c r="A63" i="11"/>
  <c r="F54" i="11"/>
  <c r="J47" i="11"/>
  <c r="E41" i="11"/>
  <c r="A35" i="11"/>
  <c r="I74" i="11"/>
  <c r="B66" i="11"/>
  <c r="E72" i="11"/>
  <c r="J63" i="11"/>
  <c r="F75" i="11"/>
  <c r="N66" i="11"/>
  <c r="D58" i="11"/>
  <c r="I50" i="11"/>
  <c r="C73" i="11"/>
  <c r="H64" i="11"/>
  <c r="B56" i="11"/>
  <c r="A49" i="11"/>
  <c r="H42" i="11"/>
  <c r="N61" i="11"/>
  <c r="I48" i="11"/>
  <c r="A40" i="11"/>
  <c r="I32" i="11"/>
  <c r="A26" i="11"/>
  <c r="H19" i="11"/>
  <c r="C13" i="11"/>
  <c r="J6" i="11"/>
  <c r="D64" i="11"/>
  <c r="I49" i="11"/>
  <c r="J40" i="11"/>
  <c r="F33" i="11"/>
  <c r="I26" i="11"/>
  <c r="D20" i="11"/>
  <c r="N13" i="11"/>
  <c r="F7" i="11"/>
  <c r="F66" i="11"/>
  <c r="N50" i="11"/>
  <c r="I41" i="11"/>
  <c r="D34" i="11"/>
  <c r="E27" i="11"/>
  <c r="A21" i="11"/>
  <c r="H14" i="11"/>
  <c r="C8" i="11"/>
  <c r="I68" i="11"/>
  <c r="A52" i="11"/>
  <c r="I42" i="11"/>
  <c r="B35" i="11"/>
  <c r="B28" i="11"/>
  <c r="I21" i="11"/>
  <c r="D15" i="11"/>
  <c r="N8" i="11"/>
  <c r="I71" i="11"/>
  <c r="C53" i="11"/>
  <c r="H43" i="11"/>
  <c r="N35" i="11"/>
  <c r="J28" i="11"/>
  <c r="E22" i="11"/>
  <c r="A16" i="11"/>
  <c r="H9" i="11"/>
  <c r="N73" i="11"/>
  <c r="C39" i="11"/>
  <c r="I20" i="11"/>
  <c r="B73" i="11"/>
  <c r="F38" i="11"/>
  <c r="H20" i="11"/>
  <c r="N70" i="11"/>
  <c r="E38" i="11"/>
  <c r="F20" i="11"/>
  <c r="J70" i="11"/>
  <c r="D38" i="11"/>
  <c r="N19" i="11"/>
  <c r="I70" i="11"/>
  <c r="H37" i="11"/>
  <c r="J19" i="11"/>
  <c r="D76" i="11"/>
  <c r="B40" i="11"/>
  <c r="F21" i="11"/>
  <c r="H4" i="11"/>
  <c r="D42" i="11"/>
  <c r="I23" i="11"/>
  <c r="D6" i="11"/>
  <c r="F44" i="11"/>
  <c r="E25" i="11"/>
  <c r="F8" i="11"/>
  <c r="F44" i="1"/>
  <c r="C47" i="1"/>
  <c r="D47" i="1"/>
  <c r="D42" i="1"/>
  <c r="C46" i="1"/>
  <c r="K40" i="1"/>
  <c r="L40" i="1" s="1"/>
  <c r="B44" i="1"/>
  <c r="E75" i="11"/>
  <c r="A69" i="11"/>
  <c r="H62" i="11"/>
  <c r="C56" i="11"/>
  <c r="H73" i="11"/>
  <c r="C67" i="11"/>
  <c r="J60" i="11"/>
  <c r="E54" i="11"/>
  <c r="F70" i="11"/>
  <c r="A62" i="11"/>
  <c r="E53" i="11"/>
  <c r="A47" i="11"/>
  <c r="H40" i="11"/>
  <c r="C34" i="11"/>
  <c r="F73" i="11"/>
  <c r="B65" i="11"/>
  <c r="D71" i="11"/>
  <c r="J62" i="11"/>
  <c r="D74" i="11"/>
  <c r="N65" i="11"/>
  <c r="D57" i="11"/>
  <c r="N49" i="11"/>
  <c r="B72" i="11"/>
  <c r="H63" i="11"/>
  <c r="A55" i="11"/>
  <c r="C48" i="11"/>
  <c r="J41" i="11"/>
  <c r="I59" i="11"/>
  <c r="D47" i="11"/>
  <c r="B39" i="11"/>
  <c r="I31" i="11"/>
  <c r="C25" i="11"/>
  <c r="J18" i="11"/>
  <c r="E12" i="11"/>
  <c r="A6" i="11"/>
  <c r="D61" i="11"/>
  <c r="F48" i="11"/>
  <c r="N39" i="11"/>
  <c r="F32" i="11"/>
  <c r="N25" i="11"/>
  <c r="F19" i="11"/>
  <c r="B13" i="11"/>
  <c r="I6" i="11"/>
  <c r="F63" i="11"/>
  <c r="H49" i="11"/>
  <c r="I40" i="11"/>
  <c r="D33" i="11"/>
  <c r="H26" i="11"/>
  <c r="C20" i="11"/>
  <c r="J13" i="11"/>
  <c r="E7" i="11"/>
  <c r="D66" i="11"/>
  <c r="J50" i="11"/>
  <c r="H41" i="11"/>
  <c r="B34" i="11"/>
  <c r="D27" i="11"/>
  <c r="N20" i="11"/>
  <c r="F14" i="11"/>
  <c r="B8" i="11"/>
  <c r="H68" i="11"/>
  <c r="N51" i="11"/>
  <c r="F42" i="11"/>
  <c r="N34" i="11"/>
  <c r="A28" i="11"/>
  <c r="H21" i="11"/>
  <c r="C15" i="11"/>
  <c r="J8" i="11"/>
  <c r="E65" i="11"/>
  <c r="F36" i="11"/>
  <c r="N18" i="11"/>
  <c r="D65" i="11"/>
  <c r="E36" i="11"/>
  <c r="D18" i="11"/>
  <c r="F64" i="11"/>
  <c r="I35" i="11"/>
  <c r="C18" i="11"/>
  <c r="D62" i="11"/>
  <c r="H35" i="11"/>
  <c r="B18" i="11"/>
  <c r="C62" i="11"/>
  <c r="F35" i="11"/>
  <c r="F17" i="11"/>
  <c r="F68" i="11"/>
  <c r="F37" i="11"/>
  <c r="I19" i="11"/>
  <c r="B76" i="11"/>
  <c r="E39" i="11"/>
  <c r="E21" i="11"/>
  <c r="F4" i="11"/>
  <c r="B42" i="11"/>
  <c r="B23" i="11"/>
  <c r="C6" i="11"/>
  <c r="J45" i="1"/>
  <c r="G48" i="1"/>
  <c r="F39" i="1"/>
  <c r="G45" i="1"/>
  <c r="C40" i="1"/>
  <c r="D41" i="1"/>
  <c r="F45" i="1"/>
  <c r="H74" i="11"/>
  <c r="C68" i="11"/>
  <c r="J61" i="11"/>
  <c r="E55" i="11"/>
  <c r="J72" i="11"/>
  <c r="E66" i="11"/>
  <c r="A60" i="11"/>
  <c r="H53" i="11"/>
  <c r="E69" i="11"/>
  <c r="N60" i="11"/>
  <c r="H52" i="11"/>
  <c r="C46" i="11"/>
  <c r="J39" i="11"/>
  <c r="E33" i="11"/>
  <c r="F72" i="11"/>
  <c r="N63" i="11"/>
  <c r="C70" i="11"/>
  <c r="I61" i="11"/>
  <c r="D73" i="11"/>
  <c r="I64" i="11"/>
  <c r="D56" i="11"/>
  <c r="B49" i="11"/>
  <c r="A71" i="11"/>
  <c r="F62" i="11"/>
  <c r="A54" i="11"/>
  <c r="E47" i="11"/>
  <c r="A41" i="11"/>
  <c r="F57" i="11"/>
  <c r="D46" i="11"/>
  <c r="B38" i="11"/>
  <c r="J30" i="11"/>
  <c r="E24" i="11"/>
  <c r="A18" i="11"/>
  <c r="H11" i="11"/>
  <c r="C5" i="11"/>
  <c r="B59" i="11"/>
  <c r="C47" i="11"/>
  <c r="N38" i="11"/>
  <c r="H31" i="11"/>
  <c r="B25" i="11"/>
  <c r="I18" i="11"/>
  <c r="D12" i="11"/>
  <c r="N5" i="11"/>
  <c r="C61" i="11"/>
  <c r="E48" i="11"/>
  <c r="I39" i="11"/>
  <c r="E32" i="11"/>
  <c r="J25" i="11"/>
  <c r="E19" i="11"/>
  <c r="A13" i="11"/>
  <c r="H6" i="11"/>
  <c r="D63" i="11"/>
  <c r="F49" i="11"/>
  <c r="F40" i="11"/>
  <c r="C33" i="11"/>
  <c r="F26" i="11"/>
  <c r="B20" i="11"/>
  <c r="I13" i="11"/>
  <c r="D7" i="11"/>
  <c r="F65" i="11"/>
  <c r="F50" i="11"/>
  <c r="F41" i="11"/>
  <c r="A34" i="11"/>
  <c r="C27" i="11"/>
  <c r="J20" i="11"/>
  <c r="E14" i="11"/>
  <c r="A8" i="11"/>
  <c r="N59" i="11"/>
  <c r="N33" i="11"/>
  <c r="H16" i="11"/>
  <c r="B58" i="11"/>
  <c r="J33" i="11"/>
  <c r="F16" i="11"/>
  <c r="A58" i="11"/>
  <c r="I33" i="11"/>
  <c r="N15" i="11"/>
  <c r="N57" i="11"/>
  <c r="A33" i="11"/>
  <c r="J15" i="11"/>
  <c r="E56" i="11"/>
  <c r="N32" i="11"/>
  <c r="I15" i="11"/>
  <c r="B62" i="11"/>
  <c r="J34" i="11"/>
  <c r="E17" i="11"/>
  <c r="I67" i="11"/>
  <c r="D37" i="11"/>
  <c r="B19" i="11"/>
  <c r="A74" i="11"/>
  <c r="D39" i="11"/>
  <c r="D21" i="11"/>
  <c r="B47" i="1"/>
  <c r="C39" i="1"/>
  <c r="J40" i="1"/>
  <c r="D48" i="1"/>
  <c r="D40" i="1"/>
  <c r="K44" i="1"/>
  <c r="L44" i="1" s="1"/>
  <c r="G39" i="1"/>
  <c r="J46" i="1"/>
  <c r="J73" i="11"/>
  <c r="E67" i="11"/>
  <c r="A61" i="11"/>
  <c r="H54" i="11"/>
  <c r="A72" i="11"/>
  <c r="H65" i="11"/>
  <c r="C59" i="11"/>
  <c r="N76" i="11"/>
  <c r="E68" i="11"/>
  <c r="J59" i="11"/>
  <c r="J51" i="11"/>
  <c r="E45" i="11"/>
  <c r="A39" i="11"/>
  <c r="H32" i="11"/>
  <c r="F71" i="11"/>
  <c r="N62" i="11"/>
  <c r="C69" i="11"/>
  <c r="H60" i="11"/>
  <c r="D72" i="11"/>
  <c r="I63" i="11"/>
  <c r="B55" i="11"/>
  <c r="D48" i="11"/>
  <c r="A70" i="11"/>
  <c r="E61" i="11"/>
  <c r="A53" i="11"/>
  <c r="H46" i="11"/>
  <c r="N75" i="11"/>
  <c r="I55" i="11"/>
  <c r="C45" i="11"/>
  <c r="C37" i="11"/>
  <c r="A30" i="11"/>
  <c r="H23" i="11"/>
  <c r="C17" i="11"/>
  <c r="J10" i="11"/>
  <c r="E4" i="11"/>
  <c r="B57" i="11"/>
  <c r="B46" i="11"/>
  <c r="A38" i="11"/>
  <c r="I30" i="11"/>
  <c r="D24" i="11"/>
  <c r="N17" i="11"/>
  <c r="F11" i="11"/>
  <c r="B5" i="11"/>
  <c r="A59" i="11"/>
  <c r="B47" i="11"/>
  <c r="J38" i="11"/>
  <c r="F31" i="11"/>
  <c r="A25" i="11"/>
  <c r="H18" i="11"/>
  <c r="C12" i="11"/>
  <c r="J5" i="11"/>
  <c r="B61" i="11"/>
  <c r="B48" i="11"/>
  <c r="H39" i="11"/>
  <c r="D32" i="11"/>
  <c r="I25" i="11"/>
  <c r="D19" i="11"/>
  <c r="N12" i="11"/>
  <c r="F6" i="11"/>
  <c r="B63" i="11"/>
  <c r="D49" i="11"/>
  <c r="E40" i="11"/>
  <c r="B33" i="11"/>
  <c r="E26" i="11"/>
  <c r="A20" i="11"/>
  <c r="H13" i="11"/>
  <c r="C7" i="11"/>
  <c r="D54" i="11"/>
  <c r="N31" i="11"/>
  <c r="D14" i="11"/>
  <c r="C54" i="11"/>
  <c r="C31" i="11"/>
  <c r="C14" i="11"/>
  <c r="N52" i="11"/>
  <c r="B31" i="11"/>
  <c r="B14" i="11"/>
  <c r="J52" i="11"/>
  <c r="N30" i="11"/>
  <c r="F13" i="11"/>
  <c r="I52" i="11"/>
  <c r="D30" i="11"/>
  <c r="E13" i="11"/>
  <c r="N55" i="11"/>
  <c r="J32" i="11"/>
  <c r="B15" i="11"/>
  <c r="D60" i="11"/>
  <c r="I34" i="11"/>
  <c r="D17" i="11"/>
  <c r="H67" i="11"/>
  <c r="I36" i="11"/>
  <c r="A19" i="11"/>
  <c r="F48" i="1"/>
  <c r="G40" i="1"/>
  <c r="B42" i="1"/>
  <c r="C44" i="1"/>
  <c r="D45" i="1"/>
  <c r="B48" i="1"/>
  <c r="A73" i="11"/>
  <c r="H66" i="11"/>
  <c r="C60" i="11"/>
  <c r="J53" i="11"/>
  <c r="C71" i="11"/>
  <c r="J64" i="11"/>
  <c r="E58" i="11"/>
  <c r="J75" i="11"/>
  <c r="D67" i="11"/>
  <c r="J58" i="11"/>
  <c r="A51" i="11"/>
  <c r="H44" i="11"/>
  <c r="C38" i="11"/>
  <c r="J31" i="11"/>
  <c r="D70" i="11"/>
  <c r="H76" i="11"/>
  <c r="B68" i="11"/>
  <c r="H59" i="11"/>
  <c r="B71" i="11"/>
  <c r="I62" i="11"/>
  <c r="B54" i="11"/>
  <c r="F47" i="11"/>
  <c r="N68" i="11"/>
  <c r="E60" i="11"/>
  <c r="C52" i="11"/>
  <c r="J45" i="11"/>
  <c r="N72" i="11"/>
  <c r="N53" i="11"/>
  <c r="B44" i="11"/>
  <c r="D36" i="11"/>
  <c r="C29" i="11"/>
  <c r="J22" i="11"/>
  <c r="E16" i="11"/>
  <c r="A10" i="11"/>
  <c r="B75" i="11"/>
  <c r="F55" i="11"/>
  <c r="B45" i="11"/>
  <c r="B37" i="11"/>
  <c r="N29" i="11"/>
  <c r="F23" i="11"/>
  <c r="B17" i="11"/>
  <c r="I10" i="11"/>
  <c r="D4" i="11"/>
  <c r="N56" i="11"/>
  <c r="A46" i="11"/>
  <c r="N37" i="11"/>
  <c r="H30" i="11"/>
  <c r="C24" i="11"/>
  <c r="J17" i="11"/>
  <c r="E11" i="11"/>
  <c r="A5" i="11"/>
  <c r="N58" i="11"/>
  <c r="N46" i="11"/>
  <c r="I38" i="11"/>
  <c r="E31" i="11"/>
  <c r="N24" i="11"/>
  <c r="F18" i="11"/>
  <c r="B12" i="11"/>
  <c r="I5" i="11"/>
  <c r="I60" i="11"/>
  <c r="A48" i="11"/>
  <c r="F39" i="11"/>
  <c r="C32" i="11"/>
  <c r="H25" i="11"/>
  <c r="C19" i="11"/>
  <c r="J12" i="11"/>
  <c r="E6" i="11"/>
  <c r="E50" i="11"/>
  <c r="E29" i="11"/>
  <c r="F12" i="11"/>
  <c r="D50" i="11"/>
  <c r="D29" i="11"/>
  <c r="N11" i="11"/>
  <c r="B50" i="11"/>
  <c r="I28" i="11"/>
  <c r="J11" i="11"/>
  <c r="C49" i="11"/>
  <c r="H28" i="11"/>
  <c r="I11" i="11"/>
  <c r="N48" i="11"/>
  <c r="F28" i="11"/>
  <c r="B11" i="11"/>
  <c r="I51" i="11"/>
  <c r="C30" i="11"/>
  <c r="D13" i="11"/>
  <c r="J55" i="11"/>
  <c r="B32" i="11"/>
  <c r="A15" i="11"/>
  <c r="B60" i="11"/>
  <c r="H34" i="11"/>
  <c r="I16" i="11"/>
  <c r="B39" i="1"/>
  <c r="K41" i="1"/>
  <c r="L41" i="1" s="1"/>
  <c r="D39" i="1"/>
  <c r="F43" i="1"/>
  <c r="D46" i="1"/>
  <c r="K48" i="1"/>
  <c r="L48" i="1" s="1"/>
  <c r="G43" i="1"/>
  <c r="C72" i="11"/>
  <c r="J65" i="11"/>
  <c r="E59" i="11"/>
  <c r="J76" i="11"/>
  <c r="E70" i="11"/>
  <c r="A64" i="11"/>
  <c r="H57" i="11"/>
  <c r="J74" i="11"/>
  <c r="C66" i="11"/>
  <c r="I57" i="11"/>
  <c r="C50" i="11"/>
  <c r="J43" i="11"/>
  <c r="E37" i="11"/>
  <c r="A31" i="11"/>
  <c r="D69" i="11"/>
  <c r="H75" i="11"/>
  <c r="A67" i="11"/>
  <c r="F58" i="11"/>
  <c r="B70" i="11"/>
  <c r="F61" i="11"/>
  <c r="B53" i="11"/>
  <c r="E76" i="11"/>
  <c r="J67" i="11"/>
  <c r="D59" i="11"/>
  <c r="E51" i="11"/>
  <c r="A45" i="11"/>
  <c r="N69" i="11"/>
  <c r="F52" i="11"/>
  <c r="B43" i="11"/>
  <c r="E35" i="11"/>
  <c r="E28" i="11"/>
  <c r="A22" i="11"/>
  <c r="H15" i="11"/>
  <c r="C9" i="11"/>
  <c r="I72" i="11"/>
  <c r="I53" i="11"/>
  <c r="A44" i="11"/>
  <c r="C36" i="11"/>
  <c r="B29" i="11"/>
  <c r="I22" i="11"/>
  <c r="D16" i="11"/>
  <c r="N9" i="11"/>
  <c r="A75" i="11"/>
  <c r="D55" i="11"/>
  <c r="N44" i="11"/>
  <c r="A37" i="11"/>
  <c r="J29" i="11"/>
  <c r="E23" i="11"/>
  <c r="A17" i="11"/>
  <c r="H10" i="11"/>
  <c r="C4" i="11"/>
  <c r="I56" i="11"/>
  <c r="N45" i="11"/>
  <c r="J37" i="11"/>
  <c r="F30" i="11"/>
  <c r="B24" i="11"/>
  <c r="I17" i="11"/>
  <c r="D11" i="11"/>
  <c r="N4" i="11"/>
  <c r="I58" i="11"/>
  <c r="J46" i="11"/>
  <c r="H38" i="11"/>
  <c r="D31" i="11"/>
  <c r="J24" i="11"/>
  <c r="E18" i="11"/>
  <c r="A12" i="11"/>
  <c r="H5" i="11"/>
  <c r="H47" i="11"/>
  <c r="B27" i="11"/>
  <c r="C10" i="11"/>
  <c r="I46" i="11"/>
  <c r="A27" i="11"/>
  <c r="B10" i="11"/>
  <c r="F46" i="11"/>
  <c r="N26" i="11"/>
  <c r="F9" i="11"/>
  <c r="E46" i="11"/>
  <c r="D26" i="11"/>
  <c r="E9" i="11"/>
  <c r="H45" i="11"/>
  <c r="C26" i="11"/>
  <c r="D9" i="11"/>
  <c r="J48" i="11"/>
  <c r="N27" i="11"/>
  <c r="A11" i="11"/>
  <c r="H51" i="11"/>
  <c r="B30" i="11"/>
  <c r="I12" i="11"/>
  <c r="I54" i="11"/>
  <c r="A32" i="11"/>
  <c r="N14" i="11"/>
  <c r="I46" i="1"/>
  <c r="F40" i="1"/>
  <c r="C43" i="1"/>
  <c r="J44" i="1"/>
  <c r="C48" i="1"/>
  <c r="K42" i="1"/>
  <c r="L42" i="1" s="1"/>
  <c r="B40" i="1"/>
  <c r="E71" i="11"/>
  <c r="A65" i="11"/>
  <c r="H58" i="11"/>
  <c r="A76" i="11"/>
  <c r="H69" i="11"/>
  <c r="C63" i="11"/>
  <c r="J56" i="11"/>
  <c r="I73" i="11"/>
  <c r="C65" i="11"/>
  <c r="H56" i="11"/>
  <c r="E49" i="11"/>
  <c r="A43" i="11"/>
  <c r="H36" i="11"/>
  <c r="I76" i="11"/>
  <c r="D68" i="11"/>
  <c r="F74" i="11"/>
  <c r="A66" i="11"/>
  <c r="E57" i="11"/>
  <c r="B69" i="11"/>
  <c r="F60" i="11"/>
  <c r="D52" i="11"/>
  <c r="D75" i="11"/>
  <c r="J66" i="11"/>
  <c r="C58" i="11"/>
  <c r="H50" i="11"/>
  <c r="C44" i="11"/>
  <c r="F67" i="11"/>
  <c r="C51" i="11"/>
  <c r="A42" i="11"/>
  <c r="F34" i="11"/>
  <c r="H27" i="11"/>
  <c r="C21" i="11"/>
  <c r="J14" i="11"/>
  <c r="E8" i="11"/>
  <c r="I69" i="11"/>
  <c r="E52" i="11"/>
  <c r="N42" i="11"/>
  <c r="D35" i="11"/>
  <c r="D28" i="11"/>
  <c r="N21" i="11"/>
  <c r="F15" i="11"/>
  <c r="B9" i="11"/>
  <c r="N71" i="11"/>
  <c r="F53" i="11"/>
  <c r="N43" i="11"/>
  <c r="B36" i="11"/>
  <c r="A29" i="11"/>
  <c r="H22" i="11"/>
  <c r="C16" i="11"/>
  <c r="J9" i="11"/>
  <c r="N74" i="11"/>
  <c r="N54" i="11"/>
  <c r="J44" i="11"/>
  <c r="N36" i="11"/>
  <c r="I29" i="11"/>
  <c r="D23" i="11"/>
  <c r="N16" i="11"/>
  <c r="F10" i="11"/>
  <c r="B4" i="11"/>
  <c r="F56" i="11"/>
  <c r="I45" i="11"/>
  <c r="I37" i="11"/>
  <c r="E30" i="11"/>
  <c r="A24" i="11"/>
  <c r="H17" i="11"/>
  <c r="C11" i="11"/>
  <c r="J4" i="11"/>
  <c r="E44" i="11"/>
  <c r="D25" i="11"/>
  <c r="N7" i="11"/>
  <c r="D44" i="11"/>
  <c r="I24" i="11"/>
  <c r="J7" i="11"/>
  <c r="F43" i="11"/>
  <c r="H24" i="11"/>
  <c r="I7" i="11"/>
  <c r="D43" i="11"/>
  <c r="F24" i="11"/>
  <c r="B7" i="11"/>
  <c r="C43" i="11"/>
  <c r="N23" i="11"/>
  <c r="A7" i="11"/>
  <c r="F45" i="11"/>
  <c r="B26" i="11"/>
  <c r="I8" i="11"/>
  <c r="N47" i="11"/>
  <c r="J27" i="11"/>
  <c r="N10" i="11"/>
  <c r="D51" i="11"/>
  <c r="F29" i="11"/>
  <c r="H12" i="11"/>
  <c r="R74" i="4"/>
  <c r="I41" i="1"/>
  <c r="S57" i="4"/>
  <c r="X57" i="4" s="1"/>
  <c r="V60" i="4"/>
  <c r="S48" i="4"/>
  <c r="X48" i="4" s="1"/>
  <c r="V72" i="4"/>
  <c r="R70" i="4"/>
  <c r="V54" i="4"/>
  <c r="V63" i="4"/>
  <c r="R56" i="4"/>
  <c r="W46" i="4"/>
  <c r="W38" i="4"/>
  <c r="W30" i="4"/>
  <c r="W22" i="4"/>
  <c r="W14" i="4"/>
  <c r="O6" i="4"/>
  <c r="B27" i="1"/>
  <c r="D27" i="1" s="1"/>
  <c r="I40" i="1"/>
  <c r="I45" i="1"/>
  <c r="V65" i="4"/>
  <c r="S55" i="4"/>
  <c r="X55" i="4" s="1"/>
  <c r="AC77" i="4"/>
  <c r="AB77" i="4"/>
  <c r="Z77" i="4"/>
  <c r="V75" i="4"/>
  <c r="I39" i="1"/>
  <c r="I48" i="1"/>
  <c r="V64" i="4"/>
  <c r="S5" i="4"/>
  <c r="X5" i="4" s="1"/>
  <c r="B29" i="1"/>
  <c r="D29" i="1" s="1"/>
  <c r="V52" i="4"/>
  <c r="V58" i="4"/>
  <c r="V71" i="4"/>
  <c r="I43" i="1"/>
  <c r="W42" i="4"/>
  <c r="W34" i="4"/>
  <c r="W26" i="4"/>
  <c r="W18" i="4"/>
  <c r="V53" i="4"/>
  <c r="A8" i="1"/>
  <c r="B26" i="1"/>
  <c r="R48" i="4"/>
  <c r="V48" i="4" s="1"/>
  <c r="S52" i="4"/>
  <c r="X52" i="4" s="1"/>
  <c r="R55" i="4"/>
  <c r="V55" i="4" s="1"/>
  <c r="R67" i="4"/>
  <c r="V67" i="4" s="1"/>
  <c r="S62" i="4"/>
  <c r="X62" i="4" s="1"/>
  <c r="I11" i="5" l="1"/>
  <c r="V56" i="4"/>
  <c r="V70" i="4"/>
  <c r="V74" i="4"/>
  <c r="W6" i="4"/>
  <c r="AD77" i="4"/>
  <c r="I12" i="5" l="1"/>
  <c r="I13" i="5" l="1"/>
  <c r="I14" i="5" l="1"/>
  <c r="I15" i="5" l="1"/>
  <c r="I16" i="5" l="1"/>
  <c r="I17" i="5" l="1"/>
  <c r="I18" i="5" l="1"/>
  <c r="I19" i="5" s="1"/>
  <c r="I20" i="5" s="1"/>
  <c r="H29" i="2"/>
  <c r="H28" i="4" s="1"/>
  <c r="I28" i="4" s="1"/>
  <c r="Q28" i="4" s="1"/>
  <c r="H65" i="2"/>
  <c r="H64" i="4" s="1"/>
  <c r="I64" i="4" s="1"/>
  <c r="Q64" i="4" s="1"/>
  <c r="H53" i="2"/>
  <c r="H52" i="4" s="1"/>
  <c r="I52" i="4" s="1"/>
  <c r="Q52" i="4" s="1"/>
  <c r="H19" i="2"/>
  <c r="H18" i="4" s="1"/>
  <c r="I18" i="4" s="1"/>
  <c r="Q18" i="4" s="1"/>
  <c r="H32" i="2"/>
  <c r="H31" i="4" s="1"/>
  <c r="I31" i="4" s="1"/>
  <c r="Q31" i="4" s="1"/>
  <c r="H76" i="2"/>
  <c r="H75" i="4" s="1"/>
  <c r="I75" i="4" s="1"/>
  <c r="Q75" i="4" s="1"/>
  <c r="H13" i="2"/>
  <c r="H12" i="4" s="1"/>
  <c r="I12" i="4" s="1"/>
  <c r="Q12" i="4" s="1"/>
  <c r="H45" i="2"/>
  <c r="H44" i="4" s="1"/>
  <c r="I44" i="4" s="1"/>
  <c r="Q44" i="4" s="1"/>
  <c r="H52" i="2"/>
  <c r="H51" i="4" s="1"/>
  <c r="I51" i="4" s="1"/>
  <c r="Q51" i="4" s="1"/>
  <c r="H48" i="2"/>
  <c r="H47" i="4" s="1"/>
  <c r="I47" i="4" s="1"/>
  <c r="Q47" i="4" s="1"/>
  <c r="H57" i="2"/>
  <c r="H56" i="4" s="1"/>
  <c r="I56" i="4" s="1"/>
  <c r="Q56" i="4" s="1"/>
  <c r="H41" i="2"/>
  <c r="H40" i="4" s="1"/>
  <c r="I40" i="4" s="1"/>
  <c r="Q40" i="4" s="1"/>
  <c r="H25" i="2"/>
  <c r="H24" i="4" s="1"/>
  <c r="I24" i="4" s="1"/>
  <c r="Q24" i="4" s="1"/>
  <c r="H69" i="2"/>
  <c r="H68" i="4" s="1"/>
  <c r="I68" i="4" s="1"/>
  <c r="Q68" i="4" s="1"/>
  <c r="H28" i="2"/>
  <c r="H27" i="4" s="1"/>
  <c r="I27" i="4" s="1"/>
  <c r="Q27" i="4" s="1"/>
  <c r="H24" i="2"/>
  <c r="H23" i="4" s="1"/>
  <c r="I23" i="4" s="1"/>
  <c r="Q23" i="4" s="1"/>
  <c r="H12" i="2"/>
  <c r="H11" i="4" s="1"/>
  <c r="I11" i="4" s="1"/>
  <c r="Q11" i="4" s="1"/>
  <c r="H17" i="2"/>
  <c r="H16" i="4" s="1"/>
  <c r="I16" i="4" s="1"/>
  <c r="Q16" i="4" s="1"/>
  <c r="H36" i="2"/>
  <c r="H35" i="4" s="1"/>
  <c r="I35" i="4" s="1"/>
  <c r="Q35" i="4" s="1"/>
  <c r="H72" i="2"/>
  <c r="H71" i="4" s="1"/>
  <c r="I71" i="4" s="1"/>
  <c r="Q71" i="4" s="1"/>
  <c r="H9" i="2" l="1"/>
  <c r="H8" i="4" s="1"/>
  <c r="I8" i="4" s="1"/>
  <c r="Q8" i="4" s="1"/>
  <c r="T8" i="4" s="1"/>
  <c r="H64" i="2"/>
  <c r="H63" i="4" s="1"/>
  <c r="I63" i="4" s="1"/>
  <c r="Q63" i="4" s="1"/>
  <c r="T63" i="4" s="1"/>
  <c r="H40" i="2"/>
  <c r="H39" i="4" s="1"/>
  <c r="I39" i="4" s="1"/>
  <c r="Q39" i="4" s="1"/>
  <c r="T39" i="4" s="1"/>
  <c r="H21" i="2"/>
  <c r="H20" i="4" s="1"/>
  <c r="I20" i="4" s="1"/>
  <c r="Q20" i="4" s="1"/>
  <c r="T20" i="4" s="1"/>
  <c r="U11" i="4"/>
  <c r="AA11" i="4"/>
  <c r="T11" i="4"/>
  <c r="T27" i="4"/>
  <c r="U27" i="4"/>
  <c r="AA27" i="4"/>
  <c r="U12" i="4"/>
  <c r="T12" i="4"/>
  <c r="AA12" i="4"/>
  <c r="H44" i="2"/>
  <c r="H43" i="4" s="1"/>
  <c r="I43" i="4" s="1"/>
  <c r="Q43" i="4" s="1"/>
  <c r="U68" i="4"/>
  <c r="AA68" i="4"/>
  <c r="T68" i="4"/>
  <c r="U75" i="4"/>
  <c r="AA75" i="4"/>
  <c r="T75" i="4"/>
  <c r="U24" i="4"/>
  <c r="T24" i="4"/>
  <c r="AA24" i="4"/>
  <c r="T31" i="4"/>
  <c r="U31" i="4"/>
  <c r="AA31" i="4"/>
  <c r="H37" i="2"/>
  <c r="H36" i="4" s="1"/>
  <c r="I36" i="4" s="1"/>
  <c r="Q36" i="4" s="1"/>
  <c r="U71" i="4"/>
  <c r="T71" i="4"/>
  <c r="AA71" i="4"/>
  <c r="T40" i="4"/>
  <c r="AA40" i="4"/>
  <c r="U40" i="4"/>
  <c r="AA18" i="4"/>
  <c r="U18" i="4"/>
  <c r="T18" i="4"/>
  <c r="H60" i="2"/>
  <c r="H59" i="4" s="1"/>
  <c r="I59" i="4" s="1"/>
  <c r="Q59" i="4" s="1"/>
  <c r="U56" i="4"/>
  <c r="AA56" i="4"/>
  <c r="T56" i="4"/>
  <c r="U52" i="4"/>
  <c r="T52" i="4"/>
  <c r="AA52" i="4"/>
  <c r="U28" i="4"/>
  <c r="T28" i="4"/>
  <c r="AA28" i="4"/>
  <c r="U35" i="4"/>
  <c r="AA35" i="4"/>
  <c r="T35" i="4"/>
  <c r="U64" i="4"/>
  <c r="AA64" i="4"/>
  <c r="T64" i="4"/>
  <c r="T47" i="4"/>
  <c r="U47" i="4"/>
  <c r="AA47" i="4"/>
  <c r="T51" i="4"/>
  <c r="AA51" i="4"/>
  <c r="U51" i="4"/>
  <c r="U8" i="4"/>
  <c r="H16" i="2"/>
  <c r="H15" i="4" s="1"/>
  <c r="I15" i="4" s="1"/>
  <c r="Q15" i="4" s="1"/>
  <c r="AA16" i="4"/>
  <c r="T16" i="4"/>
  <c r="U16" i="4"/>
  <c r="T23" i="4"/>
  <c r="U23" i="4"/>
  <c r="AA23" i="4"/>
  <c r="U44" i="4"/>
  <c r="T44" i="4"/>
  <c r="AA44" i="4"/>
  <c r="U63" i="4"/>
  <c r="AA63" i="4"/>
  <c r="H71" i="2"/>
  <c r="H70" i="4" s="1"/>
  <c r="I70" i="4" s="1"/>
  <c r="Q70" i="4" s="1"/>
  <c r="H34" i="2"/>
  <c r="H33" i="4" s="1"/>
  <c r="I33" i="4" s="1"/>
  <c r="Q33" i="4" s="1"/>
  <c r="H15" i="2"/>
  <c r="H14" i="4" s="1"/>
  <c r="I14" i="4" s="1"/>
  <c r="Q14" i="4" s="1"/>
  <c r="H31" i="2"/>
  <c r="H30" i="4" s="1"/>
  <c r="I30" i="4" s="1"/>
  <c r="Q30" i="4" s="1"/>
  <c r="H5" i="2"/>
  <c r="H55" i="2"/>
  <c r="H54" i="4" s="1"/>
  <c r="I54" i="4" s="1"/>
  <c r="Q54" i="4" s="1"/>
  <c r="H61" i="2"/>
  <c r="H60" i="4" s="1"/>
  <c r="I60" i="4" s="1"/>
  <c r="Q60" i="4" s="1"/>
  <c r="H47" i="2"/>
  <c r="H46" i="4" s="1"/>
  <c r="I46" i="4" s="1"/>
  <c r="Q46" i="4" s="1"/>
  <c r="H51" i="2"/>
  <c r="H50" i="4" s="1"/>
  <c r="I50" i="4" s="1"/>
  <c r="Q50" i="4" s="1"/>
  <c r="H35" i="2"/>
  <c r="H34" i="4" s="1"/>
  <c r="I34" i="4" s="1"/>
  <c r="Q34" i="4" s="1"/>
  <c r="H14" i="2"/>
  <c r="H13" i="4" s="1"/>
  <c r="I13" i="4" s="1"/>
  <c r="Q13" i="4" s="1"/>
  <c r="H46" i="2"/>
  <c r="H45" i="4" s="1"/>
  <c r="I45" i="4" s="1"/>
  <c r="Q45" i="4" s="1"/>
  <c r="H75" i="2"/>
  <c r="H74" i="4" s="1"/>
  <c r="I74" i="4" s="1"/>
  <c r="Q74" i="4" s="1"/>
  <c r="H23" i="2"/>
  <c r="H22" i="4" s="1"/>
  <c r="I22" i="4" s="1"/>
  <c r="Q22" i="4" s="1"/>
  <c r="H67" i="2"/>
  <c r="H66" i="4" s="1"/>
  <c r="I66" i="4" s="1"/>
  <c r="Q66" i="4" s="1"/>
  <c r="H50" i="2"/>
  <c r="H49" i="4" s="1"/>
  <c r="I49" i="4" s="1"/>
  <c r="Q49" i="4" s="1"/>
  <c r="H30" i="2"/>
  <c r="H29" i="4" s="1"/>
  <c r="I29" i="4" s="1"/>
  <c r="Q29" i="4" s="1"/>
  <c r="H59" i="2"/>
  <c r="H58" i="4" s="1"/>
  <c r="I58" i="4" s="1"/>
  <c r="Q58" i="4" s="1"/>
  <c r="H49" i="2"/>
  <c r="H48" i="4" s="1"/>
  <c r="I48" i="4" s="1"/>
  <c r="Q48" i="4" s="1"/>
  <c r="H74" i="2"/>
  <c r="H73" i="4" s="1"/>
  <c r="I73" i="4" s="1"/>
  <c r="Q73" i="4" s="1"/>
  <c r="H33" i="2"/>
  <c r="H32" i="4" s="1"/>
  <c r="I32" i="4" s="1"/>
  <c r="Q32" i="4" s="1"/>
  <c r="H39" i="2"/>
  <c r="H38" i="4" s="1"/>
  <c r="I38" i="4" s="1"/>
  <c r="Q38" i="4" s="1"/>
  <c r="H20" i="2"/>
  <c r="H19" i="4" s="1"/>
  <c r="I19" i="4" s="1"/>
  <c r="Q19" i="4" s="1"/>
  <c r="H77" i="2"/>
  <c r="H76" i="4" s="1"/>
  <c r="I76" i="4" s="1"/>
  <c r="Q76" i="4" s="1"/>
  <c r="H8" i="2"/>
  <c r="H7" i="4" s="1"/>
  <c r="I7" i="4" s="1"/>
  <c r="Q7" i="4" s="1"/>
  <c r="H70" i="2"/>
  <c r="H69" i="4" s="1"/>
  <c r="I69" i="4" s="1"/>
  <c r="Q69" i="4" s="1"/>
  <c r="H11" i="2"/>
  <c r="H10" i="4" s="1"/>
  <c r="I10" i="4" s="1"/>
  <c r="Q10" i="4" s="1"/>
  <c r="H26" i="2"/>
  <c r="H25" i="4" s="1"/>
  <c r="I25" i="4" s="1"/>
  <c r="Q25" i="4" s="1"/>
  <c r="H56" i="2"/>
  <c r="H55" i="4" s="1"/>
  <c r="I55" i="4" s="1"/>
  <c r="Q55" i="4" s="1"/>
  <c r="H73" i="2"/>
  <c r="H72" i="4" s="1"/>
  <c r="I72" i="4" s="1"/>
  <c r="Q72" i="4" s="1"/>
  <c r="H58" i="2"/>
  <c r="H57" i="4" s="1"/>
  <c r="I57" i="4" s="1"/>
  <c r="Q57" i="4" s="1"/>
  <c r="H54" i="2"/>
  <c r="H53" i="4" s="1"/>
  <c r="I53" i="4" s="1"/>
  <c r="Q53" i="4" s="1"/>
  <c r="H42" i="2"/>
  <c r="H41" i="4" s="1"/>
  <c r="I41" i="4" s="1"/>
  <c r="Q41" i="4" s="1"/>
  <c r="H68" i="2"/>
  <c r="H67" i="4" s="1"/>
  <c r="I67" i="4" s="1"/>
  <c r="Q67" i="4" s="1"/>
  <c r="H10" i="2"/>
  <c r="H9" i="4" s="1"/>
  <c r="I9" i="4" s="1"/>
  <c r="Q9" i="4" s="1"/>
  <c r="H6" i="2"/>
  <c r="H5" i="4" s="1"/>
  <c r="I5" i="4" s="1"/>
  <c r="Q5" i="4" s="1"/>
  <c r="H22" i="2"/>
  <c r="H21" i="4" s="1"/>
  <c r="I21" i="4" s="1"/>
  <c r="Q21" i="4" s="1"/>
  <c r="H38" i="2"/>
  <c r="H37" i="4" s="1"/>
  <c r="I37" i="4" s="1"/>
  <c r="Q37" i="4" s="1"/>
  <c r="H27" i="2"/>
  <c r="H26" i="4" s="1"/>
  <c r="I26" i="4" s="1"/>
  <c r="Q26" i="4" s="1"/>
  <c r="H7" i="2"/>
  <c r="H6" i="4" s="1"/>
  <c r="I6" i="4" s="1"/>
  <c r="Q6" i="4" s="1"/>
  <c r="H62" i="2"/>
  <c r="H61" i="4" s="1"/>
  <c r="I61" i="4" s="1"/>
  <c r="Q61" i="4" s="1"/>
  <c r="H66" i="2"/>
  <c r="H65" i="4" s="1"/>
  <c r="I65" i="4" s="1"/>
  <c r="Q65" i="4" s="1"/>
  <c r="H43" i="2"/>
  <c r="H42" i="4" s="1"/>
  <c r="I42" i="4" s="1"/>
  <c r="Q42" i="4" s="1"/>
  <c r="H63" i="2"/>
  <c r="H62" i="4" s="1"/>
  <c r="I62" i="4" s="1"/>
  <c r="Q62" i="4" s="1"/>
  <c r="H18" i="2"/>
  <c r="H17" i="4" s="1"/>
  <c r="I17" i="4" s="1"/>
  <c r="Q17" i="4" s="1"/>
  <c r="AA8" i="4" l="1"/>
  <c r="AA20" i="4"/>
  <c r="U20" i="4"/>
  <c r="AA39" i="4"/>
  <c r="U39" i="4"/>
  <c r="U53" i="4"/>
  <c r="AA53" i="4"/>
  <c r="T53" i="4"/>
  <c r="U72" i="4"/>
  <c r="AA72" i="4"/>
  <c r="T72" i="4"/>
  <c r="U62" i="4"/>
  <c r="AA62" i="4"/>
  <c r="T62" i="4"/>
  <c r="U25" i="4"/>
  <c r="T25" i="4"/>
  <c r="AA25" i="4"/>
  <c r="U73" i="4"/>
  <c r="T73" i="4"/>
  <c r="AA73" i="4"/>
  <c r="AA45" i="4"/>
  <c r="U45" i="4"/>
  <c r="T45" i="4"/>
  <c r="U30" i="4"/>
  <c r="AA30" i="4"/>
  <c r="T30" i="4"/>
  <c r="AC44" i="4"/>
  <c r="AB44" i="4"/>
  <c r="AD44" i="4" s="1"/>
  <c r="Z44" i="4"/>
  <c r="T15" i="4"/>
  <c r="U15" i="4"/>
  <c r="AA15" i="4"/>
  <c r="AB35" i="4"/>
  <c r="AD35" i="4" s="1"/>
  <c r="Z35" i="4"/>
  <c r="AC35" i="4"/>
  <c r="AB75" i="4"/>
  <c r="AD75" i="4" s="1"/>
  <c r="Z75" i="4"/>
  <c r="AC75" i="4"/>
  <c r="Z12" i="4"/>
  <c r="AC12" i="4"/>
  <c r="AB12" i="4"/>
  <c r="AD12" i="4" s="1"/>
  <c r="U6" i="4"/>
  <c r="AA6" i="4"/>
  <c r="T6" i="4"/>
  <c r="U38" i="4"/>
  <c r="AA38" i="4"/>
  <c r="T38" i="4"/>
  <c r="T5" i="4"/>
  <c r="U5" i="4"/>
  <c r="AA5" i="4"/>
  <c r="U42" i="4"/>
  <c r="AA42" i="4"/>
  <c r="T42" i="4"/>
  <c r="T9" i="4"/>
  <c r="U9" i="4"/>
  <c r="AA9" i="4"/>
  <c r="AA10" i="4"/>
  <c r="U10" i="4"/>
  <c r="T10" i="4"/>
  <c r="U48" i="4"/>
  <c r="T48" i="4"/>
  <c r="AA48" i="4"/>
  <c r="T13" i="4"/>
  <c r="U13" i="4"/>
  <c r="AA13" i="4"/>
  <c r="AA14" i="4"/>
  <c r="U14" i="4"/>
  <c r="T14" i="4"/>
  <c r="AF8" i="4"/>
  <c r="AB47" i="4"/>
  <c r="AD47" i="4" s="1"/>
  <c r="Z47" i="4"/>
  <c r="AC47" i="4"/>
  <c r="AF35" i="4"/>
  <c r="AC56" i="4"/>
  <c r="Z56" i="4"/>
  <c r="AB56" i="4"/>
  <c r="AD56" i="4" s="1"/>
  <c r="AF40" i="4"/>
  <c r="AB31" i="4"/>
  <c r="AD31" i="4" s="1"/>
  <c r="Z31" i="4"/>
  <c r="AC31" i="4"/>
  <c r="AF75" i="4"/>
  <c r="AL75" i="4"/>
  <c r="AK75" i="4"/>
  <c r="U65" i="4"/>
  <c r="T65" i="4"/>
  <c r="AA65" i="4"/>
  <c r="U67" i="4"/>
  <c r="AA67" i="4"/>
  <c r="T67" i="4"/>
  <c r="U69" i="4"/>
  <c r="AA69" i="4"/>
  <c r="T69" i="4"/>
  <c r="U58" i="4"/>
  <c r="AA58" i="4"/>
  <c r="T58" i="4"/>
  <c r="AA34" i="4"/>
  <c r="U34" i="4"/>
  <c r="T34" i="4"/>
  <c r="AA33" i="4"/>
  <c r="U33" i="4"/>
  <c r="T33" i="4"/>
  <c r="AF23" i="4"/>
  <c r="AB8" i="4"/>
  <c r="AD8" i="4" s="1"/>
  <c r="Z8" i="4"/>
  <c r="AC8" i="4"/>
  <c r="AK20" i="4"/>
  <c r="AF20" i="4"/>
  <c r="AF56" i="4"/>
  <c r="AB40" i="4"/>
  <c r="AD40" i="4" s="1"/>
  <c r="Z40" i="4"/>
  <c r="AC40" i="4"/>
  <c r="AF24" i="4"/>
  <c r="AF27" i="4"/>
  <c r="AA61" i="4"/>
  <c r="T61" i="4"/>
  <c r="U61" i="4"/>
  <c r="AA41" i="4"/>
  <c r="U41" i="4"/>
  <c r="T41" i="4"/>
  <c r="U7" i="4"/>
  <c r="AA7" i="4"/>
  <c r="T7" i="4"/>
  <c r="U29" i="4"/>
  <c r="T29" i="4"/>
  <c r="AA29" i="4"/>
  <c r="T50" i="4"/>
  <c r="U50" i="4"/>
  <c r="AA50" i="4"/>
  <c r="U70" i="4"/>
  <c r="AA70" i="4"/>
  <c r="T70" i="4"/>
  <c r="AC20" i="4"/>
  <c r="AB20" i="4"/>
  <c r="AD20" i="4" s="1"/>
  <c r="Z20" i="4"/>
  <c r="AF28" i="4"/>
  <c r="AF71" i="4"/>
  <c r="AC24" i="4"/>
  <c r="AB24" i="4"/>
  <c r="AD24" i="4" s="1"/>
  <c r="Z24" i="4"/>
  <c r="AC68" i="4"/>
  <c r="AB68" i="4"/>
  <c r="AD68" i="4" s="1"/>
  <c r="Z68" i="4"/>
  <c r="T76" i="4"/>
  <c r="AA76" i="4"/>
  <c r="U76" i="4"/>
  <c r="T49" i="4"/>
  <c r="AA49" i="4"/>
  <c r="U49" i="4"/>
  <c r="AA46" i="4"/>
  <c r="U46" i="4"/>
  <c r="T46" i="4"/>
  <c r="AF63" i="4"/>
  <c r="AB23" i="4"/>
  <c r="AD23" i="4" s="1"/>
  <c r="Z23" i="4"/>
  <c r="AC23" i="4"/>
  <c r="Z28" i="4"/>
  <c r="AC28" i="4"/>
  <c r="AB28" i="4"/>
  <c r="AD28" i="4" s="1"/>
  <c r="U59" i="4"/>
  <c r="T59" i="4"/>
  <c r="AA59" i="4"/>
  <c r="AC71" i="4"/>
  <c r="AB71" i="4"/>
  <c r="AD71" i="4" s="1"/>
  <c r="Z71" i="4"/>
  <c r="AF68" i="4"/>
  <c r="AK68" i="4"/>
  <c r="AB27" i="4"/>
  <c r="AD27" i="4" s="1"/>
  <c r="Z27" i="4"/>
  <c r="AC27" i="4"/>
  <c r="U26" i="4"/>
  <c r="AA26" i="4"/>
  <c r="T26" i="4"/>
  <c r="AA57" i="4"/>
  <c r="U57" i="4"/>
  <c r="T57" i="4"/>
  <c r="T19" i="4"/>
  <c r="U19" i="4"/>
  <c r="AA19" i="4"/>
  <c r="AA66" i="4"/>
  <c r="U66" i="4"/>
  <c r="T66" i="4"/>
  <c r="U60" i="4"/>
  <c r="AA60" i="4"/>
  <c r="T60" i="4"/>
  <c r="Z63" i="4"/>
  <c r="AC63" i="4"/>
  <c r="AB63" i="4"/>
  <c r="AD63" i="4" s="1"/>
  <c r="AF51" i="4"/>
  <c r="AC64" i="4"/>
  <c r="AB64" i="4"/>
  <c r="AD64" i="4" s="1"/>
  <c r="Z64" i="4"/>
  <c r="Z18" i="4"/>
  <c r="AC18" i="4"/>
  <c r="AB18" i="4"/>
  <c r="AD18" i="4" s="1"/>
  <c r="AF39" i="4"/>
  <c r="AB11" i="4"/>
  <c r="AD11" i="4" s="1"/>
  <c r="Z11" i="4"/>
  <c r="AC11" i="4"/>
  <c r="AA22" i="4"/>
  <c r="U22" i="4"/>
  <c r="T22" i="4"/>
  <c r="U54" i="4"/>
  <c r="AA54" i="4"/>
  <c r="T54" i="4"/>
  <c r="Z16" i="4"/>
  <c r="AC16" i="4"/>
  <c r="AB16" i="4"/>
  <c r="AD16" i="4" s="1"/>
  <c r="Z51" i="4"/>
  <c r="AC51" i="4"/>
  <c r="AB51" i="4"/>
  <c r="AD51" i="4" s="1"/>
  <c r="AF64" i="4"/>
  <c r="AF52" i="4"/>
  <c r="U36" i="4"/>
  <c r="T36" i="4"/>
  <c r="AA36" i="4"/>
  <c r="T43" i="4"/>
  <c r="U43" i="4"/>
  <c r="AA43" i="4"/>
  <c r="AL11" i="4"/>
  <c r="AF11" i="4"/>
  <c r="AK11" i="4"/>
  <c r="U37" i="4"/>
  <c r="T37" i="4"/>
  <c r="AA37" i="4"/>
  <c r="T17" i="4"/>
  <c r="U17" i="4"/>
  <c r="AA17" i="4"/>
  <c r="AA21" i="4"/>
  <c r="U21" i="4"/>
  <c r="T21" i="4"/>
  <c r="AA55" i="4"/>
  <c r="U55" i="4"/>
  <c r="T55" i="4"/>
  <c r="AA32" i="4"/>
  <c r="U32" i="4"/>
  <c r="T32" i="4"/>
  <c r="U74" i="4"/>
  <c r="AA74" i="4"/>
  <c r="T74" i="4"/>
  <c r="H4" i="4"/>
  <c r="I4" i="4" s="1"/>
  <c r="A9" i="1" s="1"/>
  <c r="A77" i="4"/>
  <c r="AF44" i="4"/>
  <c r="AK44" i="4"/>
  <c r="AL44" i="4"/>
  <c r="AF16" i="4"/>
  <c r="AF47" i="4"/>
  <c r="AL47" i="4"/>
  <c r="AC52" i="4"/>
  <c r="AB52" i="4"/>
  <c r="AD52" i="4" s="1"/>
  <c r="Z52" i="4"/>
  <c r="AF18" i="4"/>
  <c r="AL31" i="4"/>
  <c r="AK31" i="4"/>
  <c r="AF31" i="4"/>
  <c r="AB39" i="4"/>
  <c r="AD39" i="4" s="1"/>
  <c r="Z39" i="4"/>
  <c r="AC39" i="4"/>
  <c r="AF12" i="4"/>
  <c r="AL64" i="4" l="1"/>
  <c r="AK64" i="4"/>
  <c r="AL71" i="4"/>
  <c r="AK24" i="4"/>
  <c r="AL24" i="4"/>
  <c r="AK71" i="4"/>
  <c r="AK27" i="4"/>
  <c r="AL40" i="4"/>
  <c r="AL27" i="4"/>
  <c r="AK40" i="4"/>
  <c r="AL51" i="4"/>
  <c r="AC73" i="4"/>
  <c r="AB73" i="4"/>
  <c r="AD73" i="4" s="1"/>
  <c r="Z73" i="4"/>
  <c r="AF21" i="4"/>
  <c r="AF69" i="4"/>
  <c r="AF10" i="4"/>
  <c r="AF25" i="4"/>
  <c r="AC53" i="4"/>
  <c r="AB53" i="4"/>
  <c r="AD53" i="4" s="1"/>
  <c r="Z53" i="4"/>
  <c r="AK18" i="4"/>
  <c r="AC55" i="4"/>
  <c r="AB55" i="4"/>
  <c r="AD55" i="4" s="1"/>
  <c r="Z55" i="4"/>
  <c r="AK28" i="4"/>
  <c r="AF55" i="4"/>
  <c r="AC37" i="4"/>
  <c r="AB37" i="4"/>
  <c r="AD37" i="4" s="1"/>
  <c r="Z37" i="4"/>
  <c r="AF36" i="4"/>
  <c r="AF54" i="4"/>
  <c r="AL39" i="4"/>
  <c r="AF60" i="4"/>
  <c r="AB57" i="4"/>
  <c r="AD57" i="4" s="1"/>
  <c r="AC57" i="4"/>
  <c r="Z57" i="4"/>
  <c r="AB59" i="4"/>
  <c r="AD59" i="4" s="1"/>
  <c r="Z59" i="4"/>
  <c r="AC59" i="4"/>
  <c r="AK63" i="4"/>
  <c r="AC49" i="4"/>
  <c r="AB49" i="4"/>
  <c r="AD49" i="4" s="1"/>
  <c r="Z49" i="4"/>
  <c r="AB50" i="4"/>
  <c r="AD50" i="4" s="1"/>
  <c r="AC50" i="4"/>
  <c r="Z50" i="4"/>
  <c r="AL23" i="4"/>
  <c r="AB58" i="4"/>
  <c r="AD58" i="4" s="1"/>
  <c r="AC58" i="4"/>
  <c r="Z58" i="4"/>
  <c r="AL35" i="4"/>
  <c r="AL8" i="4"/>
  <c r="AB48" i="4"/>
  <c r="AD48" i="4" s="1"/>
  <c r="Z48" i="4"/>
  <c r="AC48" i="4"/>
  <c r="Z42" i="4"/>
  <c r="AC42" i="4"/>
  <c r="AB42" i="4"/>
  <c r="AD42" i="4" s="1"/>
  <c r="AF45" i="4"/>
  <c r="AF62" i="4"/>
  <c r="AB65" i="4"/>
  <c r="AD65" i="4" s="1"/>
  <c r="Z65" i="4"/>
  <c r="AC65" i="4"/>
  <c r="AC10" i="4"/>
  <c r="AB10" i="4"/>
  <c r="AD10" i="4" s="1"/>
  <c r="Z10" i="4"/>
  <c r="AB26" i="4"/>
  <c r="AD26" i="4" s="1"/>
  <c r="Z26" i="4"/>
  <c r="AC26" i="4"/>
  <c r="AC76" i="4"/>
  <c r="Z76" i="4"/>
  <c r="AB76" i="4"/>
  <c r="AD76" i="4" s="1"/>
  <c r="AF14" i="4"/>
  <c r="AL14" i="4"/>
  <c r="AK14" i="4"/>
  <c r="Z30" i="4"/>
  <c r="AC30" i="4"/>
  <c r="AB30" i="4"/>
  <c r="AD30" i="4" s="1"/>
  <c r="AF17" i="4"/>
  <c r="AF22" i="4"/>
  <c r="AF26" i="4"/>
  <c r="AL16" i="4"/>
  <c r="AC74" i="4"/>
  <c r="AB74" i="4"/>
  <c r="AD74" i="4" s="1"/>
  <c r="Z74" i="4"/>
  <c r="AF74" i="4"/>
  <c r="Z21" i="4"/>
  <c r="AC21" i="4"/>
  <c r="AB21" i="4"/>
  <c r="AD21" i="4" s="1"/>
  <c r="AC36" i="4"/>
  <c r="AB36" i="4"/>
  <c r="AD36" i="4" s="1"/>
  <c r="Z36" i="4"/>
  <c r="AK39" i="4"/>
  <c r="AK51" i="4"/>
  <c r="AL68" i="4"/>
  <c r="AL63" i="4"/>
  <c r="AF29" i="4"/>
  <c r="AF41" i="4"/>
  <c r="AL20" i="4"/>
  <c r="AF58" i="4"/>
  <c r="AF65" i="4"/>
  <c r="AL65" i="4"/>
  <c r="AK65" i="4"/>
  <c r="AK35" i="4"/>
  <c r="Z14" i="4"/>
  <c r="AC14" i="4"/>
  <c r="AB14" i="4"/>
  <c r="AD14" i="4" s="1"/>
  <c r="AF42" i="4"/>
  <c r="AC6" i="4"/>
  <c r="Z6" i="4"/>
  <c r="AB6" i="4"/>
  <c r="AD6" i="4" s="1"/>
  <c r="AF73" i="4"/>
  <c r="Z29" i="4"/>
  <c r="AC29" i="4"/>
  <c r="AB29" i="4"/>
  <c r="AD29" i="4" s="1"/>
  <c r="AB33" i="4"/>
  <c r="AD33" i="4" s="1"/>
  <c r="Z33" i="4"/>
  <c r="AC33" i="4"/>
  <c r="AF6" i="4"/>
  <c r="AC61" i="4"/>
  <c r="AB61" i="4"/>
  <c r="AD61" i="4" s="1"/>
  <c r="Z61" i="4"/>
  <c r="Z22" i="4"/>
  <c r="AC22" i="4"/>
  <c r="AB22" i="4"/>
  <c r="AD22" i="4" s="1"/>
  <c r="AF57" i="4"/>
  <c r="AL57" i="4"/>
  <c r="AK57" i="4"/>
  <c r="AF76" i="4"/>
  <c r="AC32" i="4"/>
  <c r="AB32" i="4"/>
  <c r="AD32" i="4" s="1"/>
  <c r="Z32" i="4"/>
  <c r="AC70" i="4"/>
  <c r="AB70" i="4"/>
  <c r="AD70" i="4" s="1"/>
  <c r="Z70" i="4"/>
  <c r="AF5" i="4"/>
  <c r="AF72" i="4"/>
  <c r="AK52" i="4"/>
  <c r="AB7" i="4"/>
  <c r="AD7" i="4" s="1"/>
  <c r="Z7" i="4"/>
  <c r="AC7" i="4"/>
  <c r="AF33" i="4"/>
  <c r="AK33" i="4"/>
  <c r="AC66" i="4"/>
  <c r="Z66" i="4"/>
  <c r="AB66" i="4"/>
  <c r="AD66" i="4" s="1"/>
  <c r="AC72" i="4"/>
  <c r="AB72" i="4"/>
  <c r="AD72" i="4" s="1"/>
  <c r="Z72" i="4"/>
  <c r="AL52" i="4"/>
  <c r="Z46" i="4"/>
  <c r="AC46" i="4"/>
  <c r="AB46" i="4"/>
  <c r="AD46" i="4" s="1"/>
  <c r="Z69" i="4"/>
  <c r="AC69" i="4"/>
  <c r="AB69" i="4"/>
  <c r="AD69" i="4" s="1"/>
  <c r="AF66" i="4"/>
  <c r="AL66" i="4"/>
  <c r="AF70" i="4"/>
  <c r="AF61" i="4"/>
  <c r="AL61" i="4"/>
  <c r="AK61" i="4"/>
  <c r="AF13" i="4"/>
  <c r="AF30" i="4"/>
  <c r="AK30" i="4"/>
  <c r="AL30" i="4"/>
  <c r="AF32" i="4"/>
  <c r="AF43" i="4"/>
  <c r="AF19" i="4"/>
  <c r="AF46" i="4"/>
  <c r="AF7" i="4"/>
  <c r="AL7" i="4"/>
  <c r="Z34" i="4"/>
  <c r="AC34" i="4"/>
  <c r="AB34" i="4"/>
  <c r="AD34" i="4" s="1"/>
  <c r="AF9" i="4"/>
  <c r="AB5" i="4"/>
  <c r="AD5" i="4" s="1"/>
  <c r="Z5" i="4"/>
  <c r="AC5" i="4"/>
  <c r="AF15" i="4"/>
  <c r="Z25" i="4"/>
  <c r="AC25" i="4"/>
  <c r="AB25" i="4"/>
  <c r="AD25" i="4" s="1"/>
  <c r="AL12" i="4"/>
  <c r="AK47" i="4"/>
  <c r="AB17" i="4"/>
  <c r="AD17" i="4" s="1"/>
  <c r="Z17" i="4"/>
  <c r="AC17" i="4"/>
  <c r="AK50" i="4"/>
  <c r="AF50" i="4"/>
  <c r="AL50" i="4"/>
  <c r="AK56" i="4"/>
  <c r="AB67" i="4"/>
  <c r="AD67" i="4" s="1"/>
  <c r="Z67" i="4"/>
  <c r="AC67" i="4"/>
  <c r="AK8" i="4"/>
  <c r="AC13" i="4"/>
  <c r="AB13" i="4"/>
  <c r="AD13" i="4" s="1"/>
  <c r="Z13" i="4"/>
  <c r="Z38" i="4"/>
  <c r="AC38" i="4"/>
  <c r="AB38" i="4"/>
  <c r="AD38" i="4" s="1"/>
  <c r="AC45" i="4"/>
  <c r="AB45" i="4"/>
  <c r="AD45" i="4" s="1"/>
  <c r="Z45" i="4"/>
  <c r="AF53" i="4"/>
  <c r="AL53" i="4"/>
  <c r="AK53" i="4"/>
  <c r="AK12" i="4"/>
  <c r="AL18" i="4"/>
  <c r="AK16" i="4"/>
  <c r="Q4" i="4"/>
  <c r="H40" i="1"/>
  <c r="C26" i="1"/>
  <c r="D26" i="1" s="1"/>
  <c r="H48" i="1"/>
  <c r="H46" i="1"/>
  <c r="H44" i="1"/>
  <c r="H42" i="1"/>
  <c r="H47" i="1"/>
  <c r="H45" i="1"/>
  <c r="H41" i="1"/>
  <c r="H39" i="1"/>
  <c r="H43" i="1"/>
  <c r="AF37" i="4"/>
  <c r="AB43" i="4"/>
  <c r="AD43" i="4" s="1"/>
  <c r="Z43" i="4"/>
  <c r="AC43" i="4"/>
  <c r="AC54" i="4"/>
  <c r="Z54" i="4"/>
  <c r="AB54" i="4"/>
  <c r="AD54" i="4" s="1"/>
  <c r="AC60" i="4"/>
  <c r="AB60" i="4"/>
  <c r="AD60" i="4" s="1"/>
  <c r="Z60" i="4"/>
  <c r="Z19" i="4"/>
  <c r="AC19" i="4"/>
  <c r="AB19" i="4"/>
  <c r="AD19" i="4" s="1"/>
  <c r="AF59" i="4"/>
  <c r="AF49" i="4"/>
  <c r="AK49" i="4"/>
  <c r="AL49" i="4"/>
  <c r="AL28" i="4"/>
  <c r="AB41" i="4"/>
  <c r="AD41" i="4" s="1"/>
  <c r="Z41" i="4"/>
  <c r="AC41" i="4"/>
  <c r="AL56" i="4"/>
  <c r="AK23" i="4"/>
  <c r="AF34" i="4"/>
  <c r="AK34" i="4"/>
  <c r="AL34" i="4"/>
  <c r="AF67" i="4"/>
  <c r="AF48" i="4"/>
  <c r="AB9" i="4"/>
  <c r="AD9" i="4" s="1"/>
  <c r="Z9" i="4"/>
  <c r="AC9" i="4"/>
  <c r="AF38" i="4"/>
  <c r="Z15" i="4"/>
  <c r="AC15" i="4"/>
  <c r="AB15" i="4"/>
  <c r="AD15" i="4" s="1"/>
  <c r="AC62" i="4"/>
  <c r="AB62" i="4"/>
  <c r="AD62" i="4" s="1"/>
  <c r="Z62" i="4"/>
  <c r="AK22" i="4" l="1"/>
  <c r="AL42" i="4"/>
  <c r="AL22" i="4"/>
  <c r="AL60" i="4"/>
  <c r="AL70" i="4"/>
  <c r="AK42" i="4"/>
  <c r="AK21" i="4"/>
  <c r="AK72" i="4"/>
  <c r="AK10" i="4"/>
  <c r="AK7" i="4"/>
  <c r="AK66" i="4"/>
  <c r="AL33" i="4"/>
  <c r="AK29" i="4"/>
  <c r="AL21" i="4"/>
  <c r="AK67" i="4"/>
  <c r="AL59" i="4"/>
  <c r="AL67" i="4"/>
  <c r="AK43" i="4"/>
  <c r="AL6" i="4"/>
  <c r="AK73" i="4"/>
  <c r="AK54" i="4"/>
  <c r="AL38" i="4"/>
  <c r="AK38" i="4"/>
  <c r="AL43" i="4"/>
  <c r="AL73" i="4"/>
  <c r="AK17" i="4"/>
  <c r="AL36" i="4"/>
  <c r="AL9" i="4"/>
  <c r="AL72" i="4"/>
  <c r="AL29" i="4"/>
  <c r="AL17" i="4"/>
  <c r="AK9" i="4"/>
  <c r="AL54" i="4"/>
  <c r="AL62" i="4"/>
  <c r="AK6" i="4"/>
  <c r="AL25" i="4"/>
  <c r="AK62" i="4"/>
  <c r="AL45" i="4"/>
  <c r="AL48" i="4"/>
  <c r="AK59" i="4"/>
  <c r="AK37" i="4"/>
  <c r="AL19" i="4"/>
  <c r="AL41" i="4"/>
  <c r="AK74" i="4"/>
  <c r="AK26" i="4"/>
  <c r="AK36" i="4"/>
  <c r="AL69" i="4"/>
  <c r="AK46" i="4"/>
  <c r="AK58" i="4"/>
  <c r="U4" i="4"/>
  <c r="T4" i="4"/>
  <c r="AA4" i="4"/>
  <c r="AL46" i="4"/>
  <c r="AK55" i="4"/>
  <c r="AK70" i="4"/>
  <c r="AL76" i="4"/>
  <c r="AK41" i="4"/>
  <c r="AL74" i="4"/>
  <c r="AK60" i="4"/>
  <c r="AK25" i="4"/>
  <c r="AK13" i="4"/>
  <c r="AL13" i="4"/>
  <c r="AL15" i="4"/>
  <c r="AL58" i="4"/>
  <c r="AL10" i="4"/>
  <c r="AK15" i="4"/>
  <c r="AK32" i="4"/>
  <c r="AK5" i="4"/>
  <c r="AK45" i="4"/>
  <c r="AK48" i="4"/>
  <c r="AL37" i="4"/>
  <c r="AK19" i="4"/>
  <c r="AL32" i="4"/>
  <c r="AL5" i="4"/>
  <c r="AK76" i="4"/>
  <c r="AL26" i="4"/>
  <c r="AL55" i="4"/>
  <c r="AK69" i="4"/>
  <c r="D6" i="1" l="1"/>
  <c r="B21" i="16" s="1"/>
  <c r="L6" i="1"/>
  <c r="B23" i="16" s="1"/>
  <c r="B32" i="1"/>
  <c r="D32" i="1" s="1"/>
  <c r="H6" i="1"/>
  <c r="B22" i="16" s="1"/>
  <c r="B30" i="1"/>
  <c r="D30" i="1" s="1"/>
  <c r="AF4" i="4"/>
  <c r="A7" i="1"/>
  <c r="AB4" i="4"/>
  <c r="E40" i="1"/>
  <c r="E41" i="1"/>
  <c r="E43" i="1"/>
  <c r="E45" i="1"/>
  <c r="AC4" i="4"/>
  <c r="E39" i="1"/>
  <c r="E47" i="1"/>
  <c r="E48" i="1"/>
  <c r="E44" i="1"/>
  <c r="Z4" i="4"/>
  <c r="E46" i="1"/>
  <c r="E42" i="1"/>
  <c r="H21" i="1" l="1"/>
  <c r="H13" i="1"/>
  <c r="C18" i="1"/>
  <c r="H22" i="1"/>
  <c r="H14" i="1"/>
  <c r="E16" i="1"/>
  <c r="J17" i="1"/>
  <c r="J19" i="1"/>
  <c r="J21" i="1"/>
  <c r="C13" i="1"/>
  <c r="B15" i="1"/>
  <c r="M15" i="1"/>
  <c r="M16" i="1"/>
  <c r="K17" i="1"/>
  <c r="L17" i="1" s="1"/>
  <c r="D20" i="1"/>
  <c r="K22" i="1"/>
  <c r="L22" i="1" s="1"/>
  <c r="G17" i="1"/>
  <c r="D21" i="1"/>
  <c r="D13" i="1"/>
  <c r="C15" i="1"/>
  <c r="I16" i="1"/>
  <c r="I18" i="1"/>
  <c r="I20" i="1"/>
  <c r="G22" i="1"/>
  <c r="M13" i="1"/>
  <c r="M14" i="1"/>
  <c r="K15" i="1"/>
  <c r="L15" i="1" s="1"/>
  <c r="J16" i="1"/>
  <c r="D18" i="1"/>
  <c r="G21" i="1"/>
  <c r="C16" i="1"/>
  <c r="D19" i="1"/>
  <c r="I21" i="1"/>
  <c r="B13" i="1"/>
  <c r="G14" i="1"/>
  <c r="G16" i="1"/>
  <c r="G18" i="1"/>
  <c r="F20" i="1"/>
  <c r="E21" i="1"/>
  <c r="E22" i="1"/>
  <c r="J13" i="1"/>
  <c r="I14" i="1"/>
  <c r="D22" i="1"/>
  <c r="D14" i="1"/>
  <c r="K18" i="1"/>
  <c r="L18" i="1" s="1"/>
  <c r="G13" i="1"/>
  <c r="D15" i="1"/>
  <c r="E17" i="1"/>
  <c r="J18" i="1"/>
  <c r="J20" i="1"/>
  <c r="J22" i="1"/>
  <c r="E14" i="1"/>
  <c r="B16" i="1"/>
  <c r="B17" i="1"/>
  <c r="M17" i="1"/>
  <c r="M18" i="1"/>
  <c r="H17" i="1"/>
  <c r="K20" i="1"/>
  <c r="L20" i="1" s="1"/>
  <c r="G15" i="1"/>
  <c r="H18" i="1"/>
  <c r="G20" i="1"/>
  <c r="M21" i="1"/>
  <c r="F13" i="1"/>
  <c r="F15" i="1"/>
  <c r="F17" i="1"/>
  <c r="E19" i="1"/>
  <c r="E20" i="1"/>
  <c r="C21" i="1"/>
  <c r="B22" i="1"/>
  <c r="I13" i="1"/>
  <c r="D16" i="1"/>
  <c r="C20" i="1"/>
  <c r="K14" i="1"/>
  <c r="L14" i="1" s="1"/>
  <c r="D17" i="1"/>
  <c r="F19" i="1"/>
  <c r="M20" i="1"/>
  <c r="M22" i="1"/>
  <c r="F14" i="1"/>
  <c r="F16" i="1"/>
  <c r="E18" i="1"/>
  <c r="C19" i="1"/>
  <c r="B20" i="1"/>
  <c r="B21" i="1"/>
  <c r="H19" i="1"/>
  <c r="C22" i="1"/>
  <c r="K16" i="1"/>
  <c r="L16" i="1" s="1"/>
  <c r="H20" i="1"/>
  <c r="I22" i="1"/>
  <c r="B14" i="1"/>
  <c r="I15" i="1"/>
  <c r="I17" i="1"/>
  <c r="I19" i="1"/>
  <c r="F21" i="1"/>
  <c r="F22" i="1"/>
  <c r="K13" i="1"/>
  <c r="L13" i="1" s="1"/>
  <c r="J14" i="1"/>
  <c r="J15" i="1"/>
  <c r="AD4" i="4"/>
  <c r="B28" i="1" s="1"/>
  <c r="D28" i="1" s="1"/>
  <c r="H15" i="1"/>
  <c r="G19" i="1"/>
  <c r="C14" i="1"/>
  <c r="H16" i="1"/>
  <c r="F18" i="1"/>
  <c r="K19" i="1"/>
  <c r="L19" i="1" s="1"/>
  <c r="K21" i="1"/>
  <c r="L21" i="1" s="1"/>
  <c r="E13" i="1"/>
  <c r="E15" i="1"/>
  <c r="C17" i="1"/>
  <c r="B18" i="1"/>
  <c r="B19" i="1"/>
  <c r="M19" i="1"/>
  <c r="M46" i="1"/>
  <c r="M41" i="1"/>
  <c r="M40" i="1"/>
  <c r="M39" i="1"/>
  <c r="M42" i="1"/>
  <c r="M43" i="1"/>
  <c r="M47" i="1"/>
  <c r="M44" i="1"/>
  <c r="M45" i="1"/>
  <c r="M48" i="1"/>
  <c r="AK4" i="4"/>
  <c r="AL4" i="4"/>
  <c r="J46" i="12" l="1"/>
  <c r="B16" i="12"/>
  <c r="D16" i="12"/>
  <c r="J63" i="12"/>
  <c r="C7" i="12"/>
  <c r="A29" i="12"/>
  <c r="A52" i="12"/>
  <c r="C58" i="12"/>
  <c r="C53" i="12"/>
  <c r="D58" i="12"/>
  <c r="B75" i="12"/>
  <c r="C6" i="12"/>
  <c r="E50" i="12"/>
  <c r="B29" i="12"/>
  <c r="D52" i="12"/>
  <c r="B26" i="12"/>
  <c r="J69" i="12"/>
  <c r="J76" i="12"/>
  <c r="A28" i="12"/>
  <c r="B22" i="12"/>
  <c r="C47" i="12"/>
  <c r="D51" i="12"/>
  <c r="A45" i="12"/>
  <c r="B74" i="12"/>
  <c r="C25" i="12"/>
  <c r="D11" i="12"/>
  <c r="A10" i="12"/>
  <c r="E55" i="12"/>
  <c r="J56" i="12"/>
  <c r="C44" i="12"/>
  <c r="A59" i="12"/>
  <c r="C75" i="12"/>
  <c r="E71" i="12"/>
  <c r="J70" i="12"/>
  <c r="E61" i="12"/>
  <c r="A27" i="12"/>
  <c r="D35" i="12"/>
  <c r="J16" i="12"/>
  <c r="J65" i="12"/>
  <c r="J15" i="12"/>
  <c r="B25" i="12"/>
  <c r="E29" i="12"/>
  <c r="D66" i="12"/>
  <c r="B73" i="12"/>
  <c r="B28" i="12"/>
  <c r="E40" i="12"/>
  <c r="E7" i="12"/>
  <c r="E30" i="12"/>
  <c r="D75" i="12"/>
  <c r="A69" i="12"/>
  <c r="D24" i="12"/>
  <c r="D36" i="12"/>
  <c r="B58" i="12"/>
  <c r="C29" i="12"/>
  <c r="E31" i="12"/>
  <c r="A24" i="12"/>
  <c r="C40" i="12"/>
  <c r="J53" i="12"/>
  <c r="J68" i="12"/>
  <c r="A40" i="12"/>
  <c r="A50" i="12"/>
  <c r="A6" i="12"/>
  <c r="J50" i="12"/>
  <c r="D49" i="12"/>
  <c r="B66" i="12"/>
  <c r="C17" i="12"/>
  <c r="C48" i="12"/>
  <c r="E5" i="12"/>
  <c r="C67" i="12"/>
  <c r="E15" i="12"/>
  <c r="D63" i="12"/>
  <c r="E14" i="12"/>
  <c r="E32" i="12"/>
  <c r="J47" i="12"/>
  <c r="J66" i="12"/>
  <c r="D70" i="12"/>
  <c r="B20" i="12"/>
  <c r="A12" i="12"/>
  <c r="B55" i="12"/>
  <c r="E41" i="12"/>
  <c r="D74" i="12"/>
  <c r="C16" i="12"/>
  <c r="B48" i="12"/>
  <c r="C36" i="12"/>
  <c r="E49" i="12"/>
  <c r="C38" i="12"/>
  <c r="J58" i="12"/>
  <c r="J40" i="12"/>
  <c r="E10" i="12"/>
  <c r="D53" i="12"/>
  <c r="A55" i="12"/>
  <c r="B11" i="12"/>
  <c r="J31" i="12"/>
  <c r="B9" i="12"/>
  <c r="A9" i="12"/>
  <c r="B46" i="12"/>
  <c r="C42" i="12"/>
  <c r="B10" i="12"/>
  <c r="D21" i="12"/>
  <c r="D47" i="12"/>
  <c r="E18" i="12"/>
  <c r="J41" i="12"/>
  <c r="D37" i="12"/>
  <c r="A46" i="12"/>
  <c r="J17" i="12"/>
  <c r="J44" i="12"/>
  <c r="C70" i="12"/>
  <c r="C27" i="12"/>
  <c r="C5" i="12"/>
  <c r="C45" i="12"/>
  <c r="B13" i="12"/>
  <c r="C54" i="12"/>
  <c r="J54" i="12"/>
  <c r="B52" i="12"/>
  <c r="J20" i="12"/>
  <c r="A26" i="12"/>
  <c r="B61" i="12"/>
  <c r="B51" i="12"/>
  <c r="A76" i="12"/>
  <c r="J28" i="12"/>
  <c r="B19" i="12"/>
  <c r="D28" i="12"/>
  <c r="J72" i="12"/>
  <c r="C66" i="12"/>
  <c r="A32" i="12"/>
  <c r="J18" i="12"/>
  <c r="E52" i="12"/>
  <c r="J26" i="12"/>
  <c r="B50" i="12"/>
  <c r="J14" i="12"/>
  <c r="E4" i="12"/>
  <c r="E9" i="12"/>
  <c r="D48" i="12"/>
  <c r="C64" i="12"/>
  <c r="J48" i="12"/>
  <c r="A73" i="12"/>
  <c r="E45" i="12"/>
  <c r="J59" i="12"/>
  <c r="E22" i="12"/>
  <c r="J43" i="12"/>
  <c r="C8" i="12"/>
  <c r="E17" i="12"/>
  <c r="C69" i="12"/>
  <c r="J74" i="12"/>
  <c r="D27" i="12"/>
  <c r="E53" i="12"/>
  <c r="A70" i="12"/>
  <c r="A49" i="12"/>
  <c r="D69" i="12"/>
  <c r="E23" i="12"/>
  <c r="E63" i="12"/>
  <c r="A56" i="12"/>
  <c r="A33" i="12"/>
  <c r="C57" i="12"/>
  <c r="D33" i="12"/>
  <c r="A58" i="12"/>
  <c r="J39" i="12"/>
  <c r="A42" i="12"/>
  <c r="J29" i="12"/>
  <c r="E54" i="12"/>
  <c r="D13" i="12"/>
  <c r="C55" i="12"/>
  <c r="E69" i="12"/>
  <c r="D20" i="12"/>
  <c r="D15" i="12"/>
  <c r="C68" i="12"/>
  <c r="J23" i="12"/>
  <c r="J11" i="12"/>
  <c r="C32" i="12"/>
  <c r="D55" i="12"/>
  <c r="E6" i="12"/>
  <c r="D7" i="12"/>
  <c r="B30" i="12"/>
  <c r="J19" i="12"/>
  <c r="B62" i="12"/>
  <c r="J52" i="12"/>
  <c r="A4" i="12"/>
  <c r="D62" i="12"/>
  <c r="B6" i="12"/>
  <c r="A64" i="12"/>
  <c r="A31" i="12"/>
  <c r="B39" i="12"/>
  <c r="E75" i="12"/>
  <c r="B76" i="12"/>
  <c r="E73" i="12"/>
  <c r="B53" i="12"/>
  <c r="D42" i="12"/>
  <c r="J8" i="12"/>
  <c r="D72" i="12"/>
  <c r="D73" i="12"/>
  <c r="J45" i="12"/>
  <c r="A51" i="12"/>
  <c r="D64" i="12"/>
  <c r="B12" i="12"/>
  <c r="J42" i="12"/>
  <c r="E28" i="12"/>
  <c r="A25" i="12"/>
  <c r="C49" i="12"/>
  <c r="A71" i="12"/>
  <c r="C19" i="12"/>
  <c r="J30" i="12"/>
  <c r="J22" i="12"/>
  <c r="B24" i="12"/>
  <c r="J13" i="12"/>
  <c r="J24" i="12"/>
  <c r="B70" i="12"/>
  <c r="B4" i="12"/>
  <c r="B71" i="12"/>
  <c r="A75" i="12"/>
  <c r="B34" i="12"/>
  <c r="E59" i="12"/>
  <c r="J25" i="12"/>
  <c r="C12" i="12"/>
  <c r="D5" i="12"/>
  <c r="J34" i="12"/>
  <c r="D31" i="12"/>
  <c r="A57" i="12"/>
  <c r="D57" i="12"/>
  <c r="J57" i="12"/>
  <c r="C56" i="12"/>
  <c r="B47" i="12"/>
  <c r="J32" i="12"/>
  <c r="B42" i="12"/>
  <c r="E67" i="12"/>
  <c r="B68" i="12"/>
  <c r="D29" i="12"/>
  <c r="E34" i="12"/>
  <c r="E74" i="12"/>
  <c r="J7" i="12"/>
  <c r="A65" i="12"/>
  <c r="D65" i="12"/>
  <c r="D25" i="12"/>
  <c r="B36" i="12"/>
  <c r="C71" i="12"/>
  <c r="A34" i="12"/>
  <c r="B23" i="12"/>
  <c r="J62" i="12"/>
  <c r="J5" i="12"/>
  <c r="J33" i="12"/>
  <c r="B45" i="12"/>
  <c r="C26" i="12"/>
  <c r="C21" i="12"/>
  <c r="E58" i="12"/>
  <c r="B65" i="12"/>
  <c r="A74" i="12"/>
  <c r="A43" i="12"/>
  <c r="J60" i="12"/>
  <c r="A5" i="12"/>
  <c r="C74" i="12"/>
  <c r="E11" i="12"/>
  <c r="A36" i="12"/>
  <c r="D18" i="12"/>
  <c r="C24" i="12"/>
  <c r="E65" i="12"/>
  <c r="A62" i="12"/>
  <c r="A13" i="12"/>
  <c r="C63" i="12"/>
  <c r="B7" i="12"/>
  <c r="J36" i="12"/>
  <c r="A8" i="12"/>
  <c r="A38" i="12"/>
  <c r="D26" i="12"/>
  <c r="B67" i="12"/>
  <c r="E64" i="12"/>
  <c r="C46" i="12"/>
  <c r="E70" i="12"/>
  <c r="A15" i="12"/>
  <c r="A53" i="12"/>
  <c r="A16" i="12"/>
  <c r="D61" i="12"/>
  <c r="E43" i="12"/>
  <c r="A68" i="12"/>
  <c r="J9" i="12"/>
  <c r="J6" i="12"/>
  <c r="C10" i="12"/>
  <c r="B57" i="12"/>
  <c r="A41" i="12"/>
  <c r="D54" i="12"/>
  <c r="D12" i="12"/>
  <c r="C13" i="12"/>
  <c r="E24" i="12"/>
  <c r="C62" i="12"/>
  <c r="B5" i="12"/>
  <c r="E27" i="12"/>
  <c r="C51" i="12"/>
  <c r="E68" i="12"/>
  <c r="D71" i="12"/>
  <c r="D19" i="12"/>
  <c r="J21" i="12"/>
  <c r="D34" i="12"/>
  <c r="A44" i="12"/>
  <c r="C23" i="12"/>
  <c r="B18" i="12"/>
  <c r="D6" i="12"/>
  <c r="C20" i="12"/>
  <c r="E26" i="12"/>
  <c r="C37" i="12"/>
  <c r="B49" i="12"/>
  <c r="B69" i="12"/>
  <c r="E8" i="12"/>
  <c r="B44" i="12"/>
  <c r="E39" i="12"/>
  <c r="E44" i="12"/>
  <c r="B21" i="12"/>
  <c r="D46" i="12"/>
  <c r="A66" i="12"/>
  <c r="B63" i="12"/>
  <c r="C52" i="12"/>
  <c r="A21" i="12"/>
  <c r="E47" i="12"/>
  <c r="A23" i="12"/>
  <c r="D39" i="12"/>
  <c r="E36" i="12"/>
  <c r="D14" i="12"/>
  <c r="B43" i="12"/>
  <c r="D67" i="12"/>
  <c r="D22" i="12"/>
  <c r="D68" i="12"/>
  <c r="B31" i="12"/>
  <c r="B8" i="12"/>
  <c r="A37" i="12"/>
  <c r="E51" i="12"/>
  <c r="A17" i="12"/>
  <c r="D40" i="12"/>
  <c r="B64" i="12"/>
  <c r="J71" i="12"/>
  <c r="C22" i="12"/>
  <c r="J12" i="12"/>
  <c r="E12" i="12"/>
  <c r="A39" i="12"/>
  <c r="E56" i="12"/>
  <c r="J35" i="12"/>
  <c r="E13" i="12"/>
  <c r="B38" i="12"/>
  <c r="D32" i="12"/>
  <c r="D50" i="12"/>
  <c r="J55" i="12"/>
  <c r="B40" i="12"/>
  <c r="E48" i="12"/>
  <c r="B37" i="12"/>
  <c r="J51" i="12"/>
  <c r="B14" i="12"/>
  <c r="C28" i="12"/>
  <c r="A7" i="12"/>
  <c r="E76" i="12"/>
  <c r="A19" i="12"/>
  <c r="D59" i="12"/>
  <c r="E35" i="12"/>
  <c r="J37" i="12"/>
  <c r="E25" i="12"/>
  <c r="B72" i="12"/>
  <c r="D76" i="12"/>
  <c r="E21" i="12"/>
  <c r="C31" i="12"/>
  <c r="E37" i="12"/>
  <c r="E16" i="12"/>
  <c r="A11" i="12"/>
  <c r="D4" i="12"/>
  <c r="A30" i="12"/>
  <c r="D9" i="12"/>
  <c r="E20" i="12"/>
  <c r="D43" i="12"/>
  <c r="C60" i="12"/>
  <c r="C76" i="12"/>
  <c r="B35" i="12"/>
  <c r="A18" i="12"/>
  <c r="C73" i="12"/>
  <c r="J27" i="12"/>
  <c r="E38" i="12"/>
  <c r="A48" i="12"/>
  <c r="C9" i="12"/>
  <c r="A60" i="12"/>
  <c r="A63" i="12"/>
  <c r="D38" i="12"/>
  <c r="A14" i="12"/>
  <c r="C43" i="12"/>
  <c r="D30" i="12"/>
  <c r="C11" i="12"/>
  <c r="A61" i="12"/>
  <c r="D17" i="12"/>
  <c r="C15" i="12"/>
  <c r="J67" i="12"/>
  <c r="B41" i="12"/>
  <c r="B59" i="12"/>
  <c r="J4" i="12"/>
  <c r="B17" i="12"/>
  <c r="B56" i="12"/>
  <c r="J38" i="12"/>
  <c r="A72" i="12"/>
  <c r="J10" i="12"/>
  <c r="D45" i="12"/>
  <c r="E72" i="12"/>
  <c r="E19" i="12"/>
  <c r="A47" i="12"/>
  <c r="A67" i="12"/>
  <c r="D10" i="12"/>
  <c r="B33" i="12"/>
  <c r="E42" i="12"/>
  <c r="D23" i="12"/>
  <c r="A22" i="12"/>
  <c r="C39" i="12"/>
  <c r="C35" i="12"/>
  <c r="D41" i="12"/>
  <c r="C65" i="12"/>
  <c r="E57" i="12"/>
  <c r="E62" i="12"/>
  <c r="E33" i="12"/>
  <c r="B60" i="12"/>
  <c r="J61" i="12"/>
  <c r="C33" i="12"/>
  <c r="E60" i="12"/>
  <c r="E66" i="12"/>
  <c r="C18" i="12"/>
  <c r="C4" i="12"/>
  <c r="D56" i="12"/>
  <c r="J49" i="12"/>
  <c r="C50" i="12"/>
  <c r="C14" i="12"/>
  <c r="B27" i="12"/>
  <c r="C34" i="12"/>
  <c r="B32" i="12"/>
  <c r="J64" i="12"/>
  <c r="D8" i="12"/>
  <c r="C59" i="12"/>
  <c r="J73" i="12"/>
  <c r="J75" i="12"/>
  <c r="C72" i="12"/>
  <c r="C61" i="12"/>
  <c r="A54" i="12"/>
  <c r="A35" i="12"/>
  <c r="B15" i="12"/>
  <c r="E46" i="12"/>
  <c r="D60" i="12"/>
  <c r="B54" i="12"/>
  <c r="D44" i="12"/>
  <c r="C30" i="12"/>
  <c r="A20" i="12"/>
  <c r="C41" i="12"/>
  <c r="B31" i="1" l="1"/>
  <c r="D3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HSQE Matrix</author>
  </authors>
  <commentList>
    <comment ref="U3" authorId="0" shapeId="0" xr:uid="{00000000-0006-0000-0300-000001000000}">
      <text>
        <r>
          <rPr>
            <sz val="10"/>
            <rFont val="Arial"/>
            <family val="2"/>
          </rPr>
          <t>★ AMBER ALERTS
Measures proactive near-miss and hazard reporting against a target of 2 per operative per month.
★★★★★  Target met or exceeded
★★★★☆  Reporting at 75–99% of target
★★★☆☆  Reporting at 50–74% of target
★★☆☆☆  Reporting at 25–49% of target
★☆☆☆☆  Zero or near-zero reports submitted
Weight: 18 of 49 in composite (highest weighted metric).
Zero reporting triggers automatic escalation regardless of composite.</t>
        </r>
      </text>
    </comment>
    <comment ref="V3" authorId="0" shapeId="0" xr:uid="{00000000-0006-0000-0300-000002000000}">
      <text>
        <r>
          <rPr>
            <sz val="10"/>
            <rFont val="Arial"/>
            <family val="2"/>
          </rPr>
          <t>★ RED ALERTS
Measures recorded incidents over the month.
★★★★★  No incidents recorded
★★★★☆  1–2 minor incidents
★★★☆☆  3–4 minor incidents or 1 moderate/major
★★☆☆☆  Approaching threshold
★☆☆☆☆  5+ minor or 2+ moderate/major incidents
Weight: 6 of 49 in composite.
Any major impact event triggers automatic escalation regardless of composite.</t>
        </r>
      </text>
    </comment>
    <comment ref="W3" authorId="0" shapeId="0" xr:uid="{00000000-0006-0000-0300-000003000000}">
      <text>
        <r>
          <rPr>
            <sz val="10"/>
            <rFont val="Arial"/>
            <family val="2"/>
          </rPr>
          <t>★ SKILLKO COMPLIANCE
Measures operative training and competency compliance.
★★★★★  100% compliant
★★★★☆  87–99% compliant
★★★☆☆  75–86% compliant
★★☆☆☆  62–74% compliant
★☆☆☆☆  Below 62% compliant
Weight: 8 of 49 in composite.</t>
        </r>
      </text>
    </comment>
    <comment ref="X3" authorId="0" shapeId="0" xr:uid="{00000000-0006-0000-0300-000004000000}">
      <text>
        <r>
          <rPr>
            <sz val="10"/>
            <rFont val="Arial"/>
            <family val="2"/>
          </rPr>
          <t>★ POST-CUT QUALITY
Measures defect rate from pole inspection results in the current period.
★★★★★  No defects recorded
★★★★☆  Up to 12% defect rate
★★★☆☆  12–37% defect rate
★★☆☆☆  37–62% defect rate
★☆☆☆☆  62%+ defect rate
Weight: 7 of 49 in composite.
No inspections in the period = 3 stars (neutral, no penalty).</t>
        </r>
      </text>
    </comment>
    <comment ref="Y3" authorId="0" shapeId="0" xr:uid="{00000000-0006-0000-0300-000005000000}">
      <text>
        <r>
          <rPr>
            <sz val="10"/>
            <rFont val="Arial"/>
            <family val="2"/>
          </rPr>
          <t>★ SITE SAFETY VISIT
Measures SafetyCulture audit outcomes over the last 90 days.
Only completed audits with a valid result are counted.
★★★★★  2+ visits, all returning High Standards
★★★★☆  Mostly High Standards, or 1 visit High Standards
★★★☆☆  All visits Compliant, or no visits (neutral)
★★☆☆☆  Mix including Minor Nonconformity (single NC finding)
★☆☆☆☆  Minor Nonconformity with multiple findings
Weight: 10 of 49 in composite.
Audit result scoring: High Standards=4, Compliant=3, Minor NC (1 finding)=2, Minor NC (2+ findings)=1.</t>
        </r>
      </text>
    </comment>
    <comment ref="Z3" authorId="0" shapeId="0" xr:uid="{00000000-0006-0000-0300-000006000000}">
      <text>
        <r>
          <rPr>
            <sz val="10"/>
            <rFont val="Arial"/>
            <family val="2"/>
          </rPr>
          <t>★ COMPOSITE RATING
Weighted average of all five metric star ratings.
Weights:
  Amber Alerts:      18 / 49
  Red Alerts:         6 / 49
  Skillko:            8 / 49
  Post-Cut Quality:   7 / 49
  Site Safety Visit: 10 / 49
The RAG column to the right shows the resulting escalation band.
Automatic escalation overrides apply for zero amber reporting and major impact events.</t>
        </r>
      </text>
    </comment>
  </commentList>
</comments>
</file>

<file path=xl/sharedStrings.xml><?xml version="1.0" encoding="utf-8"?>
<sst xmlns="http://schemas.openxmlformats.org/spreadsheetml/2006/main" count="7119" uniqueCount="2665">
  <si>
    <t>FIELD TEAM RISK MATRIX - MONTHLY DASHBOARD</t>
  </si>
  <si>
    <t>Set date range: N1 = start date, O1 = end date  |  Update all Data tabs and regenerate Pole Results before presenting to SOMs  |  Complete by working day 5 each month</t>
  </si>
  <si>
    <t>Start date</t>
  </si>
  <si>
    <t>End date</t>
  </si>
  <si>
    <t>RISK BAND SUMMARY</t>
  </si>
  <si>
    <t>Active Teams</t>
  </si>
  <si>
    <t>LOW Risk</t>
  </si>
  <si>
    <t>MEDIUM Risk</t>
  </si>
  <si>
    <t>HIGH Risk</t>
  </si>
  <si>
    <t>TOP 10 HIGHEST RISK TEAMS</t>
  </si>
  <si>
    <t>Rank</t>
  </si>
  <si>
    <t>Team</t>
  </si>
  <si>
    <t>Contract</t>
  </si>
  <si>
    <t>SOM</t>
  </si>
  <si>
    <t>Score</t>
  </si>
  <si>
    <t>RAG</t>
  </si>
  <si>
    <t>Amber Count</t>
  </si>
  <si>
    <t>Amber Target</t>
  </si>
  <si>
    <t>Skillko %</t>
  </si>
  <si>
    <t>Quality Fails</t>
  </si>
  <si>
    <t>Checks Assessed</t>
  </si>
  <si>
    <t>Compliant
Checks</t>
  </si>
  <si>
    <t>Plan?</t>
  </si>
  <si>
    <t>PORTFOLIO AVERAGES - KEY METRICS</t>
  </si>
  <si>
    <t>Metric</t>
  </si>
  <si>
    <t>This Month</t>
  </si>
  <si>
    <t>Target</t>
  </si>
  <si>
    <t>Status</t>
  </si>
  <si>
    <t>Amber alerts - total vs target</t>
  </si>
  <si>
    <t>Skillko Compliance - portfolio avg %</t>
  </si>
  <si>
    <t>Post-Cut Quality - compliant pole rate %</t>
  </si>
  <si>
    <t>Post-Cut Quality - non-compliant poles total</t>
  </si>
  <si>
    <t>HIGH risk teams</t>
  </si>
  <si>
    <t>Audit completion rate %</t>
  </si>
  <si>
    <t>Portfolio avg composite score - this month</t>
  </si>
  <si>
    <t>&gt; 3.25 (portfolio LOW risk)</t>
  </si>
  <si>
    <t>GOVERNANCE
• HIGH risk: PM 3x site visits per week until LOW for 4 consecutive weeks
• Improvement plans due within 5 working days of month-end score
• Major events: immediate escalation - do not wait for month-end review</t>
  </si>
  <si>
    <t>TOP 10 LOWEST RISK TEAMS</t>
  </si>
  <si>
    <t>FIELD TEAM MASTER LIST</t>
  </si>
  <si>
    <t>NEW TEAM CHECKER - auto-updates when Skillko data is pasted</t>
  </si>
  <si>
    <t>Master list — drives Monthly Matrix, Audit Schedule, Action Log and Dashboard automatically. Add new teams at the bottom. Use the Status dropdown (col I) to set Active or Inactive. Inactive teams are excluded from all scoring, rankings and counts. Do not delete rows.</t>
  </si>
  <si>
    <t>Teams found in Skillko export but NOT in master list are highlighted amber. Add them manually to the master list below (cols A–I) then set Status = Active.</t>
  </si>
  <si>
    <t>NOD = Sponsor Manager  |  SOM = Sponsor  |  CM = Contract Manager  |  PM = Project Manager  |  Operative Count auto-calculates from Data - Skillko tab  |  Status dropdown: Active / Inactive only</t>
  </si>
  <si>
    <t>Only team-level rows are shown (Job Role = Total, excluding company-named rows). Refresh by re-pasting Skillko data.</t>
  </si>
  <si>
    <t>Team ID</t>
  </si>
  <si>
    <t>Field Team Name</t>
  </si>
  <si>
    <t>NOD</t>
  </si>
  <si>
    <t>CM</t>
  </si>
  <si>
    <t>PM</t>
  </si>
  <si>
    <t>Operative
Count
(auto)</t>
  </si>
  <si>
    <t>Field Team Name (from Skillko)</t>
  </si>
  <si>
    <t>In Master List?</t>
  </si>
  <si>
    <t>Contract (Operating Unit)</t>
  </si>
  <si>
    <t>FT-001</t>
  </si>
  <si>
    <t>Kingfisher Tree Services Ltd</t>
  </si>
  <si>
    <t>ESB - Utility Arboriculture</t>
  </si>
  <si>
    <t>Donovan  Gosher</t>
  </si>
  <si>
    <t>Jake Bolwell</t>
  </si>
  <si>
    <t>Active</t>
  </si>
  <si>
    <t>Note: requires Excel 365 for UNIQUE and FILTER functions. If formula errors appear in L6, these functions are not available on this version.</t>
  </si>
  <si>
    <t>FT-002</t>
  </si>
  <si>
    <t>WRS Tree Services Ltd</t>
  </si>
  <si>
    <t>Utility Arboriculture</t>
  </si>
  <si>
    <t>David Damm</t>
  </si>
  <si>
    <t>Mike Jackson</t>
  </si>
  <si>
    <t>No new Skillko teams missing from master list in current paste</t>
  </si>
  <si>
    <t>FT-003</t>
  </si>
  <si>
    <t>Ashdown Tree Limited</t>
  </si>
  <si>
    <t>Barry Bright</t>
  </si>
  <si>
    <t>FT-004</t>
  </si>
  <si>
    <t>Austin Tree Care LTD</t>
  </si>
  <si>
    <t>FT-005</t>
  </si>
  <si>
    <t>D &amp; R Landscapes</t>
  </si>
  <si>
    <t>FT-006</t>
  </si>
  <si>
    <t>Eastwoodbury Tree Services Ltd</t>
  </si>
  <si>
    <t>FT-007</t>
  </si>
  <si>
    <t>Green Net Eco Ltd</t>
  </si>
  <si>
    <t>FT-008</t>
  </si>
  <si>
    <t>Hope Ground and Tree Care</t>
  </si>
  <si>
    <t>FT-009</t>
  </si>
  <si>
    <t>M G Tree Surgery Ltd</t>
  </si>
  <si>
    <t>FT-010</t>
  </si>
  <si>
    <t>MAC Tree Surgery and Fencing Ltd</t>
  </si>
  <si>
    <t>FT-011</t>
  </si>
  <si>
    <t>Optimum Tree Services</t>
  </si>
  <si>
    <t>FT-012</t>
  </si>
  <si>
    <t>S6 Tree Specialists Ltd</t>
  </si>
  <si>
    <t>FT-013</t>
  </si>
  <si>
    <t>Tree Tech Suffolk Ltd</t>
  </si>
  <si>
    <t>FT-014</t>
  </si>
  <si>
    <t>Tree Tops Arborist</t>
  </si>
  <si>
    <t>FT-015</t>
  </si>
  <si>
    <t>Valiant Arborist Ltd</t>
  </si>
  <si>
    <t>FT-016</t>
  </si>
  <si>
    <t>A J Arborists Ltd</t>
  </si>
  <si>
    <t>FT-017</t>
  </si>
  <si>
    <t>Andrew Munns Tree Surgery Ltd</t>
  </si>
  <si>
    <t>FT-018</t>
  </si>
  <si>
    <t>Bourne VP</t>
  </si>
  <si>
    <t>FT-019</t>
  </si>
  <si>
    <t>Brinksworth Tree Services Ltd</t>
  </si>
  <si>
    <t>FT-020</t>
  </si>
  <si>
    <t>C G Tree Cutting Services</t>
  </si>
  <si>
    <t>FT-021</t>
  </si>
  <si>
    <t>Central Tree Maintenance</t>
  </si>
  <si>
    <t>FT-022</t>
  </si>
  <si>
    <t>Flint Tree Surgeons</t>
  </si>
  <si>
    <t>FT-023</t>
  </si>
  <si>
    <t>George Harris Tree Services</t>
  </si>
  <si>
    <t>FT-024</t>
  </si>
  <si>
    <t>HJ Tree Services</t>
  </si>
  <si>
    <t>FT-025</t>
  </si>
  <si>
    <t>High Branch</t>
  </si>
  <si>
    <t>FT-026</t>
  </si>
  <si>
    <t>Housman Tree Services Ltd</t>
  </si>
  <si>
    <t>FT-027</t>
  </si>
  <si>
    <t>JPAS Contracting Ltd</t>
  </si>
  <si>
    <t>FT-028</t>
  </si>
  <si>
    <t>MJR Tree Works</t>
  </si>
  <si>
    <t>FT-029</t>
  </si>
  <si>
    <t>Mon &amp; Brec Tree Services Ltd</t>
  </si>
  <si>
    <t>FT-030</t>
  </si>
  <si>
    <t>Quill Hall Arboriculture Ltd</t>
  </si>
  <si>
    <t>FT-031</t>
  </si>
  <si>
    <t>RFP Tree and Landscape Services Ltd</t>
  </si>
  <si>
    <t>FT-032</t>
  </si>
  <si>
    <t>Roots 2 Shoots Tree Care Ltd</t>
  </si>
  <si>
    <t>FT-033</t>
  </si>
  <si>
    <t>TRACCS South West LTD</t>
  </si>
  <si>
    <t>FT-034</t>
  </si>
  <si>
    <t>Treerebral Ltd</t>
  </si>
  <si>
    <t>FT-035</t>
  </si>
  <si>
    <t>Two Counties Tree Care Ltd</t>
  </si>
  <si>
    <t>FT-036</t>
  </si>
  <si>
    <t>Vale Tree Surgeons</t>
  </si>
  <si>
    <t>FT-037</t>
  </si>
  <si>
    <t>LT Countryside Services Ltd</t>
  </si>
  <si>
    <t>Jon Addis|Jake Bolwell</t>
  </si>
  <si>
    <t>FT-038</t>
  </si>
  <si>
    <t>ACME Arb Ltd (Pend Arb Utility)</t>
  </si>
  <si>
    <t>Paul Shaw</t>
  </si>
  <si>
    <t>FT-039</t>
  </si>
  <si>
    <t>Astbury Tree Care</t>
  </si>
  <si>
    <t>FT-040</t>
  </si>
  <si>
    <t>Bathams Tree Care Ltd</t>
  </si>
  <si>
    <t>FT-041</t>
  </si>
  <si>
    <t>Belvoir Tree Care</t>
  </si>
  <si>
    <t>FT-042</t>
  </si>
  <si>
    <t>Cedar Park Tree Care Ltd</t>
  </si>
  <si>
    <t>FT-043</t>
  </si>
  <si>
    <t>Cliff Tree Services Ian</t>
  </si>
  <si>
    <t>FT-044</t>
  </si>
  <si>
    <t>Coxley Tree Care Ltd</t>
  </si>
  <si>
    <t>FT-045</t>
  </si>
  <si>
    <t>Crimson Kings (Midlands) Ltd</t>
  </si>
  <si>
    <t>FT-046</t>
  </si>
  <si>
    <t>Down To Earth Tree Management</t>
  </si>
  <si>
    <t>FT-047</t>
  </si>
  <si>
    <t>EWS Tree Services Ltd</t>
  </si>
  <si>
    <t>FT-048</t>
  </si>
  <si>
    <t>East Midlands Arb Ltd</t>
  </si>
  <si>
    <t>FT-049</t>
  </si>
  <si>
    <t>GB Construction (Herts) Ltd</t>
  </si>
  <si>
    <t>FT-050</t>
  </si>
  <si>
    <t>Greenland Services Ltd</t>
  </si>
  <si>
    <t>FT-051</t>
  </si>
  <si>
    <t>J Ashby Tree Services</t>
  </si>
  <si>
    <t>FT-052</t>
  </si>
  <si>
    <t>Lincolnshire Hardwoods Jim</t>
  </si>
  <si>
    <t>FT-053</t>
  </si>
  <si>
    <t>Mmtreescape Tree Services Ltd</t>
  </si>
  <si>
    <t>FT-054</t>
  </si>
  <si>
    <t>New Leaf Arb Ltd</t>
  </si>
  <si>
    <t>FT-055</t>
  </si>
  <si>
    <t>OJ Morgan Services Ltd</t>
  </si>
  <si>
    <t>FT-056</t>
  </si>
  <si>
    <t>Olney Landscapes</t>
  </si>
  <si>
    <t>FT-057</t>
  </si>
  <si>
    <t>PB Tree Contractors</t>
  </si>
  <si>
    <t>FT-058</t>
  </si>
  <si>
    <t>Watmough's Forestry Adam</t>
  </si>
  <si>
    <t>FT-059</t>
  </si>
  <si>
    <t>Jack Cotterill Tree Services Ltd</t>
  </si>
  <si>
    <t>Karl Cunningham</t>
  </si>
  <si>
    <t>David Damm|Craig Horton</t>
  </si>
  <si>
    <t>FT-060</t>
  </si>
  <si>
    <t>Integrated Arb Solutions</t>
  </si>
  <si>
    <t>Laura Daly</t>
  </si>
  <si>
    <t>Jon Addis</t>
  </si>
  <si>
    <t>FT-061</t>
  </si>
  <si>
    <t>L&amp;L Group LTD</t>
  </si>
  <si>
    <t>FT-062</t>
  </si>
  <si>
    <t>Blue Sky Arboriculture Ltd</t>
  </si>
  <si>
    <t>Matthew Gilmore</t>
  </si>
  <si>
    <t>Dan Robinson</t>
  </si>
  <si>
    <t>FT-063</t>
  </si>
  <si>
    <t>Rother Valley Tree Services Ltd</t>
  </si>
  <si>
    <t>James Jennings</t>
  </si>
  <si>
    <t>FT-064</t>
  </si>
  <si>
    <t>AAT Tree Services</t>
  </si>
  <si>
    <t>FT-065</t>
  </si>
  <si>
    <t>Electrification Construction Services Ltd</t>
  </si>
  <si>
    <t>FT-066</t>
  </si>
  <si>
    <t>Heartwood Tree Surgeons Ltd</t>
  </si>
  <si>
    <t>FT-067</t>
  </si>
  <si>
    <t>Keighley Tree Services</t>
  </si>
  <si>
    <t>FT-068</t>
  </si>
  <si>
    <t>MJP Tree Services Ltd</t>
  </si>
  <si>
    <t>FT-069</t>
  </si>
  <si>
    <t>MX2 Trees Ltd</t>
  </si>
  <si>
    <t>FT-070</t>
  </si>
  <si>
    <t>Ropes and Slopes Limited</t>
  </si>
  <si>
    <t>FT-071</t>
  </si>
  <si>
    <t>SJ Tree &amp; Security Maintenance</t>
  </si>
  <si>
    <t>FT-072</t>
  </si>
  <si>
    <t>Tree Flex Ltd</t>
  </si>
  <si>
    <t>FT-073</t>
  </si>
  <si>
    <t>Wootton Forestry &amp; Powerline Services Ltd</t>
  </si>
  <si>
    <t>FIELD TEAM RISK MATRIX - SETTINGS &amp; WEIGHTS</t>
  </si>
  <si>
    <t>Adjust weights and thresholds here — all other sheets update automatically. Do not modify metric formulas directly. Weights: Amber=18, Red Alerts=6, Skillko=8, Quality=7 (total=39 — scores now 1–5 per metric). Thresholds: HIGH ≤2.75, MEDIUM ≤3.24, LOW ≥3.25. Amber floor: teams scoring ≤2.0 on amber metric are auto-rated HIGH regardless of composite.</t>
  </si>
  <si>
    <t>METRIC WEIGHTS &amp; SCORING - adjust Weight column only</t>
  </si>
  <si>
    <t>Direction</t>
  </si>
  <si>
    <t>Weight (1-10)</t>
  </si>
  <si>
    <t>Scoring Logic</t>
  </si>
  <si>
    <t>Source</t>
  </si>
  <si>
    <t>Amber Alert Count</t>
  </si>
  <si>
    <t>2 per person per month</t>
  </si>
  <si>
    <t>Low amber count = HIGH risk</t>
  </si>
  <si>
    <t>Score = MAX(0,(target-actual)/target×10). Zero ambers = score 10.</t>
  </si>
  <si>
    <t>HSQE Tracker - Impact = Opportunity, DE/FT Name</t>
  </si>
  <si>
    <t>Red Alerts - Minor (G2)</t>
  </si>
  <si>
    <t>0</t>
  </si>
  <si>
    <t>Any red alerts = HIGH risk signal</t>
  </si>
  <si>
    <t>Red Alert Score = MAX(Minor sub-score, Moderate/Major sub-score). Minor: each event = +0.8 above baseline 1, capped at 5. Moderate/Major: each event = +2 above baseline 1, capped at 5. Score = MAX(MIN(5, minor×0.8+1), MIN(5, mod_maj×2+1)). Major event also forces AUTO HIGH via override regardless of score.</t>
  </si>
  <si>
    <t>HSQE Events export - Impact = Minor | Moderate | Major, DE/FT Name</t>
  </si>
  <si>
    <t>Red Alerts - Moderate/Major (G3+)</t>
  </si>
  <si>
    <t>Folded into Red Alert Score above</t>
  </si>
  <si>
    <t>Count only - scoring handled by Red Alert Score in row 7.</t>
  </si>
  <si>
    <t>HSQE Events export - Impact = Moderate | Major, DE/FT Name</t>
  </si>
  <si>
    <t>Major event override</t>
  </si>
  <si>
    <t>Any Major = AUTO HIGH</t>
  </si>
  <si>
    <t>Any Major impact event forces team to HIGH regardless of composite score.</t>
  </si>
  <si>
    <t>HSQE Tracker 2 CSV - Impact = Major, DE/FT Name</t>
  </si>
  <si>
    <t>Skillko Compliance</t>
  </si>
  <si>
    <t>95%</t>
  </si>
  <si>
    <t>Low % = HIGH risk</t>
  </si>
  <si>
    <t>Score = (1 − actual%) × 4 + 1, range 1–5. E.g. 70% compliance = score 2.2.</t>
  </si>
  <si>
    <t>Skillko export - team summary rows, Compliance column</t>
  </si>
  <si>
    <t>Post-Cut Quality - defect rate</t>
  </si>
  <si>
    <t>0% defect rate per month</t>
  </si>
  <si>
    <t>High defect rate = HIGH risk</t>
  </si>
  <si>
    <t>Score = (non-compliant poles / total poles assessed) × 4 + 1, range 1–5, capped at 5. If no poles assessed this month, score = 0 (no data = no penalty). Uses rate not count, so team workload does not inflate risk.</t>
  </si>
  <si>
    <t>Post-cut quality export - FT On Site, Completed, Summary of Works</t>
  </si>
  <si>
    <t>Site Safety Visit (SSV)</t>
  </si>
  <si>
    <t>Score based on Overall Result of SafetyCulture audits in rolling 90-day window. High Standards=4, Compliant=3, Minor NC with 1 finding=2, Minor NC with 2+ findings=1. 5 stars requires 2+ visits all returning High Standards. 1 visit High Standards = 4 stars maximum. No visits in window = 3 (neutral).</t>
  </si>
  <si>
    <t>SafetyCulture SSV export — Data - SSV tab</t>
  </si>
  <si>
    <t>Total Weight (active metrics)</t>
  </si>
  <si>
    <t>Close-out Rate</t>
  </si>
  <si>
    <t>RISK THRESHOLDS</t>
  </si>
  <si>
    <t>Band</t>
  </si>
  <si>
    <t>Score Range</t>
  </si>
  <si>
    <t>PM Visit Cadence</t>
  </si>
  <si>
    <t>Plan Required?</t>
  </si>
  <si>
    <t>Notes</t>
  </si>
  <si>
    <t>LOW</t>
  </si>
  <si>
    <t>1.0 – 2.74</t>
  </si>
  <si>
    <t>Green</t>
  </si>
  <si>
    <t>Standard cadence</t>
  </si>
  <si>
    <t>No</t>
  </si>
  <si>
    <t>All metrics within target. Continue monthly monitoring.</t>
  </si>
  <si>
    <t>MEDIUM</t>
  </si>
  <si>
    <t>2.75 – 5.4</t>
  </si>
  <si>
    <t>Amber</t>
  </si>
  <si>
    <t>Weekly PM check-in</t>
  </si>
  <si>
    <t>One or more metrics underperforming. Initiate coaching.</t>
  </si>
  <si>
    <t>HIGH</t>
  </si>
  <si>
    <t>3.25 – 10.0</t>
  </si>
  <si>
    <t>Red</t>
  </si>
  <si>
    <t>3x per week (PM)</t>
  </si>
  <si>
    <t>Yes</t>
  </si>
  <si>
    <t>Improvement plan within 5 working days. Review weekly.</t>
  </si>
  <si>
    <t>MAJOR EVENT OVERRIDE: Any team with a Major impact event this month is automatically scored HIGH regardless of composite score. This appears in col M of Monthly Matrix.</t>
  </si>
  <si>
    <t>HIGH threshold (&gt;=)</t>
  </si>
  <si>
    <t>AMBER TARGET: Calculated per team as Operative Count × 2 per month. Zero amber reporting is treated as a risk signal, not a low-risk outcome.</t>
  </si>
  <si>
    <t>MEDIUM threshold (&gt;=)</t>
  </si>
  <si>
    <t>AMBER FLOOR OVERRIDE: Teams submitting fewer than 20% of their amber target are automatically HIGH. This captures near-zero reporters, not just absolute zero.</t>
  </si>
  <si>
    <t>Amber floor threshold (score &gt;= = AUTO HIGH)</t>
  </si>
  <si>
    <t>Teams with amber score &gt;= 8 (submitting &lt; 20% of monthly target) are automatically rated HIGH regardless of composite score. Zero reporters score 10 and are always captured by this rule.</t>
  </si>
  <si>
    <t>FIELD TEAM RISK MATRIX - MONTHLY SCORING</t>
  </si>
  <si>
    <t>Scores calculate automatically from Field Teams and Data tabs. Set date range in Dashboard: N1 = start date, O1 = end date. Regenerate Pole Results sheet after each quality data paste. RAG logic: Major event or amber score ≥8 forces HIGH regardless of composite. Inactive teams show blank scores and are excluded from all rankings.</t>
  </si>
  <si>
    <t>Team Name</t>
  </si>
  <si>
    <t>Operative
Count</t>
  </si>
  <si>
    <t>Amber
Target</t>
  </si>
  <si>
    <t>Amber
Count</t>
  </si>
  <si>
    <t>Red Alerts
(Minor)</t>
  </si>
  <si>
    <t>Red Alerts
(Mod/Maj)</t>
  </si>
  <si>
    <t>Major
Event?</t>
  </si>
  <si>
    <t>Skillko
(%)</t>
  </si>
  <si>
    <t>Skillko
Score</t>
  </si>
  <si>
    <t>Non-Compliant
Poles</t>
  </si>
  <si>
    <t>Amber
Score</t>
  </si>
  <si>
    <t>Red Alert
Score</t>
  </si>
  <si>
    <t>Quality
Score
(rate)</t>
  </si>
  <si>
    <t>COMPOSITE
SCORE
(★1–5)</t>
  </si>
  <si>
    <t>★ Amber</t>
  </si>
  <si>
    <t>★ Red Alerts</t>
  </si>
  <si>
    <t>★ Skillko</t>
  </si>
  <si>
    <t>★ Quality</t>
  </si>
  <si>
    <t>★ SSV</t>
  </si>
  <si>
    <t>★ Composite</t>
  </si>
  <si>
    <t>Rank
(high)</t>
  </si>
  <si>
    <t>Rank
(low)</t>
  </si>
  <si>
    <t>Rank Score (low-risk tie-break)</t>
  </si>
  <si>
    <t>4wk
HIGH</t>
  </si>
  <si>
    <t>Plan
Required?</t>
  </si>
  <si>
    <t>Date
Start
(helper)</t>
  </si>
  <si>
    <t>Pole/Criteria
Checks</t>
  </si>
  <si>
    <t>Date
End
(helper)</t>
  </si>
  <si>
    <t>HIGH
Rank
(helper)</t>
  </si>
  <si>
    <t>H+M
Rank
(helper)</t>
  </si>
  <si>
    <t>Trend
vs
Prev Month</t>
  </si>
  <si>
    <t>SSV
Visit Count
(helper)</t>
  </si>
  <si>
    <t>SSV
Score
(1–5)</t>
  </si>
  <si>
    <t>DATA - SKILLKO (OPERATIVE ROSTER &amp; COMPLIANCE)</t>
  </si>
  <si>
    <t>DELETE all existing data from row 5 downwards before pasting each month. Paste current month Skillko export from row 5. Do NOT include the header row from the Skillko export. Do NOT include the Applied Filters or Total summary rows at the bottom.</t>
  </si>
  <si>
    <t>HOW TO PASTE: (1) In Skillko, export the Utilities operative roster. (2) Open in Excel. Select data rows only — exclude header row, Total row, and Applied Filters block. (3) Copy. (4) Click cell A5 in this sheet. (5) Paste. Required columns in order: Operating Unit Name | Field Team Name | Full Name | Job Role | Compliance % | Required | Achieved | Joined. Operative count and Skillko compliance in Monthly Matrix update automatically.</t>
  </si>
  <si>
    <t>Operating Unit Name</t>
  </si>
  <si>
    <t>Full Name</t>
  </si>
  <si>
    <t>Job Role</t>
  </si>
  <si>
    <t>Compliance</t>
  </si>
  <si>
    <t>Required</t>
  </si>
  <si>
    <t>Achieved</t>
  </si>
  <si>
    <t>Joined</t>
  </si>
  <si>
    <t>Team (auto)</t>
  </si>
  <si>
    <t>Total</t>
  </si>
  <si>
    <t>Jack McCann</t>
  </si>
  <si>
    <t>Business Matrix</t>
  </si>
  <si>
    <t>Customer - Utility Arboriculture</t>
  </si>
  <si>
    <t>Grounds Person</t>
  </si>
  <si>
    <t>James Parkin</t>
  </si>
  <si>
    <t>Arborist</t>
  </si>
  <si>
    <t>Mitchell Shield</t>
  </si>
  <si>
    <t>MJP Tree Services Ltd .</t>
  </si>
  <si>
    <t>Team Matrix</t>
  </si>
  <si>
    <t>Mark Harris</t>
  </si>
  <si>
    <t>Daniel Lee</t>
  </si>
  <si>
    <t>Paul Durham</t>
  </si>
  <si>
    <t>Craig Durham</t>
  </si>
  <si>
    <t>Glen Walbank</t>
  </si>
  <si>
    <t>Rob Baker</t>
  </si>
  <si>
    <t>Ellis Griffin</t>
  </si>
  <si>
    <t>Will Finn</t>
  </si>
  <si>
    <t>Keighley Tree Services .</t>
  </si>
  <si>
    <t>Brandon Oxford</t>
  </si>
  <si>
    <t>Richard Knight</t>
  </si>
  <si>
    <t>james hart</t>
  </si>
  <si>
    <t>Freddie williams</t>
  </si>
  <si>
    <t>James Williams</t>
  </si>
  <si>
    <t>Will Dibble</t>
  </si>
  <si>
    <t>Gethin Harris</t>
  </si>
  <si>
    <t>Spencer John</t>
  </si>
  <si>
    <t>Luca Arata Nicholson</t>
  </si>
  <si>
    <t>Gethyn Durham</t>
  </si>
  <si>
    <t>George Harris Tree Services .</t>
  </si>
  <si>
    <t>George Harris</t>
  </si>
  <si>
    <t>JAYDEN MORRIS</t>
  </si>
  <si>
    <t>Ryan Chadburn</t>
  </si>
  <si>
    <t>SEAN GOODE</t>
  </si>
  <si>
    <t>KIERAN HINDG</t>
  </si>
  <si>
    <t>CASS WALKER SMITH</t>
  </si>
  <si>
    <t>SERHLL SKRYPKA</t>
  </si>
  <si>
    <t>BRYN SMITH</t>
  </si>
  <si>
    <t>Ben Hutchinson</t>
  </si>
  <si>
    <t>Richard Wootton</t>
  </si>
  <si>
    <t>Gareth Jones</t>
  </si>
  <si>
    <t>Michael Moore</t>
  </si>
  <si>
    <t>LEE WAINWRIGHT</t>
  </si>
  <si>
    <t>LUKE HIGGINGBOTTOM</t>
  </si>
  <si>
    <t>Stephen Smith</t>
  </si>
  <si>
    <t>David Beaumont</t>
  </si>
  <si>
    <t>Paul Levin</t>
  </si>
  <si>
    <t>Stephen Hunt</t>
  </si>
  <si>
    <t>Glynn Gannon</t>
  </si>
  <si>
    <t>Jake Smith</t>
  </si>
  <si>
    <t>evan goulding</t>
  </si>
  <si>
    <t>sam gold</t>
  </si>
  <si>
    <t>Jared Rogers</t>
  </si>
  <si>
    <t>Mon &amp; Brec Tree Services ltd. .</t>
  </si>
  <si>
    <t>Oliver Radford</t>
  </si>
  <si>
    <t>Will Heal</t>
  </si>
  <si>
    <t>Jozef Porubsky</t>
  </si>
  <si>
    <t>Tom Marsh</t>
  </si>
  <si>
    <t>Ricky Gomez</t>
  </si>
  <si>
    <t>Glenn Babbage</t>
  </si>
  <si>
    <t>Carl Giles</t>
  </si>
  <si>
    <t>Mark Pearce</t>
  </si>
  <si>
    <t>Ben Wood</t>
  </si>
  <si>
    <t>George Tomlinson</t>
  </si>
  <si>
    <t>Thomas Alexander</t>
  </si>
  <si>
    <t>James Collingwood</t>
  </si>
  <si>
    <t>Alexander Glover</t>
  </si>
  <si>
    <t>Luke Alexander</t>
  </si>
  <si>
    <t>Ross Beaumont</t>
  </si>
  <si>
    <t>Jonny Wilson</t>
  </si>
  <si>
    <t>Iain Edgar</t>
  </si>
  <si>
    <t>Adam Harrowing</t>
  </si>
  <si>
    <t>Aiden Odell</t>
  </si>
  <si>
    <t>Daniel Wright</t>
  </si>
  <si>
    <t>Hayden Roberts</t>
  </si>
  <si>
    <t>Jack Parker</t>
  </si>
  <si>
    <t>Jack Askham</t>
  </si>
  <si>
    <t>James Vining</t>
  </si>
  <si>
    <t>JPAS Contracting Ltd .</t>
  </si>
  <si>
    <t>Richard Ashford</t>
  </si>
  <si>
    <t>John Lamond</t>
  </si>
  <si>
    <t>Will Rawlings</t>
  </si>
  <si>
    <t>Callum Bain</t>
  </si>
  <si>
    <t>Finlay Richards</t>
  </si>
  <si>
    <t>Tom Taplin</t>
  </si>
  <si>
    <t>Heartwood Tree Surgeons Ltd .</t>
  </si>
  <si>
    <t>Josh Brewer</t>
  </si>
  <si>
    <t>Oliver Campbell</t>
  </si>
  <si>
    <t>Will James</t>
  </si>
  <si>
    <t>Adam Watmough</t>
  </si>
  <si>
    <t>Harry Watmough</t>
  </si>
  <si>
    <t>James Thornley</t>
  </si>
  <si>
    <t>Matthew Sear</t>
  </si>
  <si>
    <t>Lewis Keep</t>
  </si>
  <si>
    <t>Ben Sear</t>
  </si>
  <si>
    <t>Alex Robinson</t>
  </si>
  <si>
    <t>Matt Boffy</t>
  </si>
  <si>
    <t>Connor Mahoney</t>
  </si>
  <si>
    <t>Callis Allen</t>
  </si>
  <si>
    <t>James Summers</t>
  </si>
  <si>
    <t>East Midlands Arb Ltd .</t>
  </si>
  <si>
    <t>Jodie Cotton</t>
  </si>
  <si>
    <t>Charles Copley</t>
  </si>
  <si>
    <t>Charlie Short</t>
  </si>
  <si>
    <t>Jake Bilton</t>
  </si>
  <si>
    <t>Luke Johnson</t>
  </si>
  <si>
    <t>Oliver Rance</t>
  </si>
  <si>
    <t>Jack Copley</t>
  </si>
  <si>
    <t>Matthew Jackson</t>
  </si>
  <si>
    <t>Toby Panton</t>
  </si>
  <si>
    <t>Antony Cook</t>
  </si>
  <si>
    <t>Alexander Lush</t>
  </si>
  <si>
    <t>Harry Woodcock</t>
  </si>
  <si>
    <t>Darren Witt</t>
  </si>
  <si>
    <t>Leanne Webb</t>
  </si>
  <si>
    <t>Samuel Knight</t>
  </si>
  <si>
    <t>Alex John Sawkins</t>
  </si>
  <si>
    <t>Jake Turner</t>
  </si>
  <si>
    <t>Adam Nobles</t>
  </si>
  <si>
    <t>Lewis Stent</t>
  </si>
  <si>
    <t>Ed Flint</t>
  </si>
  <si>
    <t>Adam Andrews</t>
  </si>
  <si>
    <t>Ryan Fletcher</t>
  </si>
  <si>
    <t>Treerebral Ltd .</t>
  </si>
  <si>
    <t>Martin Odonnell</t>
  </si>
  <si>
    <t>Matthew Hughes</t>
  </si>
  <si>
    <t>Sam Sawkins</t>
  </si>
  <si>
    <t>Connor - James Batham</t>
  </si>
  <si>
    <t>Keiran George</t>
  </si>
  <si>
    <t>Tom Fraser</t>
  </si>
  <si>
    <t>James Batham</t>
  </si>
  <si>
    <t>mathew Harper</t>
  </si>
  <si>
    <t>Bathams Tree Care Ltd .</t>
  </si>
  <si>
    <t>Myles Greenwood</t>
  </si>
  <si>
    <t>William Clark</t>
  </si>
  <si>
    <t>Joe Irving</t>
  </si>
  <si>
    <t>Charlie Batten</t>
  </si>
  <si>
    <t>Zachary Zamiri</t>
  </si>
  <si>
    <t>Dylan Bonnar-Curtis</t>
  </si>
  <si>
    <t>Josh Clark</t>
  </si>
  <si>
    <t>Robert Ward</t>
  </si>
  <si>
    <t>Jon Payne</t>
  </si>
  <si>
    <t>Ted Firth</t>
  </si>
  <si>
    <t>Arthur Doyle</t>
  </si>
  <si>
    <t>Chris Tingle</t>
  </si>
  <si>
    <t>Sam Hirschmann</t>
  </si>
  <si>
    <t>Glen Castledine</t>
  </si>
  <si>
    <t>Jamie O'Brien</t>
  </si>
  <si>
    <t>William Harling</t>
  </si>
  <si>
    <t>Duncan McGregor-Riley</t>
  </si>
  <si>
    <t>Jack Beaumont</t>
  </si>
  <si>
    <t>Joe Treslove</t>
  </si>
  <si>
    <t>Peter Ridley</t>
  </si>
  <si>
    <t>Tom Roberts</t>
  </si>
  <si>
    <t>Kevin Malkin</t>
  </si>
  <si>
    <t>Luke Ridley</t>
  </si>
  <si>
    <t>Mike Rasmussen</t>
  </si>
  <si>
    <t>Jack Bryant</t>
  </si>
  <si>
    <t>James Collins</t>
  </si>
  <si>
    <t>Lawrence Henderson</t>
  </si>
  <si>
    <t>Tim Cussen</t>
  </si>
  <si>
    <t>Alexander Corcoran</t>
  </si>
  <si>
    <t>Dominic Ridley</t>
  </si>
  <si>
    <t>Jamie Gimson</t>
  </si>
  <si>
    <t>Dagaen Wood</t>
  </si>
  <si>
    <t>Jamie Michael</t>
  </si>
  <si>
    <t>Luke Tailby</t>
  </si>
  <si>
    <t>Dominic Chauhan</t>
  </si>
  <si>
    <t>Samuel Boughey</t>
  </si>
  <si>
    <t>Joe Taviner</t>
  </si>
  <si>
    <t>Ryan Varley</t>
  </si>
  <si>
    <t>Gregory Parsons</t>
  </si>
  <si>
    <t>Jay Broad</t>
  </si>
  <si>
    <t>Bradley Bartlett</t>
  </si>
  <si>
    <t>Simon Crisp</t>
  </si>
  <si>
    <t>Oliver Banfield</t>
  </si>
  <si>
    <t>Jack Cotterill</t>
  </si>
  <si>
    <t>Jack Cotterill Tree Services Ltd .</t>
  </si>
  <si>
    <t>Liam Ansell</t>
  </si>
  <si>
    <t>Max Pugh</t>
  </si>
  <si>
    <t>Oliver Blocksidge</t>
  </si>
  <si>
    <t>Robert Ambrose</t>
  </si>
  <si>
    <t>Samuel Grove-Wallace</t>
  </si>
  <si>
    <t>Max Pursey</t>
  </si>
  <si>
    <t>Shaun Alan Harvey</t>
  </si>
  <si>
    <t>Colin Spindley</t>
  </si>
  <si>
    <t>Noel Beal</t>
  </si>
  <si>
    <t>Stewart Hobson</t>
  </si>
  <si>
    <t>Ryan Wootton</t>
  </si>
  <si>
    <t>Daniel Wootton</t>
  </si>
  <si>
    <t>James Wootton</t>
  </si>
  <si>
    <t>OJ Morgan Services Ltd .</t>
  </si>
  <si>
    <t>Douglas Edwards</t>
  </si>
  <si>
    <t>Eifion Pengelly</t>
  </si>
  <si>
    <t>Owen Morgan</t>
  </si>
  <si>
    <t>Oliver Brown</t>
  </si>
  <si>
    <t>Chris Burton</t>
  </si>
  <si>
    <t>Josh Leiper</t>
  </si>
  <si>
    <t>Jolyon Ashby</t>
  </si>
  <si>
    <t>Cameron Perreau</t>
  </si>
  <si>
    <t>Reece Gilbert</t>
  </si>
  <si>
    <t>Connor Hendy</t>
  </si>
  <si>
    <t>Jamie Cooper</t>
  </si>
  <si>
    <t>Ashley Horwood</t>
  </si>
  <si>
    <t>Anthony Bassenger</t>
  </si>
  <si>
    <t>Peter Gambrill</t>
  </si>
  <si>
    <t>Dan Watkins</t>
  </si>
  <si>
    <t>Jinan Kalo</t>
  </si>
  <si>
    <t>Jacob Morris</t>
  </si>
  <si>
    <t>Joshua Morris</t>
  </si>
  <si>
    <t>Matthew Clark</t>
  </si>
  <si>
    <t>Mark Morris</t>
  </si>
  <si>
    <t>Michael Stacey</t>
  </si>
  <si>
    <t>Samuel Miles</t>
  </si>
  <si>
    <t>Jacob Elliott</t>
  </si>
  <si>
    <t>SJ Tree &amp; Security Maintenance .</t>
  </si>
  <si>
    <t>John Watson</t>
  </si>
  <si>
    <t>Aaron Stone</t>
  </si>
  <si>
    <t>Daniel Humphries</t>
  </si>
  <si>
    <t>Chris Price</t>
  </si>
  <si>
    <t>Adam Wilkins</t>
  </si>
  <si>
    <t>Harvey Green</t>
  </si>
  <si>
    <t>Morgan Dicks</t>
  </si>
  <si>
    <t>Thomas Housman</t>
  </si>
  <si>
    <t>Housman Tree Services Ltd Housman</t>
  </si>
  <si>
    <t>Michael Andrew</t>
  </si>
  <si>
    <t>Marlee Butler</t>
  </si>
  <si>
    <t>Matt Flood</t>
  </si>
  <si>
    <t>Richard Knott</t>
  </si>
  <si>
    <t>Sam Gilbert</t>
  </si>
  <si>
    <t>Scott Carpenter</t>
  </si>
  <si>
    <t>Richard Crouch</t>
  </si>
  <si>
    <t>Joseph Astin</t>
  </si>
  <si>
    <t>reece wilkinson</t>
  </si>
  <si>
    <t>Luke Williams</t>
  </si>
  <si>
    <t>kian gilbert</t>
  </si>
  <si>
    <t>thomas price</t>
  </si>
  <si>
    <t>Jay Denkmayer</t>
  </si>
  <si>
    <t>Dan Gilbert</t>
  </si>
  <si>
    <t>Steven Garratley</t>
  </si>
  <si>
    <t>Phil Pilmer</t>
  </si>
  <si>
    <t>Electrification Construction Services Ltd .</t>
  </si>
  <si>
    <t>L&amp;L Group LTD .</t>
  </si>
  <si>
    <t>Ollie Hancock</t>
  </si>
  <si>
    <t>Jack churchill</t>
  </si>
  <si>
    <t>Joe Waite</t>
  </si>
  <si>
    <t>Michael John Reeves</t>
  </si>
  <si>
    <t>Scott Andrews</t>
  </si>
  <si>
    <t>Chris Robinson</t>
  </si>
  <si>
    <t>Richard Payne</t>
  </si>
  <si>
    <t>Josh Pegrum</t>
  </si>
  <si>
    <t>Sean Corcoran</t>
  </si>
  <si>
    <t>Jason Mccloy</t>
  </si>
  <si>
    <t>George Astbury</t>
  </si>
  <si>
    <t>Max Baker</t>
  </si>
  <si>
    <t>Alex Hayley</t>
  </si>
  <si>
    <t>David George</t>
  </si>
  <si>
    <t>Jac George</t>
  </si>
  <si>
    <t>Elliot Ward</t>
  </si>
  <si>
    <t>Michael George</t>
  </si>
  <si>
    <t>Thomas Dennehy</t>
  </si>
  <si>
    <t>Business Matrix - ROI</t>
  </si>
  <si>
    <t>Customer - ESB - Utility Arb</t>
  </si>
  <si>
    <t>Adam Whitlam</t>
  </si>
  <si>
    <t>Nick Zimmer</t>
  </si>
  <si>
    <t>Rob Blair</t>
  </si>
  <si>
    <t>Connor Templeman</t>
  </si>
  <si>
    <t>Seth Mountstephens</t>
  </si>
  <si>
    <t>Kingfisher Tree Services Ltd .</t>
  </si>
  <si>
    <t>Luke Smith</t>
  </si>
  <si>
    <t>Pete Clayton</t>
  </si>
  <si>
    <t>Belvoir Tree Care .</t>
  </si>
  <si>
    <t>Greg McCullum</t>
  </si>
  <si>
    <t>LT COUNTRYSIDE SERVICES LTD (L&amp;A) .</t>
  </si>
  <si>
    <t>LAWRENCE TRACEY</t>
  </si>
  <si>
    <t>Declan O’Riordan</t>
  </si>
  <si>
    <t>Miles Rendell</t>
  </si>
  <si>
    <t>Mason Rendell</t>
  </si>
  <si>
    <t>MX2 Trees Ltd .</t>
  </si>
  <si>
    <t>Harley Townsend</t>
  </si>
  <si>
    <t>Christopher Burnard</t>
  </si>
  <si>
    <t>Kenney Aldred</t>
  </si>
  <si>
    <t>Joshua Davies</t>
  </si>
  <si>
    <t>Daniel Brown</t>
  </si>
  <si>
    <t>Nikki Sparrow</t>
  </si>
  <si>
    <t>Danny Appleby</t>
  </si>
  <si>
    <t>Tree Tech Suffolk Ltd .</t>
  </si>
  <si>
    <t>Noah Molloy</t>
  </si>
  <si>
    <t>Callum Benjamin</t>
  </si>
  <si>
    <t>Max Boston</t>
  </si>
  <si>
    <t>Mathew Price</t>
  </si>
  <si>
    <t>Joe Hebbron</t>
  </si>
  <si>
    <t>Andrew Hall</t>
  </si>
  <si>
    <t>Blue Sky Arboriculture Ltd .</t>
  </si>
  <si>
    <t>Jack Southwell</t>
  </si>
  <si>
    <t>S6 Tree Specialists Ltd .</t>
  </si>
  <si>
    <t>Luke Lane</t>
  </si>
  <si>
    <t>harrison wood</t>
  </si>
  <si>
    <t>Shane Kenny</t>
  </si>
  <si>
    <t>Aaron Fraser</t>
  </si>
  <si>
    <t>Bradley Ackrell</t>
  </si>
  <si>
    <t>Harry Walker</t>
  </si>
  <si>
    <t>Roots 2 Shoots Ltd -</t>
  </si>
  <si>
    <t>Jacob Cummins</t>
  </si>
  <si>
    <t>Charlie Wilkins</t>
  </si>
  <si>
    <t>Lukas John</t>
  </si>
  <si>
    <t>Andrew Jarrett</t>
  </si>
  <si>
    <t>Andrew Munns</t>
  </si>
  <si>
    <t>Daniel Hatton</t>
  </si>
  <si>
    <t>Matthew O'Donovan</t>
  </si>
  <si>
    <t>Andrew Munns Tree Surgery Ltd .</t>
  </si>
  <si>
    <t>Jesse Sturgeon</t>
  </si>
  <si>
    <t>Andrew Hope</t>
  </si>
  <si>
    <t>Hope Ground and Tree Care .</t>
  </si>
  <si>
    <t>M G Tree Surgery Ltd .</t>
  </si>
  <si>
    <t>Anthony Gale</t>
  </si>
  <si>
    <t>Max Gaylor</t>
  </si>
  <si>
    <t>Tim Franklin</t>
  </si>
  <si>
    <t>Matthew Thomas</t>
  </si>
  <si>
    <t>Two Counties Tree Care Ltd .</t>
  </si>
  <si>
    <t>Nino Majewski</t>
  </si>
  <si>
    <t>Alexander Bawcutt</t>
  </si>
  <si>
    <t>William Rawson</t>
  </si>
  <si>
    <t>Greenland Services Ltd .</t>
  </si>
  <si>
    <t>Bradley York</t>
  </si>
  <si>
    <t>Cameron York</t>
  </si>
  <si>
    <t>seamus mulhall</t>
  </si>
  <si>
    <t>Andrew Palfreyman</t>
  </si>
  <si>
    <t>Ropes and Slopes Limited .</t>
  </si>
  <si>
    <t>James Donnellan</t>
  </si>
  <si>
    <t>Mike Lewis</t>
  </si>
  <si>
    <t>Jantzen Bird</t>
  </si>
  <si>
    <t>Mark Gough</t>
  </si>
  <si>
    <t>Wayne Russ</t>
  </si>
  <si>
    <t>Brecon Lee</t>
  </si>
  <si>
    <t>Callum Gulliver</t>
  </si>
  <si>
    <t>Christopher 'Billy' Rhodes</t>
  </si>
  <si>
    <t>Georgie Gough</t>
  </si>
  <si>
    <t>James Mitton</t>
  </si>
  <si>
    <t>Luke Trim</t>
  </si>
  <si>
    <t>Ollie Edgar</t>
  </si>
  <si>
    <t>RFP Tree and Landscape Services Ltd .</t>
  </si>
  <si>
    <t>Samuel Badger</t>
  </si>
  <si>
    <t>William Keel</t>
  </si>
  <si>
    <t>Tom Playford</t>
  </si>
  <si>
    <t>Green Net Eco Limited .</t>
  </si>
  <si>
    <t>Jacob Oram</t>
  </si>
  <si>
    <t>Cory Joy</t>
  </si>
  <si>
    <t>Harvey Joy</t>
  </si>
  <si>
    <t>Hywel Jones Tree Services .</t>
  </si>
  <si>
    <t>Patrick Oshea</t>
  </si>
  <si>
    <t>Lewis Macnicol</t>
  </si>
  <si>
    <t>MAC Trees and Fencing .</t>
  </si>
  <si>
    <t>Luke G Wootton</t>
  </si>
  <si>
    <t>Curtis Smith</t>
  </si>
  <si>
    <t>George A Wootton</t>
  </si>
  <si>
    <t>George S Wootton</t>
  </si>
  <si>
    <t>Joshua A Wootton</t>
  </si>
  <si>
    <t>Wootton Forestry &amp; Powerline Services Ltd .</t>
  </si>
  <si>
    <t>AAT Tree Services .</t>
  </si>
  <si>
    <t>Daisy Hughes-Gardiner</t>
  </si>
  <si>
    <t>Daniel Lewis</t>
  </si>
  <si>
    <t>Iorwerth Archer</t>
  </si>
  <si>
    <t>Kevin Bell</t>
  </si>
  <si>
    <t>Simon Williams</t>
  </si>
  <si>
    <t>Austin Tree Care LTD .</t>
  </si>
  <si>
    <t>Jack Austin</t>
  </si>
  <si>
    <t>James Tasker</t>
  </si>
  <si>
    <t>Harvey Belcher</t>
  </si>
  <si>
    <t>High Branch .</t>
  </si>
  <si>
    <t>Joshua Boughen-Pearson</t>
  </si>
  <si>
    <t>Sam Belcher</t>
  </si>
  <si>
    <t>Robert Dickens</t>
  </si>
  <si>
    <t>Steven Astbury</t>
  </si>
  <si>
    <t>Tree Flex Ltd .</t>
  </si>
  <si>
    <t>Bailey Mihill</t>
  </si>
  <si>
    <t>Kyrie Zacharia</t>
  </si>
  <si>
    <t>Tree Tops Arborist .</t>
  </si>
  <si>
    <t>DATA - HSQE EVENTS  |  ROLLING ANNUAL LOG  |  Do not delete rows - append new months below</t>
  </si>
  <si>
    <t>ROLLING LOG — append new monthly data below existing rows. Do NOT delete previous months. Do NOT re-paste the header row. Monthly Matrix filters by the date range set in Dashboard N1 (start) and O1 (end). Amber alerts = Impact: Opportunity. Red alerts = Impact: Minor, Moderate, or Major.</t>
  </si>
  <si>
    <t>HOW TO ADD A NEW MONTH: (1) Export HSQE Tracker 2 filtered to the scoring period and Utilities division. (2) Open export in Excel. Select data rows only — no header row. Copy. (3) Click the first empty cell in col A below the last existing row. Paste. Key columns used by matrix: Date Started (F) | Reported By (H) | Impact (R) | DE/FT Name (V) | Resolved (AC).</t>
  </si>
  <si>
    <t>ID</t>
  </si>
  <si>
    <t>Include in stats</t>
  </si>
  <si>
    <t>Inspection Title</t>
  </si>
  <si>
    <t>Template Name</t>
  </si>
  <si>
    <t>Incident Number</t>
  </si>
  <si>
    <t>Date Started</t>
  </si>
  <si>
    <t>Date Completed</t>
  </si>
  <si>
    <t>Reported By</t>
  </si>
  <si>
    <t>Division</t>
  </si>
  <si>
    <t>Subdivision</t>
  </si>
  <si>
    <t>Incident Type</t>
  </si>
  <si>
    <t>Incident Subtype</t>
  </si>
  <si>
    <t>HSQE Trend Types</t>
  </si>
  <si>
    <t>Category</t>
  </si>
  <si>
    <t>New Type</t>
  </si>
  <si>
    <t>New Subtype</t>
  </si>
  <si>
    <t>New Trend Type</t>
  </si>
  <si>
    <t>Impact</t>
  </si>
  <si>
    <t>Potential Impact</t>
  </si>
  <si>
    <t>Report Detail</t>
  </si>
  <si>
    <t>FT Involved</t>
  </si>
  <si>
    <t>DE/FT Name</t>
  </si>
  <si>
    <t>Divisional Manager</t>
  </si>
  <si>
    <t>Client</t>
  </si>
  <si>
    <t>Site / Location</t>
  </si>
  <si>
    <t>Region</t>
  </si>
  <si>
    <t>Route</t>
  </si>
  <si>
    <t>GPS Location</t>
  </si>
  <si>
    <t>Resolved</t>
  </si>
  <si>
    <t>HSQE Representative/s</t>
  </si>
  <si>
    <t>Investigation Owners</t>
  </si>
  <si>
    <t>Reference Number</t>
  </si>
  <si>
    <t>Lost Time</t>
  </si>
  <si>
    <t>Investigation Completed</t>
  </si>
  <si>
    <t>Email this incident to</t>
  </si>
  <si>
    <t>Communications Sent</t>
  </si>
  <si>
    <t>Send Email</t>
  </si>
  <si>
    <t>Notified Client</t>
  </si>
  <si>
    <t>Extra Works</t>
  </si>
  <si>
    <t>FIxed Price in £</t>
  </si>
  <si>
    <t>Riddor Reference</t>
  </si>
  <si>
    <t>Created</t>
  </si>
  <si>
    <t>Injury Information</t>
  </si>
  <si>
    <t>GC Division</t>
  </si>
  <si>
    <t>GC Division: Business Unit Group</t>
  </si>
  <si>
    <t>Time Taken</t>
  </si>
  <si>
    <t>FIRST PASTE: click A6.  SUBSEQUENT MONTHS: click first empty row in col A below last entry.</t>
  </si>
  <si>
    <t>30 Mar 2026 / 7186 Eastwoodbury Tree Services Ltd</t>
  </si>
  <si>
    <t>AMBER ALERT - GC TEAMS - RMS/053</t>
  </si>
  <si>
    <t>INC38649</t>
  </si>
  <si>
    <t>7186 Eastwoodbury Tree Services Ltd</t>
  </si>
  <si>
    <t>Utilities</t>
  </si>
  <si>
    <t>UKPN</t>
  </si>
  <si>
    <t>Minor Property Damage</t>
  </si>
  <si>
    <t>Property &amp; Infrastructure</t>
  </si>
  <si>
    <t>Vehicle</t>
  </si>
  <si>
    <t>Incident</t>
  </si>
  <si>
    <t>Fleet</t>
  </si>
  <si>
    <t>Road Traffic Incident - Non Motorway</t>
  </si>
  <si>
    <t>Field Team Vehicle RTI</t>
  </si>
  <si>
    <t>Opportunity</t>
  </si>
  <si>
    <t>Minor</t>
  </si>
  <si>
    <t xml:space="preserve">Coming up to the junction at the give way line. We stopped as another car was coming then the car behind us went into the back of us. </t>
  </si>
  <si>
    <t xml:space="preserve">Pat </t>
  </si>
  <si>
    <t xml:space="preserve">Site Name: 
Project Name: 
ELR:
W3W: ///paintings.curtains.honest
Junction: 
RCC: 
Structure: 
Description:Roundabout sliproad leading onto a120 </t>
  </si>
  <si>
    <t>EPN North - Colchester</t>
  </si>
  <si>
    <t>N/A</t>
  </si>
  <si>
    <t>21 Thresher Rise, Braintree CM77 7WN, UK
(51.8693177, 0.5326406)</t>
  </si>
  <si>
    <t>James Angus;Rory Chisholm;Richard Moses;Emily Eva</t>
  </si>
  <si>
    <t>Actions Taken: Details been exchanged no one is hurt and the vehicles moved off the road 
Actions RaisedNone
SC Notes: None</t>
  </si>
  <si>
    <t>Infrastructure &amp; Utilities</t>
  </si>
  <si>
    <t>2 Apr 2026 / 7951 Austin Tree Care LTD</t>
  </si>
  <si>
    <t>INC38801</t>
  </si>
  <si>
    <t>7951 Austin Tree Care LTD</t>
  </si>
  <si>
    <t>Hazard</t>
  </si>
  <si>
    <t>Health &amp; Safety</t>
  </si>
  <si>
    <t>Access Point, Gates, Signs, Road</t>
  </si>
  <si>
    <t>Hazard / Close Call</t>
  </si>
  <si>
    <t>Asset / Tool Damage</t>
  </si>
  <si>
    <t>Customer Asset Damage</t>
  </si>
  <si>
    <t>Missing DOD 
E15H 415333</t>
  </si>
  <si>
    <t>Site Name: 
Project Name: 
ELR:
W3W: 
Junction: 
RCC: 
Structure: 
Description:</t>
  </si>
  <si>
    <t>EPN North - Cambridge</t>
  </si>
  <si>
    <t>Pending</t>
  </si>
  <si>
    <t>Actions Taken: 
Actions RaisedNone
SC Notes: None</t>
  </si>
  <si>
    <t>8 Apr 2026 / 6617 Ashdown Tree Limited 1</t>
  </si>
  <si>
    <t>INC38896</t>
  </si>
  <si>
    <t>6617 Ashdown Tree Limited - Team 2</t>
  </si>
  <si>
    <t>Damaged Asset</t>
  </si>
  <si>
    <t>Building / Facilities Damage</t>
  </si>
  <si>
    <t>Structural Safety</t>
  </si>
  <si>
    <t>Wood pecker hole in electrical pole</t>
  </si>
  <si>
    <t>Alex</t>
  </si>
  <si>
    <t>3679 : UK Power Networks</t>
  </si>
  <si>
    <t xml:space="preserve">Site Name: 
Project Name: 
ELR:
W3W: Footsteps.toast.estimate 
Junction: 
RCC: 
Structure: 
Description:In a field </t>
  </si>
  <si>
    <t>Worlds End Farm
Halstead England CO9 2QE
United Kingdom
(51.958244488061105, 0.6790655541542725)</t>
  </si>
  <si>
    <t>Actions Taken: N/A
Actions RaisedNone
SC Notes: None</t>
  </si>
  <si>
    <t>17 Apr 2026 / 7996 M G Tree Surgery Ltd 1</t>
  </si>
  <si>
    <t>INC39248</t>
  </si>
  <si>
    <t>7996 M G Tree Surgery Ltd 1</t>
  </si>
  <si>
    <t>Spotted a LV pole with the stay wire secured , by being wrapped around the base of a tree.
Location: 
Sandye lane, Swineshead, Bedford, MK44 2AE
W3W: honey.deriving.olive</t>
  </si>
  <si>
    <t>20 Apr 2026 / 7996 M G Tree Surgery Ltd</t>
  </si>
  <si>
    <t>INC39279</t>
  </si>
  <si>
    <t>7996 M G Tree Surgery Ltd</t>
  </si>
  <si>
    <t>DDD Trees</t>
  </si>
  <si>
    <t>Ecology &amp; Vegetation</t>
  </si>
  <si>
    <t>Flora</t>
  </si>
  <si>
    <t>Potential Hazard cluster of large dead elms category b close to overhead power lines. B50C</t>
  </si>
  <si>
    <t>Ben Arnold</t>
  </si>
  <si>
    <t>Site Name: 
Project Name: 
ELR:
W3W: ///certainly.walkway.extremely
Junction: 
RCC: 
Structure: 434570
Description:Road side</t>
  </si>
  <si>
    <t>23 North Rd, Alconbury, Huntingdon PE28 4JZ, UK
(52.3708429, -0.26601379999999997)</t>
  </si>
  <si>
    <t>Actions Taken: Amber alert
Actions RaisedNone
SC Notes: None</t>
  </si>
  <si>
    <t>23 Apr 2026 / 8040 S6 Tree specialists Ltd</t>
  </si>
  <si>
    <t>INC39456</t>
  </si>
  <si>
    <t>8040 S6 Tree specialists Ltd</t>
  </si>
  <si>
    <t>Animals</t>
  </si>
  <si>
    <t>Fauna</t>
  </si>
  <si>
    <t xml:space="preserve">The pole has been what looks like pecked by a wood pecker quite significantly through the pole which will make it weak </t>
  </si>
  <si>
    <t xml:space="preserve">Luke lane </t>
  </si>
  <si>
    <t xml:space="preserve">Site Name: 
Project Name: 
ELR:
W3W: ///tune.golden.mothering
Junction: 
RCC: 
Structure: 
Description:Down side track </t>
  </si>
  <si>
    <t>Chelmsford England CM4
United Kingdom
(51.67886010015381, 0.4448536961716003)</t>
  </si>
  <si>
    <t>Actions Taken: I’ve let land owners know to not go near pole 
Actions RaisedNone
SC Notes: None</t>
  </si>
  <si>
    <t>27 Apr 2026 / 7186 Eastwoodbury Tree Services Ltd 2</t>
  </si>
  <si>
    <t>INC39595</t>
  </si>
  <si>
    <t>7186 Eastwoodbury Tree Services Ltd 2</t>
  </si>
  <si>
    <t>Security</t>
  </si>
  <si>
    <t>Asset / Tool Theft</t>
  </si>
  <si>
    <t>FT Asset / Tool Theft</t>
  </si>
  <si>
    <t xml:space="preserve">Parked up in field then crossed over to second field to cut span with rods chipper has been stolen while we are away from the truck </t>
  </si>
  <si>
    <t xml:space="preserve">Tom Price </t>
  </si>
  <si>
    <t xml:space="preserve">Site Name: 
Project Name: 
ELR:
W3W: Spend.Puddles.salads 
Junction: 
RCC: 
Structure: 
Description:Open field parkes along hedgerow </t>
  </si>
  <si>
    <t>Trinity Cottage, 3 coptfold cottages Writtle Rd, Margaretting, Ingatestone CM4 0EJ, UK</t>
  </si>
  <si>
    <t>Allocation</t>
  </si>
  <si>
    <t>Actions Taken: CCTv from neighbours property 
Actions RaisedNone
SC Notes: None</t>
  </si>
  <si>
    <t>DATA - POST-CUT QUALITY  |  ROLLING ANNUAL LOG  |  Paste SafetyCulture export below row 5</t>
  </si>
  <si>
    <t>ROLLING LOG — append new monthly data below existing rows. Do NOT delete previous months. Do NOT re-paste the header row. After pasting, re-run the Pole Results parse script to update the Pole Results sheet. Monthly Matrix quality scores draw from Pole Results, not directly from this tab.</t>
  </si>
  <si>
    <t>HOW TO ADD A NEW MONTH: (1) Export SafetyCulture Post-Cut Quality inspections for the scoring period. (2) Open in Excel. Select data rows only — no header row. Copy. (3) Click the first empty cell in col A below the last existing row. Paste. (4) Re-run the Pole Results parse script (see Monthly Import Guide). Key columns: FT On Site (I) | Completed (L) | Summary of Works (T). One form per contractor per inspection — do not submit multi-team forms.</t>
  </si>
  <si>
    <t>Report Type</t>
  </si>
  <si>
    <t>Completed By</t>
  </si>
  <si>
    <t>GC Division: Grouping Level</t>
  </si>
  <si>
    <t>Site</t>
  </si>
  <si>
    <t>Project</t>
  </si>
  <si>
    <t>FT On Site</t>
  </si>
  <si>
    <t>Operatives on site</t>
  </si>
  <si>
    <t>Started</t>
  </si>
  <si>
    <t>Completed</t>
  </si>
  <si>
    <t>Mins Taken</t>
  </si>
  <si>
    <t>Overall Result</t>
  </si>
  <si>
    <t>Failed Responses</t>
  </si>
  <si>
    <t>Title</t>
  </si>
  <si>
    <t>Location</t>
  </si>
  <si>
    <t>Summary of Works</t>
  </si>
  <si>
    <t>Permits</t>
  </si>
  <si>
    <t>Materials Used</t>
  </si>
  <si>
    <t>Actions</t>
  </si>
  <si>
    <t>Raw Non-Compliant
Poles (LEGACY
- see Pole Results)</t>
  </si>
  <si>
    <t>Adj. Non-Compliant
Poles (LEGACY
- see Pole Results)</t>
  </si>
  <si>
    <t>Adj. Pole/Criteria
Checks (LEGACY
- see Pole Results)</t>
  </si>
  <si>
    <t>Adj. Compliant
Checks (LEGACY
- see Pole Results)</t>
  </si>
  <si>
    <t>FIRST PASTE: click A6.  SUBSEQUENT MONTHS: click first empty cell in col A below last row.  Dark green = columns used by Monthly Matrix.</t>
  </si>
  <si>
    <t>Post Cut Quality Inspection</t>
  </si>
  <si>
    <t>Kevin Miller</t>
  </si>
  <si>
    <t>A32c</t>
  </si>
  <si>
    <t>7800 MAC Tree Surgery and Fencing Ltd7186 Eastwoodbury Tree Services Ltd</t>
  </si>
  <si>
    <t>["7800 : 54288 Lewis Macnicol","7186 : 52901 Dan Gilbert",":7800 : 54288 Lewis Macnicol~7186 : 52901 Dan Gilbert~"]</t>
  </si>
  <si>
    <t>31 Mar 2026 / Kevin Miller / GCREP003623 / 3679 : UK Power Networks / A32c / Post Cut Quality Inspection</t>
  </si>
  <si>
    <t>Burghmuir Rd, Stirling FK7 7NZ, UK
(56.1144899, -3.9334827)School St, Willenhall WV13, UK
(52.5840683, -2.0658873)Sheltwood Ln, Bromsgrove B60, UK
(52.31316877790926, -2.0187679678201675)74 Ashmead Dr, Cofton Hackett, Birmingham B45 8AB, UK
(52.379604099999995, -1.9934422)Upper Bittell 103 Bittell Rd, Birmingham B48 7BN, UK
(52.36276628960084, -1.9730276254909405)16 Stoneland Ave, Biggleswade SG18 0EA, UK
(52.094489499999995, -0.25845029999999997)</t>
  </si>
  <si>
    <t>Pole Number:311399-311402-311403-311404-311405-311406#Quality of Works / Criteria of Failings:Compliant~#</t>
  </si>
  <si>
    <t>&lt;p&gt;&lt;/p&gt;</t>
  </si>
  <si>
    <t>A52H</t>
  </si>
  <si>
    <t>6617 Ashdown Tree Limited7800 MAC Tree Surgery and Fencing Ltd</t>
  </si>
  <si>
    <t>09/04/2026 09:33</t>
  </si>
  <si>
    <t>9 Apr 2026 / Kevin Miller / GCREP003661 / 3679 : UK Power Networks / A52H / Post Cut Quality Inspection</t>
  </si>
  <si>
    <t>Joshua Atkins</t>
  </si>
  <si>
    <t>A32D 116Z</t>
  </si>
  <si>
    <t>A32D 116z</t>
  </si>
  <si>
    <t>7995 Green Net Eco Ltd</t>
  </si>
  <si>
    <t>["7995 : 57310 Jacob Oram","7995 : 57388 Tom Playford",":7995 : 57310 Jacob Oram~7995 : 57388 Tom Playford~"]</t>
  </si>
  <si>
    <t>17 Apr 2026 / Joshua Atkins / GCREP003746 / 3679 : UK Power Networks / A32D 116z / Post Cut Quality Inspection</t>
  </si>
  <si>
    <t>Parsonage Ln, Margaretting, Ingatestone CM4, UK
(51.686222908252915, 0.41780412614380086)</t>
  </si>
  <si>
    <t>Pole Number:311669#Quality of Works / Criteria of Failings:Compliant~#</t>
  </si>
  <si>
    <t>A59C 106z</t>
  </si>
  <si>
    <t>A59C</t>
  </si>
  <si>
    <t>7800 MAC Tree Surgery and Fencing Ltd8040 S6 Tree specialists Ltd</t>
  </si>
  <si>
    <t>[":~"]</t>
  </si>
  <si>
    <t>21 Apr 2026 / Kevin Miller / GCREP003787 / 3679 : UK Power Networks / A59C / Post Cut Quality Inspection</t>
  </si>
  <si>
    <t>Richard Moses</t>
  </si>
  <si>
    <t>NGED</t>
  </si>
  <si>
    <t>3308 : National Grid Electricity Distribution plc</t>
  </si>
  <si>
    <t>Chapel St  Leonards 900015/0003</t>
  </si>
  <si>
    <t>900015/0003</t>
  </si>
  <si>
    <t>3201 New Leaf Arb Ltd</t>
  </si>
  <si>
    <t>["3201 : 1849 John Lamond",":3201 : 1849 John Lamond~"]</t>
  </si>
  <si>
    <t xml:space="preserve">Quality of Works / Criteria of Failings: Cut Not Compliant with BS3998~
</t>
  </si>
  <si>
    <t>17 Apr 2026 / Richard Moses / GCREP003744 / 3308 : National Grid Electricity Distribution plc / 900015/0003 / Post Cut Quality Inspection</t>
  </si>
  <si>
    <t xml:space="preserve">Quality of Works / Criteria of Failings:
Observation, cypress appears to be cut with rods, some poor cuts but clearence adhered to. I believe team has cut to prevent cleaning up the side of the tree. Good work on broadleaf.
</t>
  </si>
  <si>
    <t>National Cycle Rte 33, Highbridge TA9 3PF, UK
(51.1815133, -2.9070663)B3141, Highbridge, UK
(51.19031619974014, -2.9381531082768113)16 Mill Ln, Hogsthorpe, Skegness PE24 5NF, UK
(53.224041, 0.3015992)</t>
  </si>
  <si>
    <t>900012/0007</t>
  </si>
  <si>
    <t>5112 DE UA Arb Neil Squires</t>
  </si>
  <si>
    <t>["5112 : 43795 Neil Squires",":5112 : 43795 Neil Squires~"]</t>
  </si>
  <si>
    <t>22 Apr 2026 / Richard Moses / GCREP003824 / 3308 : National Grid Electricity Distribution plc / Post Cut Quality Inspection</t>
  </si>
  <si>
    <t>V697+CP Grantham, UK
(52.8685102, -0.7857065999999999)B4304, Llanelli SA14, UK
(51.66914953065472, -4.1187910288661955)Merry Ln, Highbridge TA9 3PS, UK
(51.202984, -2.9192453)Cote, East Huntspill, Highbridge TA9 3PD, UK
(51.1890446, -2.9508697)Park Rd, United Kingdom
(51.9081693, -2.3258964)Thrussington Mill House, Hoby Rd, Thrussington, Leicester LE7 4TJ, UK
(52.7353506, -1.0289991)74 Church Ln, Mablethorpe LN12 2NU, UK
(53.3336565, 0.24921459999999998)</t>
  </si>
  <si>
    <t>Pole Number:2121500060#Quality of Works / Criteria of Failings:Compliant~#</t>
  </si>
  <si>
    <t>&lt;p&gt;&lt;a href="https&amp;#58;//apps.powerapps.com/play/2d567dc9-5d50-4629-a077-f7ccbff3e239?tenantId=3ef9f654-aa07-41b8-88ad-a411c62bd12c&amp;amp;Action=Open&amp;amp;Actionno=8895"&gt;70 Church Lane Mablethorpe&lt;/a&gt;&lt;br&gt;&lt;/p&gt;</t>
  </si>
  <si>
    <t>B66B SD16</t>
  </si>
  <si>
    <t>["7996 : 56965 Max Gaylor","7996 : 56937 Anthony Gale",":7996 : 56965 Max Gaylor~7996 : 56937 Anthony Gale~"]</t>
  </si>
  <si>
    <t>24 Apr 2026 / Ben Arnold / GCREP003871 / 3679 : UK Power Networks / B66B SD16 / Post Cut Quality Inspection</t>
  </si>
  <si>
    <t>Pole Number:437805#Quality of Works / Criteria of Failings:Compliant~#</t>
  </si>
  <si>
    <t>E08H</t>
  </si>
  <si>
    <t>["7996 : 56965 Max Gaylor","7996 : 56966 Tim Franklin","7996 : 56937 Anthony Gale",":7996 : 56965 Max Gaylor~7996 : 56966 Tim Franklin~7996 : 56937 Anthony Gale~"]</t>
  </si>
  <si>
    <t>24 Apr 2026 / Ben Arnold / GCREP003872 / 3679 : UK Power Networks / Post Cut Quality Inspection</t>
  </si>
  <si>
    <t>Pole Number:424378#Quality of Works / Criteria of Failings:Compliant~#</t>
  </si>
  <si>
    <t>Chapel st Leonards</t>
  </si>
  <si>
    <t>["3201 : 1851 Will Rawlings","3201 : 1849 John Lamond","3201 : 4500 Richard Ashford",":3201 : 1851 Will Rawlings~3201 : 1849 John Lamond~3201 : 4500 Richard Ashford~"]</t>
  </si>
  <si>
    <t xml:space="preserve">Quality of Works / Criteria of Failings: Limited Cuts Recorded~
Quality of Works / Criteria of Failings: Limited Cuts Recorded~
Quality of Works / Criteria of Failings: Limited Cuts Recorded~
Quality of Works / Criteria of Failings: Limited Cuts Recorded~
</t>
  </si>
  <si>
    <t>27 Apr 2026 / Richard Moses / GCREP003892 / 3308 : National Grid Electricity Distribution plc / Chapel st Leonards / Post Cut Quality Inspection</t>
  </si>
  <si>
    <t>Orby Rd, Skegness PE24 4TS, UK
(53.198675354426655, 0.30701606721575564)Bridgwater Community Hospital, Bridgwater TA6 4GU, UKUnnamed Road, Skegness PE24 5NS, UK
(53.212855660400926, 0.297381019840892)</t>
  </si>
  <si>
    <t>["3201 : 1849 John Lamond","3201 : 1851 Will Rawlings","3201 : 4500 Richard Ashford",":3201 : 1849 John Lamond~3201 : 1851 Will Rawlings~3201 : 4500 Richard Ashford~"]</t>
  </si>
  <si>
    <t>27 Apr 2026 / Richard Moses / GCREP003893 / 3308 : National Grid Electricity Distribution plc / 900015/0003 / Post Cut Quality Inspection</t>
  </si>
  <si>
    <t>Orby Rd, Skegness PE24 4TS, UK
(53.198675354426655, 0.30701606721575564)</t>
  </si>
  <si>
    <t>Pole Number:JDCF11#Quality of Works / Criteria of Failings:Compliant~#Pole Number:2127450030#Quality of Works / Criteria of Failings:Compliant~#Pole Number:2127450060#Quality of Works / Criteria of Failings:Compliant~#Pole Number:2127450070#Quality of Works / Criteria of Failings:Compliant~#</t>
  </si>
  <si>
    <t>DATA - SSV (SITE SAFETY VISITS)  |  ROLLING LOG  |  Paste full SafetyCulture CSV export below row 5. Do not delete rows — append new exports below existing data. Duplicate rows are ignored by formulas.</t>
  </si>
  <si>
    <t>VALIDITY RULES: Rows must have (1) Completed date populated, (2) FT On Site populated, (3) Overall Result = High Standards | Compliant | Minor Nonconformity. All other rows are ignored.</t>
  </si>
  <si>
    <t>PASTE INSTRUCTIONS: Export from SafetyCulture &gt; Templates &gt; Monitoring Visit (SSV) &gt; Export as CSV. Paste all rows including header. The formula columns (H onwards) will auto-populate.</t>
  </si>
  <si>
    <t>Template</t>
  </si>
  <si>
    <t>Business Unit</t>
  </si>
  <si>
    <t>Topics Covered</t>
  </si>
  <si>
    <t>Mins taken</t>
  </si>
  <si>
    <t>Number of Questions</t>
  </si>
  <si>
    <t>Compliant Answers</t>
  </si>
  <si>
    <t>Questions Per Min</t>
  </si>
  <si>
    <t>NA Questions</t>
  </si>
  <si>
    <t>NC Questions</t>
  </si>
  <si>
    <t>Exec Summary</t>
  </si>
  <si>
    <t>Witnessed</t>
  </si>
  <si>
    <t>Witness Name</t>
  </si>
  <si>
    <t>Witness Comments</t>
  </si>
  <si>
    <t>FT Name (matched)</t>
  </si>
  <si>
    <t>Completed Date</t>
  </si>
  <si>
    <t>NC Count</t>
  </si>
  <si>
    <t>Visit Score (1-4)</t>
  </si>
  <si>
    <t>Harry Bellis</t>
  </si>
  <si>
    <t>SSE</t>
  </si>
  <si>
    <t>3086 : SSE CONTRACTING</t>
  </si>
  <si>
    <t>211 212</t>
  </si>
  <si>
    <t>VERW E4</t>
  </si>
  <si>
    <t>8102 L F Tree Care Ltd</t>
  </si>
  <si>
    <t>["8102 : 58600 Owen Anderson","8102 : 57473 Antonio Tugnutt"]</t>
  </si>
  <si>
    <t>29/01/2026 10:18</t>
  </si>
  <si>
    <t>29/01/2026 10:36</t>
  </si>
  <si>
    <t>["Operatives","Risk Management","Site &amp; Welfare Arrangements"]</t>
  </si>
  <si>
    <t>18</t>
  </si>
  <si>
    <t>0.0</t>
  </si>
  <si>
    <t>100</t>
  </si>
  <si>
    <t>High Standards</t>
  </si>
  <si>
    <t xml:space="preserve">Exec Summary:
Site and working practices ok
</t>
  </si>
  <si>
    <t>1064</t>
  </si>
  <si>
    <t>6 Broomhall Ln, Shrewsbury SY4, UK
(52.7695272, -2.7742223)6 Attwood Cl, Alderholt, Fordingbridge SP6 3DH, UK
(50.9108204, -1.8374761000000002)</t>
  </si>
  <si>
    <t>Christopher Phillips</t>
  </si>
  <si>
    <t>Beeley Close</t>
  </si>
  <si>
    <t xml:space="preserve">Maintenance </t>
  </si>
  <si>
    <t>4810 J Ashby Tree Services</t>
  </si>
  <si>
    <t>["4810 : 57940 Cameron Perreau"]</t>
  </si>
  <si>
    <t>30/01/2026 10:53</t>
  </si>
  <si>
    <t>30/01/2026 11:01</t>
  </si>
  <si>
    <t>["Vehicles"]</t>
  </si>
  <si>
    <t>8</t>
  </si>
  <si>
    <t>Compliant</t>
  </si>
  <si>
    <t xml:space="preserve">Exec Summary:
All compliant to a satisfactory level
</t>
  </si>
  <si>
    <t>1075</t>
  </si>
  <si>
    <t>For Phil - Highways Review with Ops11 Yew Tree Rd, Charlwood, Horley RH6 0DE, UK
(51.156251, -0.2226082)Belvedere Retail Park, Newcastle upon Tyne NE3 2PA, UK
(55.012432, -1.6653958)55 Beeley Cl, Ashbourne DE6 1SR, UK
(53.0103529, -1.7151718)</t>
  </si>
  <si>
    <t>Jane Moore</t>
  </si>
  <si>
    <t xml:space="preserve">Beeley close reactive, Ashbourne </t>
  </si>
  <si>
    <t>30/01/2026 10:46</t>
  </si>
  <si>
    <t>03/02/2026 08:44</t>
  </si>
  <si>
    <t>["Vehicles","Woodchipper Use","Operatives"]</t>
  </si>
  <si>
    <t>70</t>
  </si>
  <si>
    <t>96.429</t>
  </si>
  <si>
    <t>["EYE WASH"]</t>
  </si>
  <si>
    <t xml:space="preserve">Exec Summary:
Satisfactory 
</t>
  </si>
  <si>
    <t>&lt;p&gt;&lt;a href="https&amp;#58;//apps.powerapps.com/play/2d567dc9-5d50-4629-a077-f7ccbff3e239?tenantId=3ef9f654-aa07-41b8-88ad-a411c62bd12c&amp;amp;Action=Open&amp;amp;Actionno=7898"&gt;Eye wash out of date&lt;/a&gt;&lt;br&gt;&lt;/p&gt;</t>
  </si>
  <si>
    <t>1098</t>
  </si>
  <si>
    <t>9 Beeley Cl, Ashbourne DE6 1UA, UK
(53.010232200000004, -1.714728)</t>
  </si>
  <si>
    <t>Alasdair Conlon</t>
  </si>
  <si>
    <t xml:space="preserve">Timberdine substation </t>
  </si>
  <si>
    <t>7397 Brinksworth Tree Services Ltd</t>
  </si>
  <si>
    <t>["7397 : 50480 Matt Flood"]</t>
  </si>
  <si>
    <t>03/02/2026 08:51</t>
  </si>
  <si>
    <t>03/02/2026 09:15</t>
  </si>
  <si>
    <t>["Plant &amp; Work Equipment","Vehicles","Engagements, Behavior &amp; Values"]</t>
  </si>
  <si>
    <t>22</t>
  </si>
  <si>
    <t>94.872</t>
  </si>
  <si>
    <t>["BRIEFING RECORDS","HEADS UP RECORDS"]</t>
  </si>
  <si>
    <t xml:space="preserve">Exec Summary:
Very good audit, and lots of engaging conversations 
</t>
  </si>
  <si>
    <t>&lt;p&gt;&lt;a href="https&amp;#58;//apps.powerapps.com/play/2d567dc9-5d50-4629-a077-f7ccbff3e239?tenantId=3ef9f654-aa07-41b8-88ad-a411c62bd12c&amp;amp;Action=Open&amp;amp;Actionno=7902"&gt;Need to go through safty culture with the team&lt;/a&gt;&lt;br&gt;&lt;a href="https&amp;#58;//apps.powerapps.com/play/2d567dc9-5d50-4629-a077-f7ccbff3e239?tenantId=3ef9f654-aa07-41b8-88ad-a411c62bd12c&amp;amp;Action=Open&amp;amp;Actionno=7903"&gt;Need to go through safty culture with the team&lt;/a&gt;&lt;br&gt;&lt;/p&gt;</t>
  </si>
  <si>
    <t>1099</t>
  </si>
  <si>
    <t>25 Stoneleigh Cl, Worcester WR5 3RQ, UK
(52.1678845, -2.2049889)</t>
  </si>
  <si>
    <t>485</t>
  </si>
  <si>
    <t>RELY E1</t>
  </si>
  <si>
    <t>8035 Treerebral Ltd</t>
  </si>
  <si>
    <t>["8035 : 57735 Sam Sawkins","8191 : 59088 MARTIN O''DONNELL"]</t>
  </si>
  <si>
    <t>04/02/2026 10:25</t>
  </si>
  <si>
    <t>04/02/2026 10:46</t>
  </si>
  <si>
    <t>["Engagements, Behavior &amp; Values","Arb Specific requirements"]</t>
  </si>
  <si>
    <t>20</t>
  </si>
  <si>
    <t xml:space="preserve">Exec Summary:
Good practices.
</t>
  </si>
  <si>
    <t>1117</t>
  </si>
  <si>
    <t>10 Pathfields, Bude EX23 8DW, UK
(50.828505, -4.542828699999999)Barn House, Glebe Ln, Landford, Salisbury SP5 2AB, UK
(50.9777881, -1.6353012999999998)</t>
  </si>
  <si>
    <t>Dedham mill</t>
  </si>
  <si>
    <t>J43B</t>
  </si>
  <si>
    <t>7800 MAC Tree Surgery and Fencing Ltd</t>
  </si>
  <si>
    <t>["7800 : 54288 Lewis Macnicol","7800 : 54243 Patrick Oshea"]</t>
  </si>
  <si>
    <t>10/02/2026 09:29</t>
  </si>
  <si>
    <t>10/02/2026 10:40</t>
  </si>
  <si>
    <t>["All Core Requirements","Working at Height","Temporary Works"]</t>
  </si>
  <si>
    <t>98.039</t>
  </si>
  <si>
    <t>["EMERGENCY EQUIPMENT","FIRE EXTINGUISHERS","TEST DATES FOR FIRE EXTINGUISHERS"]</t>
  </si>
  <si>
    <t xml:space="preserve">Exec Summary:
Site compliant 
</t>
  </si>
  <si>
    <t>1147</t>
  </si>
  <si>
    <t>25 B1029, Dedham, Colchester CO7 6DH, UK
(51.96141550000001, 0.9931745)</t>
  </si>
  <si>
    <t>Jonathan Wisbey</t>
  </si>
  <si>
    <t xml:space="preserve">D&amp;R yard </t>
  </si>
  <si>
    <t>3098 D &amp; R Landscapes</t>
  </si>
  <si>
    <t>["3098 : 1785 Jason Mccloy","3098 : 56849 Sean Corcoran","3098 : 58581 Josh Pegrum","3098 : 58582 Chris Robinson"]</t>
  </si>
  <si>
    <t>10/02/2026 13:51</t>
  </si>
  <si>
    <t>10/02/2026 15:33</t>
  </si>
  <si>
    <t>["Plant &amp; Work Equipment","Vehicles","Training &amp; Competency","Emergency Arrangements","IT &amp; System Access"]</t>
  </si>
  <si>
    <t>102</t>
  </si>
  <si>
    <t>90.196</t>
  </si>
  <si>
    <t>["COMPETENCY AWARENESS","INDUCTION AWARENESS","GROUND CONTROL &amp; DIVISIONAL INDUCTION","SKILLKO","MANDATORY COMPETENCIES"]</t>
  </si>
  <si>
    <t xml:space="preserve">Exec Summary:
Skilko is the biggest problem, the  guys have all of there certs on there own skilko app but not showing on the main system. GC ID cards need to be reordered. Dates on eye wash need to be protected as the bottles are in date but it won't be able to be proved. 
</t>
  </si>
  <si>
    <t>Emily Eva</t>
  </si>
  <si>
    <t xml:space="preserve">Witness Comments:
Good visit with the team. A couple of sticking points such as skillko and expiry dates on first aid. Will pick up with Jon and the team to get Skillko updates as much as possible. 
</t>
  </si>
  <si>
    <t>1154</t>
  </si>
  <si>
    <t>Unit 1, The Basket Works, Colchester CO5 0QQ, UK
(51.811216699999996, 0.7285374)</t>
  </si>
  <si>
    <t>Alexander Damar</t>
  </si>
  <si>
    <t>F46f sd2</t>
  </si>
  <si>
    <t>6617 Ashdown Tree Limited</t>
  </si>
  <si>
    <t>["6617 : 46615 Ashley Horwood","6617 : 59063 Jamie Cooper"]</t>
  </si>
  <si>
    <t>12/02/2026 08:48</t>
  </si>
  <si>
    <t>12/02/2026 09:23</t>
  </si>
  <si>
    <t>["Engagements &amp; Values","Occupational Health","Plant &amp; Work Equipment","Vehicles","Working at Height","Temporary Works","Breaking Ground","Lifting operations"]</t>
  </si>
  <si>
    <t>34</t>
  </si>
  <si>
    <t>95.833</t>
  </si>
  <si>
    <t>["EQUIPMENT CALIBRATION","HEALTH SURVEILLANCE","HAVS RISK"]</t>
  </si>
  <si>
    <t xml:space="preserve">Exec Summary:
Good
</t>
  </si>
  <si>
    <t>1172</t>
  </si>
  <si>
    <t>Lunsford Park, Larkfield Aylesford ME20 6RJ, UK
(51.3105626, 0.4408892)21 Thames Rise, Kettering NN16 9JL, UK
(52.4106277, -0.7324157)Manuden Hall, Manuden, Bishop's Stortford CM23 1DY, UK
(51.9196064, 0.1689369)</t>
  </si>
  <si>
    <t>James Gorman</t>
  </si>
  <si>
    <t>C37C</t>
  </si>
  <si>
    <t>8040 S6 Tree specialists Ltd6617 Ashdown Tree Limited</t>
  </si>
  <si>
    <t>["8040 : 57518 Luke Lane","8040 : 57941 harrison wood","6617 : 55966 Dan Watkins"]</t>
  </si>
  <si>
    <t>05/02/2026 11:29</t>
  </si>
  <si>
    <t>12/02/2026 15:35</t>
  </si>
  <si>
    <t>["All Core Requirements","Utility Arboriculture (Electrical)"]</t>
  </si>
  <si>
    <t>78</t>
  </si>
  <si>
    <t>98.876</t>
  </si>
  <si>
    <t>["HAVS RISK"]</t>
  </si>
  <si>
    <t xml:space="preserve">Exec Summary:
Good work and communication. Continued monitoring and check ins would be beneficial 
</t>
  </si>
  <si>
    <t>&lt;p&gt;&lt;a href="https&amp;#58;//apps.powerapps.com/play/2d567dc9-5d50-4629-a077-f7ccbff3e239?tenantId=3ef9f654-aa07-41b8-88ad-a411c62bd12c&amp;amp;Action=Open&amp;amp;Actionno=8056"&gt;Vehicle Checks completed for today, but previous not complete due to asest data. S6 TREES puwer aset list not availbe&lt;/a&gt;&lt;br&gt;&lt;a href="https&amp;#58;//apps.powerapps.com/play/2d567dc9-5d50-4629-a077-f7ccbff3e239?tenantId=3ef9f654-aa07-41b8-88ad-a411c62bd12c&amp;amp;Action=Open&amp;amp;Actionno=8058"&gt;Understanding of AIRline ans flashcall, would benifit from senerio based emergency practice.&lt;/a&gt;&lt;br&gt;&lt;a href="https&amp;#58;//apps.powerapps.com/play/2d567dc9-5d50-4629-a077-f7ccbff3e239?tenantId=3ef9f654-aa07-41b8-88ad-a411c62bd12c&amp;amp;Action=Open&amp;amp;Actionno=8059"&gt;Environmental constraints not discussed but would benifit from TBT and knowledge test&lt;/a&gt;&lt;br&gt;&lt;a href="https&amp;#58;//apps.powerapps.com/play/2d567dc9-5d50-4629-a077-f7ccbff3e239?tenantId=3ef9f654-aa07-41b8-88ad-a411c62bd12c&amp;amp;Action=Open&amp;amp;Actionno=8060"&gt;Fit for work cert to be checked for S6 trees&lt;/a&gt;&lt;br&gt;&lt;/p&gt;</t>
  </si>
  <si>
    <t>1180</t>
  </si>
  <si>
    <t>54 Kelvedon Rd, Coggeshall, Colchester CO6 1RQ, UK
(51.862069399999996, 0.6867599)</t>
  </si>
  <si>
    <t>P10 Brooklin garage Hewine</t>
  </si>
  <si>
    <t>Heiwien</t>
  </si>
  <si>
    <t>6557 DE UA SWales4</t>
  </si>
  <si>
    <t>["6557 : 49487 Lee Brown"]</t>
  </si>
  <si>
    <t>16/02/2026 12:45</t>
  </si>
  <si>
    <t>16/02/2026 13:58</t>
  </si>
  <si>
    <t>["Vehicles","Manual Handling","Risk Management","Utility Arboriculture (Electrical)"]</t>
  </si>
  <si>
    <t>72</t>
  </si>
  <si>
    <t xml:space="preserve">Exec Summary:
Very good assesment 
</t>
  </si>
  <si>
    <t>1203</t>
  </si>
  <si>
    <t>9 Drakes Cl, Huntington, York YO32 9GN, UK
(53.9986025, -1.0607966)Brooklyn Yard, Hirwaun Rd, Hirwaun, Aberdare CF44 9HR, UK
(51.732304799999994, -3.4986569999999997)</t>
  </si>
  <si>
    <t>Vance Ivins</t>
  </si>
  <si>
    <t>Home Farm Helsey</t>
  </si>
  <si>
    <t>5865525</t>
  </si>
  <si>
    <t>3199 Lincolnshire Hardwoods Ltd</t>
  </si>
  <si>
    <t>["3199 : 1747 Daniel Wootton"]</t>
  </si>
  <si>
    <t>19/02/2026 10:01</t>
  </si>
  <si>
    <t>19/02/2026 10:13</t>
  </si>
  <si>
    <t>["PPE Standards","Access arrangements","Risk Management","MEWP Use in tree work","Ground Based Chainsaw","Utility Arboriculture (Electrical)","Access arrangements"]</t>
  </si>
  <si>
    <t>12</t>
  </si>
  <si>
    <t>1.786</t>
  </si>
  <si>
    <t xml:space="preserve">Exec Summary:
Team working well together safely using mewp &amp; chipper tipper and tree shears
</t>
  </si>
  <si>
    <t>1225</t>
  </si>
  <si>
    <t>Home Farm/Helsey, Skegness PE24 5PE, UK
(53.2305175, 0.2733478)</t>
  </si>
  <si>
    <t>Benet Jones</t>
  </si>
  <si>
    <t>920022/0008</t>
  </si>
  <si>
    <t xml:space="preserve"> BJ/QUORN08/17LL</t>
  </si>
  <si>
    <t>7997 Belvoir Tree Care</t>
  </si>
  <si>
    <t>["7997 : 57434 Greg McCullum","7997 : 57455 Pete Clayton"]</t>
  </si>
  <si>
    <t>05/02/2026 13:40</t>
  </si>
  <si>
    <t>20/02/2026 11:59</t>
  </si>
  <si>
    <t>["PPE Standards","Woodchipper Use"]</t>
  </si>
  <si>
    <t>531</t>
  </si>
  <si>
    <t>24</t>
  </si>
  <si>
    <t>23</t>
  </si>
  <si>
    <t xml:space="preserve">RAMS AVAILABILITY &amp; ACCESS: N/A
</t>
  </si>
  <si>
    <t>["PPE INSPECTION RECORDS"]</t>
  </si>
  <si>
    <t xml:space="preserve">Exec Summary:
Overall not a bad SSV, area to work on is PPE documentation and recording of equipment.
</t>
  </si>
  <si>
    <t>&lt;p&gt;&lt;a href="https&amp;#58;//apps.powerapps.com/play/2d567dc9-5d50-4629-a077-f7ccbff3e239?tenantId=3ef9f654-aa07-41b8-88ad-a411c62bd12c&amp;amp;Action=Open&amp;amp;Actionno=8111"&gt;Team have been told to produce a list of checks for the next SSV of their PPE&lt;/a&gt;&lt;br&gt;&lt;/p&gt;</t>
  </si>
  <si>
    <t>1236</t>
  </si>
  <si>
    <t>Didcot Power Station, Didcot OX11 7YS, UK
(51.6246382, -1.2663764)Leicester Ln, Loughborough LE12 8TD, UK
(52.7019307, -1.1938204)</t>
  </si>
  <si>
    <t>B62b sd8</t>
  </si>
  <si>
    <t>["7951 : 56448 Jack Austin","7951 : 57001 James Tasker"]</t>
  </si>
  <si>
    <t>20/02/2026 08:42</t>
  </si>
  <si>
    <t>20/02/2026 09:06</t>
  </si>
  <si>
    <t>["Plant &amp; Work Equipment","Risk Management","Arboriculture"]</t>
  </si>
  <si>
    <t>33</t>
  </si>
  <si>
    <t>1.4</t>
  </si>
  <si>
    <t xml:space="preserve">NOISE MONITORING &amp; RECORDS: N/A
EQUIPMENT CALIBRATION: N/A
TRAFFIC MANAGEMENT CONTROLS IN PLACE (IF REQUIRED): N/A
FELLING EQUIPMENT: N/A
</t>
  </si>
  <si>
    <t xml:space="preserve">Exec Summary:
Good audit team were knowledgeable and had all systems in place. Equipment is well maintained and looked after 
</t>
  </si>
  <si>
    <t>1237</t>
  </si>
  <si>
    <t>Didcot Power Station, Didcot OX11 7YS, UK
(51.6246382, -1.2663764)Leicester Ln, Loughborough LE12 8TD, UK
(52.7019307, -1.1938204)7 Bluntisham Rd, Needingworth, St. Ives PE27 4TA, UK
(52.334685, -0.0237365)</t>
  </si>
  <si>
    <t>Philip Shaw</t>
  </si>
  <si>
    <t xml:space="preserve">Arley sub </t>
  </si>
  <si>
    <t>3312 PB Tree Contractors</t>
  </si>
  <si>
    <t>["1069 : 57347 Daniel Brown","3312 : 2756 Andrew Palfreyman"]</t>
  </si>
  <si>
    <t>19/02/2026 11:07</t>
  </si>
  <si>
    <t>19/02/2026 11:12</t>
  </si>
  <si>
    <t>["Training &amp; Competency","Access arrangements"]</t>
  </si>
  <si>
    <t>5</t>
  </si>
  <si>
    <t>16</t>
  </si>
  <si>
    <t>15</t>
  </si>
  <si>
    <t>3.2</t>
  </si>
  <si>
    <t>93.75</t>
  </si>
  <si>
    <t>["Authorisations"]</t>
  </si>
  <si>
    <t xml:space="preserve">Exec Summary:
Team work under access permit following NGED advice and access limitations 
</t>
  </si>
  <si>
    <t>&lt;p&gt;&lt;a href="https&amp;#58;//apps.powerapps.com/play/2d567dc9-5d50-4629-a077-f7ccbff3e239?tenantId=3ef9f654-aa07-41b8-88ad-a411c62bd12c&amp;amp;Action=Open&amp;amp;Actionno=8112"&gt;Andrew palfreyman authorisation cert&lt;/a&gt;&lt;br&gt;&lt;/p&gt;</t>
  </si>
  <si>
    <t>1240</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</si>
  <si>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t>
  </si>
  <si>
    <t>Leadership Site Safety &amp; Engagement Tour</t>
  </si>
  <si>
    <t>Arley sub</t>
  </si>
  <si>
    <t>["3312 : 2756 Andrew Palfreyman"]</t>
  </si>
  <si>
    <t>19/02/2026 10:55</t>
  </si>
  <si>
    <t>11</t>
  </si>
  <si>
    <t>1.5</t>
  </si>
  <si>
    <t xml:space="preserve">Exec Summary:
Great site organisation 
</t>
  </si>
  <si>
    <t>1241</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</si>
  <si>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t>
  </si>
  <si>
    <t>F17j sd5</t>
  </si>
  <si>
    <t>19/02/2026 09:53</t>
  </si>
  <si>
    <t>19/02/2026 09:57</t>
  </si>
  <si>
    <t>["Risk Management","No Specialist Areas"]</t>
  </si>
  <si>
    <t>3</t>
  </si>
  <si>
    <t>3.7</t>
  </si>
  <si>
    <t xml:space="preserve">Exec Summary:
Good risky
</t>
  </si>
  <si>
    <t>1245</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</si>
  <si>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t>
  </si>
  <si>
    <t>Lv1</t>
  </si>
  <si>
    <t>LV reactive</t>
  </si>
  <si>
    <t>6555 DE UA SWales2</t>
  </si>
  <si>
    <t>["6555 : 47866 Becky Raymond","6553 : 46338 Philip Cadwgan"]</t>
  </si>
  <si>
    <t>19/02/2026 09:35</t>
  </si>
  <si>
    <t>19/02/2026 09:48</t>
  </si>
  <si>
    <t>["Engagements &amp; Values","PPE Standards","Risk Management","Arboriculture"]</t>
  </si>
  <si>
    <t>7</t>
  </si>
  <si>
    <t>45</t>
  </si>
  <si>
    <t>6.4</t>
  </si>
  <si>
    <t xml:space="preserve">Exec Summary:
Good audit. The team had a lot to do, so I let them get on with the work. 
</t>
  </si>
  <si>
    <t>1246</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</si>
  <si>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t>
  </si>
  <si>
    <t>WH25</t>
  </si>
  <si>
    <t>Bontane Bay WH25</t>
  </si>
  <si>
    <t>6540 Mon &amp; Brec Tree Services Ltd</t>
  </si>
  <si>
    <t>["6540 : 54757 Jared Rogers"]</t>
  </si>
  <si>
    <t>18/02/2026 09:20</t>
  </si>
  <si>
    <t>19/02/2026 09:32</t>
  </si>
  <si>
    <t>["All Core Requirements","Working at Height"]</t>
  </si>
  <si>
    <t>117</t>
  </si>
  <si>
    <t>145</t>
  </si>
  <si>
    <t>144</t>
  </si>
  <si>
    <t>1.2</t>
  </si>
  <si>
    <t>99.31</t>
  </si>
  <si>
    <t xml:space="preserve">EQUIPMENT CALIBRATION: N/A
LONE WORKING LOGGING: N/A
SHARPS HAZARD MANAGEMENT: N/A
HERBICIDE/PESTICIDE USE &amp; RECORDS: N/A
WATER ABSTRACTION &amp; DISCHARGE PERMITS: N/A
NESTING BIRDS: N/A
PROTECTED SPECIES: N/A
TREE PROTECTION ORDERS: N/A
INVASIVE SPECIES: N/A
HAVS RISK: N/A
HAVS AWARENESS: N/A
WASTE TRANSFER NOTES: N/A
PERMITS / EXEMPTIONS: N/A
WASTE FACILITIES: N/A
SITE WASTE MANAGEMENT PLAN: N/A
SIGNAGE: N/A
WASTE SEGREGATION: N/A
TEEP ASSESSMENT: N/A
WASTE HIREARCHY: N/A
RECYCLING REPORTS: N/A
WASTE REDUCTION OPPORTUNITIES: N/A
WASTE SUPPLIER: N/A
BULK FUEL STORAGE: N/A
ENVIRONMENTAL HAZARDOUS SUBSTANCES: N/A
CHEMICAL STORAGE AREA: N/A
CHEMICAL VALIDITY &amp; SOURCE: N/A
STORAGE CONDITION &amp; CONTAINER INTEGRITY: N/A
COSHH SUBSTANCE CHECK (VISUAL &amp; MSDS ALIGNMENT): N/A
PESTICIDE APPLICATION IN USE?: N/A
RECORD FORMS COMPLETED: N/A
STORAGE &amp; TRANSPORT: N/A
CORRECT PPE IN USE: N/A
LIFTING PLANS: N/A
QUALITY PLANS: N/A
CONSTRUCTION PHASE PLAN (CPP): N/A
PERMIT REQUIREMENTS IDENTIFIED: N/A
TEMPORARY WORKS PLANNING: N/A
INTERFACE &amp; COORDINATION PLANNING: N/A
TRAFFIC MANAGEMENT PLAN: N/A
PROGRAMME &amp; SEQUENCING: N/A
LONE WORKING: N/A
PERMIT TO WORK AT HEIGHT ISSUED: N/A
LADDER CONDITION AND POSITIONING: N/A
PLATFORM INSPECTIONS: N/A
PLATFORM CONDITION &amp; STABILITY: N/A
GUARDING ON PLATFORMS: N/A
MEWP: N/A
MEWP SAFETY MEASURES: N/A
SCAFFOLD INSTALLED / MODIFIED BY COMPETENT PERSON: N/A
EDGE PROTECTION ON NON-PLATFORM SURFACES: N/A
FRAGILE SURFACES IDENTIFIED &amp; PROTECTED: N/A
</t>
  </si>
  <si>
    <t>["SPILL KIT TRAINING"]</t>
  </si>
  <si>
    <t xml:space="preserve">Exec Summary:
Very good audit, just need to sort out Sam to be added in to Safty culture 
</t>
  </si>
  <si>
    <t>&lt;p&gt;&lt;a href="https&amp;#58;//apps.powerapps.com/play/2d567dc9-5d50-4629-a077-f7ccbff3e239?tenantId=3ef9f654-aa07-41b8-88ad-a411c62bd12c&amp;amp;Action=Open&amp;amp;Actionno=8114"&gt;The team know how to deal with a spill but have never had any official training&lt;/a&gt;&lt;br&gt;&lt;/p&gt;</t>
  </si>
  <si>
    <t>1247</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</si>
  <si>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t>
  </si>
  <si>
    <t>920053/0011 CYLB1</t>
  </si>
  <si>
    <t>DH/CORBY11/2SD</t>
  </si>
  <si>
    <t>4209 Astbury Tree Care</t>
  </si>
  <si>
    <t>["4209 : 54113 Max Baker","4209 : 56098 Elijah Eldred","4209 : 56099 Harry Haynes"]</t>
  </si>
  <si>
    <t>05/02/2026 13:16</t>
  </si>
  <si>
    <t>18/02/2026 10:35</t>
  </si>
  <si>
    <t>["Access arrangements","Tree Cutting"]</t>
  </si>
  <si>
    <t>49</t>
  </si>
  <si>
    <t>50</t>
  </si>
  <si>
    <t>1.0</t>
  </si>
  <si>
    <t>98</t>
  </si>
  <si>
    <t xml:space="preserve">TRAINEES / INEXPERIENCED PERSONS ON SITE ARE RECORDED ON THE POWA: N/A
CHAT FORM – PICOS &amp; OBSERVER NAMES: N/A
LOCATION INFORMED – START OF WORK: N/A
LOCATION INFORMED – END OF WORK: N/A
HV LIVE TREE CUTTING JUSTIFICATION FORM: N/A
HV LIVE TREE CUTTING FORM NOT JUSTIFIED BY WORKER: N/A
SHROUDING – USED/AVAILABLE/GOOD CONDITION: N/A
CHASSIS EARTH APPLIED (MEWP NEAR HV LINES): N/A
SAFETY DOCUMENTS – ISSUE &amp; CANCELLATION: N/A
CABLE AVOIDANCE TOOL – AVAILABLE &amp; WORKING: N/A
ELECTRICAL INSULATING GLOVES – CHECKED &amp; IN GOOD CONDITION: N/A
LOLER – INSPECTION CERTIFICATE: N/A
OUTRIGGERS &amp; SPREADER PLATES: N/A
AUTHORISATIONS AVAILABLE &amp; CURRENT: N/A
MEWP PRE-USE INSPECTION – HSS 01 123A: N/A
MEWP DOORS &amp; LATCHES – SECURED: N/A
W20 RECORD BOOK FOR DRIVERS HOURS: N/A
</t>
  </si>
  <si>
    <t>["HAVS – DAILY TOOL VIBRATION LOG"]</t>
  </si>
  <si>
    <t xml:space="preserve">Exec Summary:
Good overall inspection and observation of work being carried out.
</t>
  </si>
  <si>
    <t>1253</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</si>
  <si>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t>
  </si>
  <si>
    <t>F29a</t>
  </si>
  <si>
    <t>["6617 : 55966 Dan Watkins","6617 : 59063 Jamie Cooper"]</t>
  </si>
  <si>
    <t>17/02/2026 13:16</t>
  </si>
  <si>
    <t>17/02/2026 13:57</t>
  </si>
  <si>
    <t>["Engagements &amp; Values","Waste","Vehicles","Environmental","Working at Height","Service Quality","Access arrangements","Woodchipper Use"]</t>
  </si>
  <si>
    <t>41</t>
  </si>
  <si>
    <t>65</t>
  </si>
  <si>
    <t>64</t>
  </si>
  <si>
    <t>1.6</t>
  </si>
  <si>
    <t>98.462</t>
  </si>
  <si>
    <t xml:space="preserve">LICENCES: N/A
HERBICIDE/PESTICIDE USE &amp; RECORDS: N/A
SILT AND POLLUTION CONTROL: N/A
WATER ABSTRACTION &amp; DISCHARGE PERMITS: N/A
EMERGENCY RESPONSE PROCEDURE: N/A
NESTING BIRDS: N/A
ECOLOGICALLY SENSITIVE AREAS: N/A
PROTECTED SPECIES: N/A
TREE PROTECTION ORDERS: N/A
NOISE / VIBRATIONS: N/A
WASTE TRANSFER NOTES: N/A
WASTE CARRIER LICENCES: N/A
PERMITS / EXEMPTIONS: N/A
WASTE FACILITIES: N/A
SIGNAGE: N/A
WASTE SEGREGATION: N/A
TEEP ASSESSMENT: N/A
WASTE HIREARCHY: N/A
RECYCLING REPORTS: N/A
WASTE SUPPLIER: N/A
CONSTRUCTION PHASE PLAN: N/A
NOTICE BOARD: N/A
PERMIT TO WORK AT HEIGHT ISSUED: N/A
EMERGENCY RESCUE PLAN: N/A
PLATFORM CONDITION &amp; STABILITY: N/A
GUARDING ON PLATFORMS: N/A
MEWP: N/A
EQUIPMENT INSPECTION RECORDS AVAILABLE: N/A
SCAFFOLD INSTALLED / MODIFIED BY COMPETENT PERSON: N/A
EXCLUSION ZONES IN PLACE BELOW WORK AREA: N/A
WEATHER CONDITIONS MONITORED: N/A
SIGNAGE AND BARRIERS IN PLACE: N/A
EDGE PROTECTION ON NON-PLATFORM SURFACES: N/A
OBJECT FALL PREVENTION IN PLACE: N/A
FRAGILE SURFACES IDENTIFIED &amp; PROTECTED: N/A
</t>
  </si>
  <si>
    <t xml:space="preserve">Exec Summary:
Great
</t>
  </si>
  <si>
    <t>1256</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</si>
  <si>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t>
  </si>
  <si>
    <t>83</t>
  </si>
  <si>
    <t xml:space="preserve">Coalville 12 </t>
  </si>
  <si>
    <t>6400 Coxley Tree Care Ltd</t>
  </si>
  <si>
    <t>["6400 : 47960 George Tomlinson"]</t>
  </si>
  <si>
    <t>17/02/2026 09:56</t>
  </si>
  <si>
    <t>17/02/2026 10:20</t>
  </si>
  <si>
    <t>["Training &amp; Competency","Tree Cutting"]</t>
  </si>
  <si>
    <t>58</t>
  </si>
  <si>
    <t>56</t>
  </si>
  <si>
    <t>2.5</t>
  </si>
  <si>
    <t>96.552</t>
  </si>
  <si>
    <t xml:space="preserve">TRAINEES / INEXPERIENCED PERSONS ON SITE ARE RECORDED ON THE POWA: N/A
CHAT FORM – PICOS &amp; OBSERVER NAMES: N/A
SHROUDING – USED/AVAILABLE/GOOD CONDITION: N/A
CHASSIS EARTH APPLIED (MEWP NEAR HV LINES): N/A
SAFETY DOCUMENTS – ISSUE &amp; CANCELLATION: N/A
CABLE AVOIDANCE TOOL – AVAILABLE &amp; WORKING: N/A
ELECTRICAL INSULATING GLOVES – CHECKED &amp; IN GOOD CONDITION: N/A
SAFE WORKING / DROP ZONE ESTABLISHED: N/A
LOLER – INSPECTION CERTIFICATE: N/A
WAH EQUIPMENT – INSPECTION &amp; CONDITION: N/A
OUTRIGGERS &amp; SPREADER PLATES: N/A
MEWP PRE-USE INSPECTION – HSS 01 123A: N/A
ROPE ACCESS – JUSTIFIED &amp; RECORDED: N/A
MEWP OPERATORS – TRAINED &amp; COMPETENT: N/A
ROPE ACCESS – MANAGER NOTIFIED: N/A
RECOGNIZED CLIMBING STANDARD (TWO ROPE SYSTEM): N/A
MEWP DOORS &amp; LATCHES – SECURED: N/A
ROPE ACCESS – QUALIFIED RESCUE OBSERVER: N/A
W20 RECORD BOOK FOR DRIVERS HOURS: N/A
</t>
  </si>
  <si>
    <t>["Authorisations","AUTHORISATIONS AVAILABLE &amp; CURRENT"]</t>
  </si>
  <si>
    <t xml:space="preserve">Exec Summary:
Great use of equipment for the type of work being carried out 
</t>
  </si>
  <si>
    <t>&lt;p&gt;&lt;a href="https&amp;#58;//apps.powerapps.com/play/2d567dc9-5d50-4629-a077-f7ccbff3e239?tenantId=3ef9f654-aa07-41b8-88ad-a411c62bd12c&amp;amp;Action=Open&amp;amp;Actionno=8116"&gt;Team are authorised but have no cert team are awaiting new ones&lt;/a&gt;&lt;br&gt;&lt;/p&gt;</t>
  </si>
  <si>
    <t>1259</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</si>
  <si>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t>
  </si>
  <si>
    <t>["6553 : 51638 Aaron Billingham","6557 : 49487 Lee Brown","6919 : 47867 Craig Jones"]</t>
  </si>
  <si>
    <t>74</t>
  </si>
  <si>
    <t>32</t>
  </si>
  <si>
    <t>0.4</t>
  </si>
  <si>
    <t xml:space="preserve">DEAD WORK COMPLIANCE: N/A
</t>
  </si>
  <si>
    <t>1260</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</si>
  <si>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t>
  </si>
  <si>
    <t>E21A Live pack 1</t>
  </si>
  <si>
    <t>["7996 : 56937 Anthony Gale","7996 : 56966 Tim Franklin"]</t>
  </si>
  <si>
    <t>17/02/2026 10:55</t>
  </si>
  <si>
    <t>17/02/2026 11:16</t>
  </si>
  <si>
    <t>["COSHH","Risk Management","Working at Height","MEWP Use in tree work"]</t>
  </si>
  <si>
    <t>21</t>
  </si>
  <si>
    <t>51</t>
  </si>
  <si>
    <t>2.4</t>
  </si>
  <si>
    <t>96.078</t>
  </si>
  <si>
    <t xml:space="preserve">BULK FUEL STORAGE: N/A
CHEMICAL STORAGE AREA: N/A
CHEMICAL VALIDITY &amp; SOURCE: N/A
PESTICIDE APPLICATION IN USE?: N/A
RECORD FORMS COMPLETED: N/A
STORAGE &amp; TRANSPORT: N/A
CORRECT PPE IN USE: N/A
LADDER CONDITION AND POSITIONING: N/A
SCAFFOLD INSTALLED / MODIFIED BY COMPETENT PERSON: N/A
EDGE PROTECTION ON NON-PLATFORM SURFACES: N/A
FRAGILE SURFACES IDENTIFIED &amp; PROTECTED: N/A
</t>
  </si>
  <si>
    <t>["COSHH ASSESSMENTS – BRIEFED &amp; SIGNED","PLATFORM CONDITION &amp; STABILITY"]</t>
  </si>
  <si>
    <t xml:space="preserve">Exec Summary:
Good SSV, knowledgeable and competent team. Require some effort to get COSSH paperwork in order 
</t>
  </si>
  <si>
    <t>&lt;p&gt;&lt;a href="https&amp;#58;//apps.powerapps.com/play/2d567dc9-5d50-4629-a077-f7ccbff3e239?tenantId=3ef9f654-aa07-41b8-88ad-a411c62bd12c&amp;amp;Action=Open&amp;amp;Actionno=8117"&gt;Send copy of COSSH assessment&lt;/a&gt;&lt;br&gt;&lt;a href="https&amp;#58;//apps.powerapps.com/play/2d567dc9-5d50-4629-a077-f7ccbff3e239?tenantId=3ef9f654-aa07-41b8-88ad-a411c62bd12c&amp;amp;Action=Open&amp;amp;Actionno=8118"&gt;clear out mewp bucket regularly&lt;/a&gt;&lt;br&gt;&lt;/p&gt;</t>
  </si>
  <si>
    <t>1267</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</si>
  <si>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-3.4986569999999997)Wand Ln, Goole DN14 0RH, UK
(53.716242789943564, -1.1249548012619692)Dux Court, Dux Ct Rd, Hoo, Rochester ME3 8RZ, UK
(51.4334875, 0.5491172)Dux Court, Dux Ct Rd, Hoo, Rochester ME3 8RZ, UK
(51.4334875, 0.5491172)(51.3814517, -2.846355)Dux Court, Dux Ct Rd, Hoo, Rochester ME3 8RZ, UK
(51.4334875, 0.5491172)The Bungalow, Hewish, Middle Elm, Weston-super-Mare BS24 6SN, UK
(51.3812518, -2.8460096000000004)Westley Ln, Saffron Walden CB10 1UX, UK
(52.0385931000686, 0.23222119998291363)</t>
  </si>
  <si>
    <t xml:space="preserve">Penhiw village </t>
  </si>
  <si>
    <t>A48</t>
  </si>
  <si>
    <t>6556 DE UA SWales3</t>
  </si>
  <si>
    <t>["6556 : 54117 Daniel Davies","6556 : 46345 Adrian Evans","6919 : 47892 Ian Thompson"]</t>
  </si>
  <si>
    <t>17/02/2026 09:02</t>
  </si>
  <si>
    <t>17/02/2026 09:27</t>
  </si>
  <si>
    <t>["Vehicles","PPE Standards","Working on Highways"]</t>
  </si>
  <si>
    <t>30</t>
  </si>
  <si>
    <t>1.3</t>
  </si>
  <si>
    <t xml:space="preserve">TRAILER COMPLIANCE: N/A
SSoW / TM PLAN APPROVED: N/A
DEFECTS / INCIDENTS REPORTED TO NH: N/A
NATIONAL HIGHWAYS PASSPORT IN USE: N/A
</t>
  </si>
  <si>
    <t xml:space="preserve">Exec Summary:
Very good, site, stop go signs on being used, good Breif from site supervisor. There is a problem with clearances due to the SRF being wrong spec for the trees involved. A conlon has said to speak with landowners to make them aware as clearance isn't possible with the main stems. 
</t>
  </si>
  <si>
    <t>1269</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</si>
  <si>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-3.4986569999999997)Wand Ln, Goole DN14 0RH, UK
(53.716242789943564, -1.1249548012619692)Dux Court, Dux Ct Rd, Hoo, Rochester ME3 8RZ, UK
(51.4334875, 0.5491172)Dux Court, Dux Ct Rd, Hoo, Rochester ME3 8RZ, UK
(51.4334875, 0.5491172)(51.3814517, -2.846355)Dux Court, Dux Ct Rd, Hoo, Rochester ME3 8RZ, UK
(51.4334875, 0.5491172)The Bungalow, Hewish, Middle Elm, Weston-super-Mare BS24 6SN, UK
(51.3812518, -2.8460096000000004)Westley Ln, Saffron Walden CB10 1UX, UK
(52.0385931000686, 0.23222119998291363)West Denton Way - Shops, Newcastle upon Tyne NE5 2QZ, UK
(54.9924135, -1.6984954)A48, Caldicot NP26 3AD, UK
(51.617071250210174, -2.850380349838986)</t>
  </si>
  <si>
    <t>ZCEG83</t>
  </si>
  <si>
    <t>["6400 : 47312 Luke Alexander"]</t>
  </si>
  <si>
    <t>16/02/2026 13:48</t>
  </si>
  <si>
    <t>16/02/2026 13:55</t>
  </si>
  <si>
    <t>["Vehicles","Vehicle &amp; Plant Movement"]</t>
  </si>
  <si>
    <t>13</t>
  </si>
  <si>
    <t>1.9</t>
  </si>
  <si>
    <t xml:space="preserve">SECURE LOADS: N/A
LOAD CAPACITY: N/A
PEDESTRIAN SEGREGATION: N/A
</t>
  </si>
  <si>
    <t xml:space="preserve">Exec Summary:
Team working well away from roads but use banksman when driving down farm tracks and reversing vehicles parked as not to obstruct 
</t>
  </si>
  <si>
    <t>1275</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</si>
  <si>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-3.4986569999999997)Wand Ln, Goole DN14 0RH, UK
(53.716242789943564, -1.1249548012619692)Dux Court, Dux Ct Rd, Hoo, Rochester ME3 8RZ, UK
(51.4334875, 0.5491172)Dux Court, Dux Ct Rd, Hoo, Rochester ME3 8RZ, UK
(51.4334875, 0.5491172)(51.3814517, -2.846355)Dux Court, Dux Ct Rd, Hoo, Rochester ME3 8RZ, UK
(51.4334875, 0.5491172)The Bungalow, Hewish, Middle Elm, Weston-super-Mare BS24 6SN, UK
(51.3812518, -2.8460096000000004)Westley Ln, Saffron Walden CB10 1UX, UK
(52.0385931000686, 0.23222119998291363)West Denton Way - Shops, Newcastle upon Tyne NE5 2QZ, UK
(54.9924135, -1.6984954)A48, Caldicot NP26 3AD, UK
(51.617071250210174, -2.850380349838986)Trinley Buildings, Finkley Road
Andover
England
SP11 6AH
United Kingdom
(51.23762628863509, -1.4352211531278023)Knowle Ln, Crediton EX17 5BX, UK
(50.797585586629204, -3.738169558346271)194 Rushbottom Ln, South Benfleet, Benfleet SS7 4LN, UK
(51.57439970000001, 0.5486151)Asda, Stevenage SG1 1XP, UK
(51.898872, -0.20073)9 Drakes Cl, Huntington, York YO32 9GN, UK
(53.9986025, -1.0607966)6 The Dairy, Swepstone, Coalville LE67 2RS, UK
(52.686864755817034, -1.4480673149228096)</t>
  </si>
  <si>
    <t>Joe Lemar</t>
  </si>
  <si>
    <t>47</t>
  </si>
  <si>
    <t>WHEA e1</t>
  </si>
  <si>
    <t>7535 HJ Tree Surgeons Limited</t>
  </si>
  <si>
    <t>["7535 : 51621 Harvey Joy","7535 : 51623 Cory Joy"]</t>
  </si>
  <si>
    <t>16/02/2026 11:44</t>
  </si>
  <si>
    <t>16/02/2026 12:56</t>
  </si>
  <si>
    <t>["Plant &amp; Work Equipment","Vehicles","Arboriculture","Woodchipper Use"]</t>
  </si>
  <si>
    <t>37</t>
  </si>
  <si>
    <t>0.6</t>
  </si>
  <si>
    <t xml:space="preserve">NOISE MONITORING &amp; RECORDS: N/A
SECURE LOADS: N/A
TRAFFIC MANAGEMENT CONTROLS IN PLACE (IF REQUIRED): N/A
FELLING EQUIPMENT: N/A
CLIMBING GEAR CHECKED AND SUITABLE FOR TASK: N/A
RESCUE PLAN BRIEFED &amp; RESCUE KIT ON SITE: N/A
</t>
  </si>
  <si>
    <t xml:space="preserve">Exec Summary:
Team very well presented, all in order
</t>
  </si>
  <si>
    <t>1276</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</si>
  <si>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-3.4986569999999997)Wand Ln, Goole DN14 0RH, UK
(53.716242789943564, -1.1249548012619692)Dux Court, Dux Ct Rd, Hoo, Rochester ME3 8RZ, UK
(51.4334875, 0.5491172)Dux Court, Dux Ct Rd, Hoo, Rochester ME3 8RZ, UK
(51.4334875, 0.5491172)(51.3814517, -2.846355)Dux Court, Dux Ct Rd, Hoo, Rochester ME3 8RZ, UK
(51.4334875, 0.5491172)The Bungalow, Hewish, Middle Elm, Weston-super-Mare BS24 6SN, UK
(51.3812518, -2.8460096000000004)Westley Ln, Saffron Walden CB10 1UX, UK
(52.0385931000686, 0.23222119998291363)West Denton Way - Shops, Newcastle upon Tyne NE5 2QZ, UK
(54.9924135, -1.6984954)A48, Caldicot NP26 3AD, UK
(51.617071250210174, -2.850380349838986)Trinley Buildings, Finkley Road
Andover
England
SP11 6AH
United Kingdom
(51.23762628863509, -1.4352211531278023)Knowle Ln, Crediton EX17 5BX, UK
(50.797585586629204, -3.738169558346271)194 Rushbottom Ln, South Benfleet, Benfleet SS7 4LN, UK
(51.57439970000001, 0.5486151)Asda, Stevenage SG1 1XP, UK
(51.898872, -0.20073)9 Drakes Cl, Huntington, York YO32 9GN, UK
(53.9986025, -1.0607966)6 The Dairy, Swepstone, Coalville LE67 2RS, UK
(52.686864755817034, -1.4480673149228096)The Corner Cottage, Waterperry, Oxford OX33 1LD, UK
(51.754686899999996, -1.0940311)</t>
  </si>
  <si>
    <t>James Walsh</t>
  </si>
  <si>
    <t>Zcva12</t>
  </si>
  <si>
    <t>Zvca12</t>
  </si>
  <si>
    <t>7846 Bathams Tree Care Ltd</t>
  </si>
  <si>
    <t>["7846 : 54582 mathew Harper","7846 : 12302 Leon Drake"]</t>
  </si>
  <si>
    <t>16/02/2026 11:22</t>
  </si>
  <si>
    <t>16/02/2026 12:25</t>
  </si>
  <si>
    <t>["Training &amp; Competency","Risk Management","Emergency Arrangements","Arboriculture","Tree Cutting"]</t>
  </si>
  <si>
    <t>62</t>
  </si>
  <si>
    <t>91</t>
  </si>
  <si>
    <t xml:space="preserve">SITE INDUCTION: N/A
ON-SITE SUPERVISION: N/A
WASTE REMOVAL &amp; STORAGE: N/A
LONE WORKING LOGGING: N/A
DOCUMENTATION OF EMERGENCY ARRANGEMENTS: N/A
TRAFFIC MANAGEMENT CONTROLS IN PLACE (IF REQUIRED): N/A
CHIPPER SAFETY FEATURES OPERATIONAL: N/A
FELLING EQUIPMENT: N/A
CLIMBING GEAR CHECKED AND SUITABLE FOR TASK: N/A
TRAINEES / INEXPERIENCED PERSONS ON SITE ARE RECORDED ON THE POWA: N/A
APPROPRIATE SAFETY DOCUMENTS ISSUED AND UNDERSTOOD: N/A
CHAT FORM – PICOS &amp; OBSERVER NAMES: N/A
LV LINE LIVE JUSTIFICATION FORM: N/A
SHROUDING – USED/AVAILABLE/GOOD CONDITION: N/A
CHASSIS EARTH APPLIED (MEWP NEAR HV LINES): N/A
SAFETY DOCUMENTS – ISSUE &amp; CANCELLATION: N/A
CABLE AVOIDANCE TOOL – AVAILABLE &amp; WORKING: N/A
ELECTRICAL INSULATING GLOVES – CHECKED &amp; IN GOOD CONDITION: N/A
LOLER – INSPECTION CERTIFICATE: N/A
WAH EQUIPMENT – INSPECTION &amp; CONDITION: N/A
OUTRIGGERS &amp; SPREADER PLATES: N/A
HIERARCHY OF WAH USED: N/A
GROUND CONDITIONS SUITABLE: N/A
MEWP PRE-USE INSPECTION – HSS 01 123A: N/A
ROPE ACCESS – JUSTIFIED &amp; RECORDED: N/A
MEWP OPERATORS – TRAINED &amp; COMPETENT: N/A
ROPE ACCESS – MANAGER NOTIFIED: N/A
MEWP DOORS &amp; LATCHES – SECURED: N/A
HAVS – DAILY TOOL VIBRATION LOG: N/A
W20 RECORD BOOK FOR DRIVERS HOURS: N/A
LONE WORKERS – MONITORING &amp; COMMUNICATION: N/A
SITE – NRSWA COMPLIANCE: N/A
</t>
  </si>
  <si>
    <t xml:space="preserve">Exec Summary:
Overall good work and team.
</t>
  </si>
  <si>
    <t>1277</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</si>
  <si>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-3.4986569999999997)Wand Ln, Goole DN14 0RH, UK
(53.716242789943564, -1.1249548012619692)Dux Court, Dux Ct Rd, Hoo, Rochester ME3 8RZ, UK
(51.4334875, 0.5491172)Dux Court, Dux Ct Rd, Hoo, Rochester ME3 8RZ, UK
(51.4334875, 0.5491172)(51.3814517, -2.846355)Dux Court, Dux Ct Rd, Hoo, Rochester ME3 8RZ, UK
(51.4334875, 0.5491172)The Bungalow, Hewish, Middle Elm, Weston-super-Mare BS24 6SN, UK
(51.3812518, -2.8460096000000004)Westley Ln, Saffron Walden CB10 1UX, UK
(52.0385931000686, 0.23222119998291363)West Denton Way - Shops, Newcastle upon Tyne NE5 2QZ, UK
(54.9924135, -1.6984954)A48, Caldicot NP26 3AD, UK
(51.617071250210174, -2.850380349838986)Trinley Buildings, Finkley Road
Andover
England
SP11 6AH
United Kingdom
(51.23762628863509, -1.4352211531278023)Knowle Ln, Crediton EX17 5BX, UK
(50.797585586629204, -3.738169558346271)194 Rushbottom Ln, South Benfleet, Benfleet SS7 4LN, UK
(51.57439970000001, 0.5486151)Asda, Stevenage SG1 1XP, UK
(51.898872, -0.20073)9 Drakes Cl, Huntington, York YO32 9GN, UK
(53.9986025, -1.0607966)6 The Dairy, Swepstone, Coalville LE67 2RS, UK
(52.686864755817034, -1.4480673149228096)The Corner Cottage, Waterperry, Oxford OX33 1LD, UK
(51.754686899999996, -1.0940311)Location:
Coventry 
The Ponderosa/Freeboard La, Ryton-on-Dunsmore, Coventry CV8 3EQ, UK
(52.3493992, -1.4270568)</t>
  </si>
  <si>
    <t>Philip Yearsley</t>
  </si>
  <si>
    <t>ZVCA11</t>
  </si>
  <si>
    <t>["7846 : 12302 Leon Drake","7846 : 54582 mathew Harper"]</t>
  </si>
  <si>
    <t>16/02/2026 12:03</t>
  </si>
  <si>
    <t>["Manual Handling","Behaviour","Vehicles","Utility Arboriculture (Electrical)"]</t>
  </si>
  <si>
    <t>19</t>
  </si>
  <si>
    <t>14</t>
  </si>
  <si>
    <t>0.7</t>
  </si>
  <si>
    <t xml:space="preserve">ROAD TRAFFIC INCIDENT PROCEDURE: N/A
SECURE LOADS: N/A
TRAILER COMPLIANCE: N/A
AVAILABILITY OF HANDLING AIDS : N/A
LOAD EVALUATION : N/A
: N/A
WORST-CASE TREE CONTROL: N/A
DEAD WORK COMPLIANCE: N/A
WEATHER IMPACT ASSESSMENT: N/A
NETWORK OPERATOR RULE COMPLIANCE: N/A
</t>
  </si>
  <si>
    <t xml:space="preserve">Exec Summary:
Good site 
</t>
  </si>
  <si>
    <t>1279</t>
  </si>
  <si>
    <t>Didcot Power Station, Didcot OX11 7YS, UK
(51.6246382, -1.2663764)Leicester Ln, Loughborough LE12 8TD, UK
(52.7019307, -1.1938204)7 Bluntisham Rd, Needingworth, St. Ives PE27 4TA, UK
(52.334685, -0.0237365)Co. Meath Co. Meath A92 PH93
Ireland
(53.61170213662534, -6.429246687301219)(52.2535523, 0.0187858)65 Spring Hill, Arley, Coventry CV7 8FE, UK
(52.501154199999995, -1.5763106999999998)46 Spring Hill, Arley, Coventry CV7 8FE, UK
(52.5018446, -1.5750453999999998)105 Allendale Rd, Ormesby, Middlesbrough TS7 9NW, UK
(54.5483128, -1.1727227)Houndmills trade park, 2-3 Houndmills Rd, Basingstoke RG21 6AH, UK
(51.2737736, -1.1057993)Home Farm/Helsey, Skegness PE24 5PE, UK
(53.2305175, 0.2733478)Essex Hunt Cottages, Harlow CM17 9NW, UK
(51.7773185, 0.1408614)Aeron House, 47 Graigwen Rd, Graigwen, Pontypridd CF37 2EG, UK
(51.6072339, -3.3496892)(51.7148733, -2.6896067)87–89 Falcon Way
Welwyn Garden City
England
AL7
United Kingdom
(51.80805894551035, -0.1947835274042513)The Chiltern Hospital, London Rd, Great Missenden HP16 0EN, UK
(51.690005899999996, -0.6943566)8 Tebay Cl, Ormesby, Middlesbrough TS7 9JS, UK
(54.5499324, -1.1779057)46 Joseph Wilson Industrial Est, Whitstable CT5 3PS, UK
(51.346067999999995, 1.043148)Millstrood Road, Tesco Whitstable Extra, Whitstable CT5 3EE, UK
(51.3471981, 1.0411675999999999)Location:
///selling.liver.lifeguard
Unit 1, Enterprise Court Geddington Rd, Corby NN18 8FA, UK
(52.4890292, -0.6722958)Lord Louis Tiby Carvey Plymouth MABAnglesey Area of Outstanding Natural Beauty, Anglesey Business Centre, Bryn Cefni Isle of Anglesey County Council, Llangefni LL77 7XA, UK
(53.28469765392674, -4.190547578036785)18 Birch Grn, Birch Green, Hertford SG14 2LU, UK
(51.7859209, -0.12759209999999999)Wand Ln, Goole DN14 0RH, UK
(53.716242789943564, -1.1249548012619692)149 Kern House, Scrubs Lane
London
England
NW10 6RH
United Kingdom
(51.52471622850282, -0.23222239734525837)Location:
Swepstone 
6 The Dairy, Swepstone, Coalville LE67 2RS, UK
(52.6872857, -1.4551831)Brooklyn Yard, Hirwaun Rd, Hirwaun, Aberdare CF44 9HR, UK
(51.732304799999994, -3.4986569999999997)Wand Ln, Goole DN14 0RH, UK
(53.716242789943564, -1.1249548012619692)Dux Court, Dux Ct Rd, Hoo, Rochester ME3 8RZ, UK
(51.4334875, 0.5491172)Dux Court, Dux Ct Rd, Hoo, Rochester ME3 8RZ, UK
(51.4334875, 0.5491172)(51.3814517, -2.846355)Dux Court, Dux Ct Rd, Hoo, Rochester ME3 8RZ, UK
(51.4334875, 0.5491172)The Bungalow, Hewish, Middle Elm, Weston-super-Mare BS24 6SN, UK
(51.3812518, -2.8460096000000004)Westley Ln, Saffron Walden CB10 1UX, UK
(52.0385931000686, 0.23222119998291363)West Denton Way - Shops, Newcastle upon Tyne NE5 2QZ, UK
(54.9924135, -1.6984954)A48, Caldicot NP26 3AD, UK
(51.617071250210174, -2.850380349838986)Trinley Buildings, Finkley Road
Andover
England
SP11 6AH
United Kingdom
(51.23762628863509, -1.4352211531278023)Knowle Ln, Crediton EX17 5BX, UK
(50.797585586629204, -3.738169558346271)194 Rushbottom Ln, South Benfleet, Benfleet SS7 4LN, UK
(51.57439970000001, 0.5486151)Asda, Stevenage SG1 1XP, UK
(51.898872, -0.20073)9 Drakes Cl, Huntington, York YO32 9GN, UK
(53.9986025, -1.0607966)6 The Dairy, Swepstone, Coalville LE67 2RS, UK
(52.686864755817034, -1.4480673149228096)The Corner Cottage, Waterperry, Oxford OX33 1LD, UK
(51.754686899999996, -1.0940311)Location:
Coventry 
The Ponderosa/Freeboard La, Ryton-on-Dunsmore, Coventry CV8 3EQ, UK
(52.3493992, -1.4270568)200 Lichfield Ln, Mansfield NG18 4RG, UK
(53.129751399999996, -1.1829589)The Ponderosa/Freeboard La, Ryton-on-Dunsmore, Coventry CV8 3EQ, UK
(52.3493992, -1.4270568)</t>
  </si>
  <si>
    <t>Mathew Dunn</t>
  </si>
  <si>
    <t>Hens e3</t>
  </si>
  <si>
    <t>7965 Kingfisher Tree Services Ltd</t>
  </si>
  <si>
    <t>["7965 : 57274 Rob Blair","7965 : 57896 Jack Whitlam"]</t>
  </si>
  <si>
    <t>27/02/2026 12:37</t>
  </si>
  <si>
    <t>27/02/2026 12:45</t>
  </si>
  <si>
    <t>["Vehicles","Training &amp; Competency","Access arrangements","Arboriculture","Utility Arboriculture (Electrical)","Aerial Tree Work"]</t>
  </si>
  <si>
    <t>48</t>
  </si>
  <si>
    <t>6.9</t>
  </si>
  <si>
    <t xml:space="preserve">TRAFFIC MANAGEMENT CONTROLS IN PLACE (IF REQUIRED): N/A
FELLING EQUIPMENT: N/A
CLIMBING GEAR CHECKED AND SUITABLE FOR TASK: N/A
DEAD WORK COMPLIANCE: N/A
ANCHOR POINT SELECTION: N/A
</t>
  </si>
  <si>
    <t xml:space="preserve">Exec Summary:
Good knowledge shown and also the importance of rest are large jobs 
</t>
  </si>
  <si>
    <t>1289</t>
  </si>
  <si>
    <t>hewellWareham BH20, UK
(50.6800556, -2.166288)Wareham BH20 6FA, UK
(50.67797950000001, -2.1832577)(51.0590969, -2.304505)Oak Vale Ln, Henstridge, Templecombe BA8 0SP, UK
(50.97782894473869, -2.391201119673239)</t>
  </si>
  <si>
    <t>Oliver Coyle</t>
  </si>
  <si>
    <t>Reaches Marsh Farm</t>
  </si>
  <si>
    <t>2730 Cliff Tree Services Ian5112 DE UA Arb Neil Squires</t>
  </si>
  <si>
    <t>["5112 : 43795 Neil Squires","2730 : 1817 Iain Edgar"]</t>
  </si>
  <si>
    <t>27/02/2026 11:50</t>
  </si>
  <si>
    <t>27/02/2026 12:44</t>
  </si>
  <si>
    <t>["Plant &amp; Work Equipment","Vehicles","Woodchipper Use","Vehicle &amp; Plant Movement","Ground Based Chainsaw"]</t>
  </si>
  <si>
    <t>53</t>
  </si>
  <si>
    <t>0.8</t>
  </si>
  <si>
    <t xml:space="preserve">EQUIPMENT CALIBRATION: N/A
TRAINEES / INEXPERIENCED PERSONS ON SITE ARE RECORDED ON THE POWA: N/A
CLEAR COMMUNICATION WITH CONTROL: N/A
SHROUDING – USED/AVAILABLE/GOOD CONDITION: N/A
CHASSIS EARTH APPLIED (MEWP NEAR HV LINES): N/A
RECOGNIZED CLIMBING STANDARD (TWO ROPE SYSTEM): N/A
ROPE ACCESS – QUALIFIED RESCUE OBSERVER: N/A
HAVS – DAILY TOOL VIBRATION LOG: N/A
W20 RECORD BOOK FOR DRIVERS HOURS: N/A
SITE – NRSWA COMPLIANCE: N/A
</t>
  </si>
  <si>
    <t xml:space="preserve">Exec Summary:
All paperwork in date and present. Operatives are competent and are performing all work safely with correct PPE.
</t>
  </si>
  <si>
    <t>1290</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</si>
  <si>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t>
  </si>
  <si>
    <t>Sam Norman</t>
  </si>
  <si>
    <t>Marsh lane</t>
  </si>
  <si>
    <t>27/02/2026 11:54</t>
  </si>
  <si>
    <t>27/02/2026 12:29</t>
  </si>
  <si>
    <t>["Vehicles","Engagements &amp; Values","Site Environment","Working at Height","Tree Cutting","Arboriculture"]</t>
  </si>
  <si>
    <t>120</t>
  </si>
  <si>
    <t>3.5</t>
  </si>
  <si>
    <t xml:space="preserve">LIVE WORK JUSTIFICATION (DECISION FLOW CHARTS): N/A
LOCATION INFORMED – END OF WORK: N/A
LV LINE LIVE JUSTIFICATION FORM: N/A
HV LIVE TREE CUTTING JUSTIFICATION FORM: N/A
HV LIVE TREE CUTTING FORM NOT JUSTIFIED BY WORKER: N/A
</t>
  </si>
  <si>
    <t xml:space="preserve">Exec Summary:
All good overall safety specs. Work being done to good standard. 
</t>
  </si>
  <si>
    <t>1291</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</si>
  <si>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t>
  </si>
  <si>
    <t xml:space="preserve">870033/0005 Ravensdale Park </t>
  </si>
  <si>
    <t>7238 Booker Tree Care</t>
  </si>
  <si>
    <t>["7238 : 51114 Daniel Booker","7238 : 51895 Zammis Hughes"]</t>
  </si>
  <si>
    <t>26/02/2026 12:58</t>
  </si>
  <si>
    <t>27/02/2026 08:02</t>
  </si>
  <si>
    <t>["Training &amp; Competency","Utility Arboriculture (Electrical)"]</t>
  </si>
  <si>
    <t>29</t>
  </si>
  <si>
    <t>17</t>
  </si>
  <si>
    <t xml:space="preserve">CLIENT INDUCTION: N/A
LOOKOUT DEPLOYMENT: N/A
DEAD WORK COMPLIANCE: N/A
</t>
  </si>
  <si>
    <t>1297</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</si>
  <si>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t>
  </si>
  <si>
    <t>Keil Cheung</t>
  </si>
  <si>
    <t>Fp MCANN</t>
  </si>
  <si>
    <t>["7238 : 51895 Zammis Hughes"]</t>
  </si>
  <si>
    <t>26/02/2026 12:24</t>
  </si>
  <si>
    <t>26/02/2026 12:33</t>
  </si>
  <si>
    <t>["N/A","No Specialist Areas"]</t>
  </si>
  <si>
    <t>9</t>
  </si>
  <si>
    <t xml:space="preserve">LICENCES: N/A
HERBICIDE/PESTICIDE USE &amp; RECORDS: N/A
WATER ABSTRACTION &amp; DISCHARGE PERMITS: N/A
ECOLOGICALLY SENSITIVE AREAS: N/A
PROTECTED SPECIES: N/A
TREE PROTECTION ORDERS: N/A
INVASIVE SPECIES: N/A
ODOUR EMISSION: N/A
</t>
  </si>
  <si>
    <t xml:space="preserve">Exec Summary:
Good audit 
</t>
  </si>
  <si>
    <t>1300</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</si>
  <si>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t>
  </si>
  <si>
    <t>Paul Chubb</t>
  </si>
  <si>
    <t>140141</t>
  </si>
  <si>
    <t>Tisb e4</t>
  </si>
  <si>
    <t>3181 Vale Tree Surgeons</t>
  </si>
  <si>
    <t>["3181 : 57524 Toby Panton","3181 : 53176 Ryan Osborne"]</t>
  </si>
  <si>
    <t>26/02/2026 11:48</t>
  </si>
  <si>
    <t>26/02/2026 12:21</t>
  </si>
  <si>
    <t>["Plant &amp; Work Equipment","Use of Hedge cutters"]</t>
  </si>
  <si>
    <t>31</t>
  </si>
  <si>
    <t>0.5</t>
  </si>
  <si>
    <t xml:space="preserve">EQUIPMENT CALIBRATION: N/A
</t>
  </si>
  <si>
    <t xml:space="preserve">Exec Summary:
In general the sitexwas tidy and secure the tools in use were clean and zharp with visiblecwzrning signs and well serviced, work pack rams were to hand. Correct ppe was worn 
</t>
  </si>
  <si>
    <t>Paul chubb</t>
  </si>
  <si>
    <t xml:space="preserve">Witness Comments:
Tidy site 
</t>
  </si>
  <si>
    <t>1301</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</si>
  <si>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t>
  </si>
  <si>
    <t>Joseph Pallot</t>
  </si>
  <si>
    <t>Above</t>
  </si>
  <si>
    <t>Wasps nest SD</t>
  </si>
  <si>
    <t>["3201 : 1851 Will Rawlings"]</t>
  </si>
  <si>
    <t>26/02/2026 09:33</t>
  </si>
  <si>
    <t>26/02/2026 10:04</t>
  </si>
  <si>
    <t>["Vehicles","Training &amp; Competency","PPE Standards","Working at Height","Tree Cutting","Utility Arboriculture (Electrical)","Woodchipper Use","Rope Access"]</t>
  </si>
  <si>
    <t>130</t>
  </si>
  <si>
    <t>4.2</t>
  </si>
  <si>
    <t xml:space="preserve">SITE INDUCTION: N/A
PERMIT TO WORK AT HEIGHT ISSUED: N/A
LADDER CONDITION AND POSITIONING: N/A
PLATFORM INSPECTIONS: N/A
PLATFORM CONDITION &amp; STABILITY: N/A
GUARDING ON PLATFORMS: N/A
MEWP: N/A
MEWP SAFETY MEASURES: N/A
SCAFFOLD INSTALLED / MODIFIED BY COMPETENT PERSON: N/A
EDGE PROTECTION ON NON-PLATFORM SURFACES: N/A
TRAINEES / INEXPERIENCED PERSONS ON SITE ARE RECORDED ON THE POWA: N/A
HV LIVE TREE CUTTING JUSTIFICATION FORM: N/A
CLEAR COMMUNICATION WITH CONTROL: N/A
HV LIVE TREE CUTTING FORM NOT JUSTIFIED BY WORKER: N/A
SHROUDING – USED/AVAILABLE/GOOD CONDITION: N/A
CHASSIS EARTH APPLIED (MEWP NEAR HV LINES): N/A
CABLE AVOIDANCE TOOL – AVAILABLE &amp; WORKING: N/A
OUTRIGGERS &amp; SPREADER PLATES: N/A
MEWP PRE-USE INSPECTION – HSS 01 123A: N/A
MEWP OPERATORS – TRAINED &amp; COMPETENT: N/A
MEWP DOORS &amp; LATCHES – SECURED: N/A
W20 RECORD BOOK FOR DRIVERS HOURS: N/A
SITE – NRSWA COMPLIANCE: N/A
LOOKOUT DEPLOYMENT: N/A
LEVEL 3 SUPERVISION IN PLACE: N/A
OPERATIVE IRATA CERTIFICATION VERIFIED: N/A
LOGBOOKS AVAILABLE &amp; CURRENT: N/A
ROPE ACCESS METHOD STATEMENT IN PLACE: N/A
TASK BRIEFING DELIVERED BY LEVEL 3: N/A
EDGE &amp; ABRASION PROTECTION IN PLACE: N/A
DROPPED OBJECT CONTROLS IMPLEMENTED: N/A
</t>
  </si>
  <si>
    <t xml:space="preserve">Exec Summary:
All documentation clear and up to date. All safety precautions understoid and demonstrable, wah procedures fully followed
</t>
  </si>
  <si>
    <t>1306</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</si>
  <si>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t>
  </si>
  <si>
    <t>Sea View.</t>
  </si>
  <si>
    <t>Sea view LV reactive</t>
  </si>
  <si>
    <t>8006 George Harris Tree Services</t>
  </si>
  <si>
    <t>["6955 : 56232 Luca Nicholson","8006 : 53304 George Harris"]</t>
  </si>
  <si>
    <t>25/02/2026 10:47</t>
  </si>
  <si>
    <t>25/02/2026 12:19</t>
  </si>
  <si>
    <t>["Engagements &amp; Values","Occupational Health","Plant &amp; Work Equipment","Vehicles","Training &amp; Competency","Pollution Prevention","Waste &amp; Resource Management","Environmental Documentation","Site Environment","Biodiversity","COSHH","Risk Management","PPE Standards","Manual Handling","Site &amp; Welfare Arrangements","Emergency Arrangements","Access arrangements","Planning &amp; Setting to work","Behaviour","All Core H&amp;S Requirements","Access arrangements"]</t>
  </si>
  <si>
    <t>92</t>
  </si>
  <si>
    <t>141</t>
  </si>
  <si>
    <t>139</t>
  </si>
  <si>
    <t>98.582</t>
  </si>
  <si>
    <t xml:space="preserve">EQUIPMENT CALIBRATION: N/A
LONE WORKING LOGGING: N/A
WASTE PROCEDURE: N/A
WASTE TRANSFER NOTES: N/A
PERMITS / EXEMPTIONS: N/A
WASTE FACILITIES: N/A
SITE WASTE MANAGEMENT PLAN: N/A
SIGNAGE: N/A
WASTE SEGREGATION: N/A
TEEP ASSESSMENT: N/A
WASTE HIREARCHY: N/A
RECYCLING REPORTS: N/A
WASTE REDUCTION OPPORTUNITIES: N/A
WASTE SUPPLIER: N/A
BULK FUEL STORAGE: N/A
ENVIRONMENTAL HAZARDOUS SUBSTANCES: N/A
CHEMICAL STORAGE AREA: N/A
CHEMICAL VALIDITY &amp; SOURCE: N/A
COSHH SUBSTANCE CHECK (VISUAL &amp; MSDS ALIGNMENT): N/A
PESTICIDE APPLICATION IN USE?: N/A
STORAGE &amp; TRANSPORT: N/A
CORRECT PPE IN USE: N/A
TRAFFIC MANAGEMENT PLAN: N/A
PROGRAMME &amp; SEQUENCING: N/A
WORK INSTRUCTIONS: N/A
LONE WORKING: N/A
SAFETYCULTURE ACTIONS: N/A
Permit to pump in place where pumping of water is taking place?: N/A
Is site run off controlled? No silt entering drainage/ watercourses?: N/A
Are Spraying records being completed?: N/A
Is any spraying taking place in or near watercourses, i.e. banks of river? If yes, has a  AqHerb01 form been submitted to the EA?: N/A
Is an environmental permit / consent in place/ required for any works near or in water courses?: N/A
</t>
  </si>
  <si>
    <t>["HEADS UP RECORDS","HEADS UP"]</t>
  </si>
  <si>
    <t xml:space="preserve">Exec Summary:
Very good inspection. 
</t>
  </si>
  <si>
    <t xml:space="preserve">Witness Comments:
Good audit and some good chat around safty culture 
</t>
  </si>
  <si>
    <t>1315</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</si>
  <si>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
  </si>
  <si>
    <t>7313 p18a 24a</t>
  </si>
  <si>
    <t>Mountain ash</t>
  </si>
  <si>
    <t>6533 C G Tree Cutting Services</t>
  </si>
  <si>
    <t>["6533 : 47132 Mark Pearce","6533 : 47745 Carl Giles"]</t>
  </si>
  <si>
    <t>24/02/2026 10:00</t>
  </si>
  <si>
    <t>24/02/2026 10:49</t>
  </si>
  <si>
    <t>["Engagements &amp; Values","Occupational Health","Plant &amp; Work Equipment","Vehicles","Training &amp; Competency","Pollution Prevention","Waste &amp; Resource Management","Carbon &amp; Energy","Environmental Documentation","Site Environment","Biodiversity","COSHH","Risk Management","PPE Standards","Manual Handling","Site &amp; Welfare Arrangements","Emergency Arrangements","Access arrangements","Planning &amp; Setting to work","HSQE Systems","Behaviour","All Core H&amp;S Requirements","All Core Environment Requirements","Access arrangements"]</t>
  </si>
  <si>
    <t>133</t>
  </si>
  <si>
    <t>2.8</t>
  </si>
  <si>
    <t xml:space="preserve">EQUIPMENT CALIBRATION: N/A
ROAD TRAFFIC INCIDENT PROCEDURE: N/A
SECURE LOADS: N/A
LOAD CAPACITY: N/A
TRAILER COMPLIANCE: N/A
WASTE REMOVAL &amp; STORAGE: N/A
Is an EMP in place and updated within the last 6 months?: N/A
Have any environmental TBTs been completed within the last month?: N/A
WASTE PROCEDURE: N/A
WASTE TRANSFER NOTES: N/A
WASTE CARRIER LICENCES: N/A
PERMITS / EXEMPTIONS: N/A
WASTE FACILITIES: N/A
SITE WASTE MANAGEMENT PLAN: N/A
SIGNAGE: N/A
TEEP ASSESSMENT: N/A
WASTE HIREARCHY: N/A
RECYCLING REPORTS: N/A
WASTE REDUCTION OPPORTUNITIES: N/A
WASTE SUPPLIER: N/A
BULK FUEL STORAGE: N/A
CHEMICAL STORAGE AREA: N/A
CHEMICAL VALIDITY &amp; SOURCE: N/A
STORAGE CONDITION &amp; CONTAINER INTEGRITY: N/A
COSHH SUBSTANCE CHECK (VISUAL &amp; MSDS ALIGNMENT): N/A
PESTICIDE APPLICATION IN USE?: N/A
RECORD FORMS COMPLETED: N/A
STORAGE &amp; TRANSPORT: N/A
CORRECT PPE IN USE: N/A
PERMIT REQUIREMENTS IDENTIFIED: N/A
TEMPORARY WORKS PLANNING: N/A
TRAFFIC MANAGEMENT PLAN: N/A
PROGRAMME &amp; SEQUENCING: N/A
LONE WORKING: N/A
Permit to pump in place where pumping of water is taking place?: N/A
Is site run off controlled? No silt entering drainage/ watercourses?: N/A
Are Spraying records being completed?: N/A
Is any spraying taking place in or near watercourses, i.e. banks of river? If yes, has a  AqHerb01 form been submitted to the EA?: N/A
Is an environmental permit / consent in place/ required for any works near or in water courses?: N/A
Is the site using any renewable energy? Solar Welfare/ CCTV/ Lighting?: N/A
Does the site have any electric/ battery euipment in place of diesel?: N/A
Is HVO being used?: N/A
Are there any other carbon saving initiatives being implemented?: N/A
Is the site compliant with NRMM?: N/A
Drying rooms/ welfare switched off over night?: N/A
Energy saving welfare - eco welfare?: N/A
Is Dust adequately controlled?: N/A
</t>
  </si>
  <si>
    <t xml:space="preserve">Exec Summary:
Good audit all paperwork in place and good comunication with the team. 
</t>
  </si>
  <si>
    <t>1323</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</si>
  <si>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t>
  </si>
  <si>
    <t>LV</t>
  </si>
  <si>
    <t>7673 Down To Earth Tree Management</t>
  </si>
  <si>
    <t>["7673 : 52894 Myles Greenwood"]</t>
  </si>
  <si>
    <t>24/02/2026 10:05</t>
  </si>
  <si>
    <t>24/02/2026 10:37</t>
  </si>
  <si>
    <t>["Engagements &amp; Values","Training &amp; Competency","Site Environment","PPE Standards","MEWP Use in tree work","Working at Height","FT Contract"]</t>
  </si>
  <si>
    <t>67</t>
  </si>
  <si>
    <t>2.2</t>
  </si>
  <si>
    <t xml:space="preserve">LADDER CONDITION AND POSITIONING: N/A
SCAFFOLD INSTALLED / MODIFIED BY COMPETENT PERSON: N/A
EDGE PROTECTION ON NON-PLATFORM SURFACES: N/A
OBJECT FALL PREVENTION IN PLACE: N/A
FRAGILE SURFACES IDENTIFIED &amp; PROTECTED: N/A
</t>
  </si>
  <si>
    <t xml:space="preserve">Exec Summary:
Field team compliant. All records available on request. 
</t>
  </si>
  <si>
    <t>1328</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</si>
  <si>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-3.399335)11 Brunel Wy., Slough SL1 1XW, UK
(51.5105693, -0.5903697)morrisons, 41 Ampthill Rd, Bedford MK42 9JP, UK
(52.1220162, -0.4741521)23a Station Hill, St Clears, Carmarthen SA33 4DF, UK
(51.8280999, -4.4930845999999995)11 Samian Cres, Folkestone CT19 4JW, UK
(51.090514500000005, 1.1300854)(53.2219733, -1.5237)</t>
  </si>
  <si>
    <t>Mark Davies</t>
  </si>
  <si>
    <t>1213000020</t>
  </si>
  <si>
    <t>895132</t>
  </si>
  <si>
    <t>["7673 : 52868 Charlie Batten","7673 : 52894 Myles Greenwood"]</t>
  </si>
  <si>
    <t>24/02/2026 10:02</t>
  </si>
  <si>
    <t>["Training &amp; Competency","Engagements &amp; Values","Site Environment","PPE Standards","MEWP Use in tree work","FT Contract","Working at Height"]</t>
  </si>
  <si>
    <t>2.0</t>
  </si>
  <si>
    <t xml:space="preserve">Exec Summary:
Very good 
</t>
  </si>
  <si>
    <t>1329</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</si>
  <si>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-3.399335)11 Brunel Wy., Slough SL1 1XW, UK
(51.5105693, -0.5903697)morrisons, 41 Ampthill Rd, Bedford MK42 9JP, UK
(52.1220162, -0.4741521)23a Station Hill, St Clears, Carmarthen SA33 4DF, UK
(51.8280999, -4.4930845999999995)11 Samian Cres, Folkestone CT19 4JW, UK
(51.090514500000005, 1.1300854)(53.2219733, -1.5237)6FCG+38, Chesterfield S42 7HP, UK
(53.220259999999996, -1.5243130999999999)</t>
  </si>
  <si>
    <t>Dean Fleming</t>
  </si>
  <si>
    <t>Pressed Hall</t>
  </si>
  <si>
    <t xml:space="preserve">Live work </t>
  </si>
  <si>
    <t>7806 Optimum Tree Services Ltd</t>
  </si>
  <si>
    <t>["7806 : 54273 Abraham Davies","7806 : 57172 Kenney Aldred"]</t>
  </si>
  <si>
    <t>23/02/2026 11:19</t>
  </si>
  <si>
    <t>23/02/2026 12:17</t>
  </si>
  <si>
    <t>["Vehicles","PPE Standards","No Specialist Areas"]</t>
  </si>
  <si>
    <t>95.238</t>
  </si>
  <si>
    <t xml:space="preserve">DRIVER QUALIFICATIONS: N/A
PPE INSPECTION RECORDS: N/A
</t>
  </si>
  <si>
    <t>["RISK ASSESSMENT PPE CONTROLS"]</t>
  </si>
  <si>
    <t xml:space="preserve">Exec Summary:
First visit to check Optimum.
Team very responsive to checks. 
Good overall condition of vehicles and equipment .
</t>
  </si>
  <si>
    <t xml:space="preserve">Witness Comments:
Good inspection with team. Few minor defects on the trailer to be rectified. Overall good communication between team. 
</t>
  </si>
  <si>
    <t>&lt;p&gt;&lt;a href="https&amp;#58;//apps.powerapps.com/play/2d567dc9-5d50-4629-a077-f7ccbff3e239?tenantId=3ef9f654-aa07-41b8-88ad-a411c62bd12c&amp;amp;Action=Open&amp;amp;Actionno=8353"&gt;Rachet strap&lt;/a&gt;&lt;br&gt;&lt;a href="https&amp;#58;//apps.powerapps.com/play/2d567dc9-5d50-4629-a077-f7ccbff3e239?tenantId=3ef9f654-aa07-41b8-88ad-a411c62bd12c&amp;amp;Action=Open&amp;amp;Actionno=8354"&gt;trailer repairs&lt;/a&gt;&lt;br&gt;&lt;a href="https&amp;#58;//apps.powerapps.com/play/2d567dc9-5d50-4629-a077-f7ccbff3e239?tenantId=3ef9f654-aa07-41b8-88ad-a411c62bd12c&amp;amp;Action=Open&amp;amp;Actionno=8355"&gt;Ear defender hygiene kit&lt;/a&gt;&lt;br&gt;&lt;/p&gt;</t>
  </si>
  <si>
    <t>1337</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</si>
  <si>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-3.399335)11 Brunel Wy., Slough SL1 1XW, UK
(51.5105693, -0.5903697)morrisons, 41 Ampthill Rd, Bedford MK42 9JP, UK
(52.1220162, -0.4741521)23a Station Hill, St Clears, Carmarthen SA33 4DF, UK
(51.8280999, -4.4930845999999995)11 Samian Cres, Folkestone CT19 4JW, UK
(51.090514500000005, 1.1300854)(53.2219733, -1.5237)6FCG+38, Chesterfield S42 7HP, UK
(53.220259999999996, -1.5243130999999999)Hilton Maidstone Hotel, Bearsted Rd, Weavering, Maidstone ME14 5AA, UK
(51.285166399999994, 0.5456565999999999)(51.1366726, 0.9141884)2 Picton Ferry, St Clears, Carmarthen SA33 4JR, UK
(51.829028799999996, -4.504458)144 Cardiff Rd, Reading RG1 8EW, UK
(51.4620786, -0.987197)Chappel, Colchester CO6 2DZ, UK
(51.917822, 0.7551329999999999)2 Whitfield Dr, Milnrow, Rochdale OL16 4BP, UK
(53.6062708, -2.1204251)33 Brooklands Rd, Larkfield, Aylesford ME20 6RN, UK
(51.309171799999994, 0.44254299999999996)B1024, Colchester CO5 9EG, UK
(51.84785221013442, 0.7258044721164066)</t>
  </si>
  <si>
    <t>Patryk Zietarski</t>
  </si>
  <si>
    <t>Pressed hall</t>
  </si>
  <si>
    <t>Live work</t>
  </si>
  <si>
    <t>["7806 : 57172 Kenney Aldred","7806 : 54273 Abraham Davies"]</t>
  </si>
  <si>
    <t>23/02/2026 10:52</t>
  </si>
  <si>
    <t>23/02/2026 12:03</t>
  </si>
  <si>
    <t>["Vehicles","No Specialist Areas"]</t>
  </si>
  <si>
    <t>6</t>
  </si>
  <si>
    <t>0.1</t>
  </si>
  <si>
    <t xml:space="preserve">DRIVER QUALIFICATIONS: N/A
TRAILER COMPLIANCE: N/A
</t>
  </si>
  <si>
    <t xml:space="preserve">Exec Summary:
Good audit vehicle,just,needed a little tidy up some lose rubbish empty bottles 
</t>
  </si>
  <si>
    <t>1338</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</si>
  <si>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-3.399335)11 Brunel Wy., Slough SL1 1XW, UK
(51.5105693, -0.5903697)morrisons, 41 Ampthill Rd, Bedford MK42 9JP, UK
(52.1220162, -0.4741521)23a Station Hill, St Clears, Carmarthen SA33 4DF, UK
(51.8280999, -4.4930845999999995)11 Samian Cres, Folkestone CT19 4JW, UK
(51.090514500000005, 1.1300854)(53.2219733, -1.5237)6FCG+38, Chesterfield S42 7HP, UK
(53.220259999999996, -1.5243130999999999)Hilton Maidstone Hotel, Bearsted Rd, Weavering, Maidstone ME14 5AA, UK
(51.285166399999994, 0.5456565999999999)(51.1366726, 0.9141884)2 Picton Ferry, St Clears, Carmarthen SA33 4JR, UK
(51.829028799999996, -4.504458)144 Cardiff Rd, Reading RG1 8EW, UK
(51.4620786, -0.987197)Chappel, Colchester CO6 2DZ, UK
(51.917822, 0.7551329999999999)2 Whitfield Dr, Milnrow, Rochdale OL16 4BP, UK
(53.6062708, -2.1204251)33 Brooklands Rd, Larkfield, Aylesford ME20 6RN, UK
(51.309171799999994, 0.44254299999999996)B1024, Colchester CO5 9EG, UK
(51.84785221013442, 0.7258044721164066)Prested Hall, Feering, Colchester CO5 9EE, UK
(51.8438655, 0.7308302)</t>
  </si>
  <si>
    <t>Dobson weir, Lee valley</t>
  </si>
  <si>
    <t xml:space="preserve">PED tower clearance </t>
  </si>
  <si>
    <t>7889 Tree Tech Suffolk Ltd</t>
  </si>
  <si>
    <t>["7889 : 54706 Danny Appleby","7889 : 57308 Daniel Brown","7889 : 54705 Nikki Sparrow"]</t>
  </si>
  <si>
    <t>23/02/2026 10:58</t>
  </si>
  <si>
    <t>23/02/2026 11:59</t>
  </si>
  <si>
    <t>["PPE Standards","Vehicles","Use of Long Reach Tools"]</t>
  </si>
  <si>
    <t>60</t>
  </si>
  <si>
    <t>27</t>
  </si>
  <si>
    <t xml:space="preserve">TRAILER COMPLIANCE: N/A
RISK ASSESSMENT PPE CONTROLS: N/A
GLASSES CONDITION: N/A
</t>
  </si>
  <si>
    <t xml:space="preserve">Exec Summary:
Use of pole saw. 
Pre start checks including oil and fuel. Check start/stop. Only qualified operatives to use pole saw. When using saw, looking up check helmet is secure before work starts, checking the material that is to be cut is safe and there is nothing that is going to fall on the operative and cause harm. Make sure all other operatives are at least 15m away or twice the distance of the material being cut,cutting  no higher than 10m. Cutting material at full revs. The type of cut performed is dependent on spp of tree, hazards and the limb that is going to be cut. If the limb is extended then the limb will be cut in smaller bits reducing the risk of trapping the bar. Do not stand directly under the branch being cut, stand to one side or the other. Once the branch is on the ground and the pole saw is safe the the ground staff will remove and chip up. 
</t>
  </si>
  <si>
    <t>1339</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</si>
  <si>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-3.399335)11 Brunel Wy., Slough SL1 1XW, UK
(51.5105693, -0.5903697)morrisons, 41 Ampthill Rd, Bedford MK42 9JP, UK
(52.1220162, -0.4741521)23a Station Hill, St Clears, Carmarthen SA33 4DF, UK
(51.8280999, -4.4930845999999995)11 Samian Cres, Folkestone CT19 4JW, UK
(51.090514500000005, 1.1300854)(53.2219733, -1.5237)6FCG+38, Chesterfield S42 7HP, UK
(53.220259999999996, -1.5243130999999999)Hilton Maidstone Hotel, Bearsted Rd, Weavering, Maidstone ME14 5AA, UK
(51.285166399999994, 0.5456565999999999)(51.1366726, 0.9141884)2 Picton Ferry, St Clears, Carmarthen SA33 4JR, UK
(51.829028799999996, -4.504458)144 Cardiff Rd, Reading RG1 8EW, UK
(51.4620786, -0.987197)Chappel, Colchester CO6 2DZ, UK
(51.917822, 0.7551329999999999)2 Whitfield Dr, Milnrow, Rochdale OL16 4BP, UK
(53.6062708, -2.1204251)33 Brooklands Rd, Larkfield, Aylesford ME20 6RN, UK
(51.309171799999994, 0.44254299999999996)B1024, Colchester CO5 9EG, UK
(51.84785221013442, 0.7258044721164066)Prested Hall, Feering, Colchester CO5 9EE, UK
(51.8438655, 0.7308302)Lee Valley Regional Park Authority, Myddelton House Gardens, Enfield EN2 9HG, UK
(51.7532576, 0.0117751)</t>
  </si>
  <si>
    <t>Prested hall</t>
  </si>
  <si>
    <t>["7806 : 54294 Lewis Davies","7806 : 59309 joshua davies"]</t>
  </si>
  <si>
    <t>23/02/2026 10:10</t>
  </si>
  <si>
    <t>23/02/2026 10:50</t>
  </si>
  <si>
    <t>["Risk Management","Emergency Arrangements","HSQE Systems","No Specialist Areas"]</t>
  </si>
  <si>
    <t>40</t>
  </si>
  <si>
    <t>36</t>
  </si>
  <si>
    <t>0.9</t>
  </si>
  <si>
    <t>88.889</t>
  </si>
  <si>
    <t xml:space="preserve">WASTE REMOVAL &amp; STORAGE: N/A
SHARPS HAZARD MANAGEMENT: N/A
SHARPS REPORTING: N/A
</t>
  </si>
  <si>
    <t>["FIRE EXTINGUISHERS","TEST DATES FOR FIRE EXTINGUISHERS","RISK ASSESSMENT PPE CONTROLS","SAFETYCULTURE ACTIONS"]</t>
  </si>
  <si>
    <t xml:space="preserve">Exec Summary:
Few minor things missing! Team to reasses asap
</t>
  </si>
  <si>
    <t>Emily eva</t>
  </si>
  <si>
    <t xml:space="preserve">Witness Comments:
Relatively good audit. Some outstanding actions to be addressed. 
Fire extinguishers being collected from testing at end of week.
Kenny to ensure wearing correct PPE. No chainsaw work today. 
</t>
  </si>
  <si>
    <t>&lt;p&gt;&lt;a href="https&amp;#58;//apps.powerapps.com/play/2d567dc9-5d50-4629-a077-f7ccbff3e239?tenantId=3ef9f654-aa07-41b8-88ad-a411c62bd12c&amp;amp;Action=Open&amp;amp;Actionno=8356"&gt;please make sure to restore fire extinguisher per vehicle&lt;/a&gt;&lt;br&gt;&lt;a href="https&amp;#58;//apps.powerapps.com/play/2d567dc9-5d50-4629-a077-f7ccbff3e239?tenantId=3ef9f654-aa07-41b8-88ad-a411c62bd12c&amp;amp;Action=Open&amp;amp;Actionno=8357"&gt;One fire extinguisher between to vehicles, team working together&lt;/a&gt;&lt;br&gt;&lt;a href="https&amp;#58;//apps.powerapps.com/play/2d567dc9-5d50-4629-a077-f7ccbff3e239?tenantId=3ef9f654-aa07-41b8-88ad-a411c62bd12c&amp;amp;Action=Open&amp;amp;Actionno=8358"&gt;type A trousers warn on site kenney aldred not acceptable&lt;/a&gt;&lt;br&gt;&lt;a href="https&amp;#58;//apps.powerapps.com/play/2d567dc9-5d50-4629-a077-f7ccbff3e239?tenantId=3ef9f654-aa07-41b8-88ad-a411c62bd12c&amp;amp;Action=Open&amp;amp;Actionno=8359"&gt;joshua davis requires log details&lt;/a&gt;&lt;br&gt;&lt;/p&gt;</t>
  </si>
  <si>
    <t>1340</t>
  </si>
  <si>
    <t>hewellWareham BH20, UK
(50.6800556, -2.166288)Wareham BH20 6FA, UK
(50.67797950000001, -2.1832577)(51.0590969, -2.304505)Oak Vale Ln, Henstridge, Templecombe BA8 0SP, UK
(50.97782894473869, -2.391201119673239)Location:
Reaches Marsh Farm, Bye Lane, Brothertoft, PE20 3SE
Bye Ln, Boston PE20 3SE, UK
(53.002267943181366, -0.08646303501433272)Location:
Marsh lane brothetoft
Bye Ln, Boston PE20 3SE, UK
(53.002267943181366, -0.08646303501433272)(50.9143432, 0.2493418)Colne Valley Regional Park, Denham Ct Dr, Denham, Uxbridge UB9 5PG, UK
(51.57166766146324, -0.46050209552049637)14 Pilsworth Way, Unsworth, Bury BL9 8RE, UK
(53.5765748, -2.2833577)Trinley Lodge
Andover
England
SP11 6AH
United Kingdom
(51.23780084350263, -1.4338739092030024)WC4R+5H Pulborough, UK
(50.9054622, -0.5585304999999999)Cock Inn, Ashbourne DE6 4PJ, UK
(52.992771000000005, -1.573546)1-12 Hunter Ct, St Machar Dr, Aberdeen AB24 3RT, UK
(57.166114, -2.0998247)21 Glasfryn, St Clears, Carmarthen SA33 4DG, UK
(51.828066799999995, -4.491844899999999)The Old Covert, Mugginton, Weston Underwood, Ashbourne DE6 4PJ, UK
(52.9923693, -1.5738075999999999)Golden Acres, Donhead St Andrew, Shaftesbury SP7 9EW, UK
(51.0221137, -2.1126621)A40, Whitland SA34 0RD, UK
(51.81941392176349, -4.64013311337532)A40, Whitland SA34 0RD, UK
(51.81941392176349, -4.64013311337532)Co. Cavan Co. Cavan H12 E0V1
Ireland
(53.921724119984766, -7.441379948492537)52 Main Rd, Gilwern, Abergavenny NP7 0AS, UK
(51.8244547, -3.0956314999999996)Location:
Nocton 
1-2 Wasps Nest, Nocton Fen, Lincoln LN4 2AZ, UK
(53.1693874, -0.38660210000000006)7 Walnut Tree Grv, Hoo, Rochester ME3 9YB, UK
(51.4254055, 0.5704142999999999)Hall, Hasland Rd, Hasland, Chesterfield S41 0AY, UK
(53.2233119, -1.4073532)4 Barratt Cl, Attenborough, Beeston, Nottingham NG9 6AE, UK
(52.9047779, -1.2351393)5 Ripley Ct, Scunthorpe DN15 7UJ, UK
(53.586711, -0.6913515)8 Cae Gwyrdd, Sanclêr, Carmarthen SA33 4BE, UK
(51.8282028, -4.4912569)66 Herdborough Rd, Eastfield, Scarborough YO11 3HP, UK
(54.242934299999995, -0.3947813)Kingspit Ln, Petworth GU28, UK
(50.9882962, -0.5871032)Crianlarich GQR7+8W, Cardiff CF14 6UP, UK
(51.54082390000001, -3.2351607)Terras Bridge, Terras Bridge, Cornwall, Looe PL14 4PR, UK
(50.37396080010261, -4.462242946028709)Asda, Spott Rd, Dunbar EH42 1BF, UK
(55.989109299999996, -2.5122269999999998)270 Pinhoe Rd, Exeter EX4 7JQ, UK
(50.7316831, -3.5022056999999998)13 Rye Hill, Bere Regis, Wareham BH20 7FD, UK
(50.7435396, -2.2238495000000005)27 Pilgrims Way
Andover
England
SP10 5HW
United Kingdom
(51.216563260624106, -1.470428268171978)4 Old Rd S, Kempsey, Worcester WR5 3NH, UK
(52.1330469, -2.2235114)Co. Monaghan Co. Monaghan H18 YN53
Ireland
(54.38785032125365, -6.97202584732416)7 Sierra Pines, Mountain Ash CF45 3DS, UK
(51.68086, -3.399335)11 Brunel Wy., Slough SL1 1XW, UK
(51.5105693, -0.5903697)morrisons, 41 Ampthill Rd, Bedford MK42 9JP, UK
(52.1220162, -0.4741521)23a Station Hill, St Clears, Carmarthen SA33 4DF, UK
(51.8280999, -4.4930845999999995)11 Samian Cres, Folkestone CT19 4JW, UK
(51.090514500000005, 1.1300854)(53.2219733, -1.5237)6FCG+38, Chesterfield S42 7HP, UK
(53.220259999999996, -1.5243130999999999)Hilton Maidstone Hotel, Bearsted Rd, Weavering, Maidstone ME14 5AA, UK
(51.285166399999994, 0.5456565999999999)(51.1366726, 0.9141884)2 Picton Ferry, St Clears, Carmarthen SA33 4JR, UK
(51.829028799999996, -4.504458)144 Cardiff Rd, Reading RG1 8EW, UK
(51.4620786, -0.987197)Chappel, Colchester CO6 2DZ, UK
(51.917822, 0.7551329999999999)2 Whitfield Dr, Milnrow, Rochdale OL16 4BP, UK
(53.6062708, -2.1204251)33 Brooklands Rd, Larkfield, Aylesford ME20 6RN, UK
(51.309171799999994, 0.44254299999999996)B1024, Colchester CO5 9EG, UK
(51.84785221013442, 0.7258044721164066)Prested Hall, Feering, Colchester CO5 9EE, UK
(51.8438655, 0.7308302)Lee Valley Regional Park Authority, Myddelton House Gardens, Enfield EN2 9HG, UK
(51.7532576, 0.0117751)Prested Hall, Feering, Colchester CO5 9EE, UK
(51.8438655, 0.7308302)</t>
  </si>
  <si>
    <t xml:space="preserve">873871 Constitution Hill </t>
  </si>
  <si>
    <t>6468 EWS Tree Services Ltd</t>
  </si>
  <si>
    <t>["6464 : 47315 Jacob Toon"]</t>
  </si>
  <si>
    <t>05/03/2026 12:19</t>
  </si>
  <si>
    <t>05/03/2026 13:40</t>
  </si>
  <si>
    <t>["PPE Standards","Planning &amp; Setting to work","Access arrangements","Emergency Arrangements","Use of Long Reach Tools","Utility Arboriculture (Electrical)"]</t>
  </si>
  <si>
    <t xml:space="preserve">SHARPS HAZARD MANAGEMENT: N/A
SHARPS REPORTING: N/A
GLASSES CONDITION: N/A
LIFTING PLANS: N/A
QUALITY PLANS: N/A
CONSTRUCTION PHASE PLAN (CPP): N/A
PERMIT REQUIREMENTS IDENTIFIED: N/A
TEMPORARY WORKS PLANNING: N/A
INTERFACE &amp; COORDINATION PLANNING: N/A
TRAFFIC MANAGEMENT PLAN: N/A
PROGRAMME &amp; SEQUENCING: N/A
</t>
  </si>
  <si>
    <t>1355</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</si>
  <si>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t>
  </si>
  <si>
    <t>873871 Constitution Hill</t>
  </si>
  <si>
    <t>["6468 : 48505 Aaron Stone","2180 : 13136 John Watson"]</t>
  </si>
  <si>
    <t>05/03/2026 10:24</t>
  </si>
  <si>
    <t>05/03/2026 13:50</t>
  </si>
  <si>
    <t>["PPE Standards","Risk Management","Vehicles","Emergency Arrangements","Working at Height","Access arrangements","Utility Arboriculture (Electrical)"]</t>
  </si>
  <si>
    <t>111</t>
  </si>
  <si>
    <t>84</t>
  </si>
  <si>
    <t xml:space="preserve">DRIVER QUALIFICATIONS: N/A
WASTE REMOVAL &amp; STORAGE: N/A
SHARPS HAZARD MANAGEMENT: N/A
SHARPS REPORTING: N/A
GLASSES CONDITION: N/A
PERMIT TO WORK AT HEIGHT ISSUED: N/A
LADDER CONDITION AND POSITIONING: N/A
SCAFFOLD INSTALLED / MODIFIED BY COMPETENT PERSON: N/A
SIGNAGE AND BARRIERS IN PLACE: N/A
EDGE PROTECTION ON NON-PLATFORM SURFACES: N/A
FRAGILE SURFACES IDENTIFIED &amp; PROTECTED: N/A
PEDESTRIAN ROUTES DEFINED: N/A
</t>
  </si>
  <si>
    <t>1357</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</si>
  <si>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t>
  </si>
  <si>
    <t>43</t>
  </si>
  <si>
    <t>Coalville 13</t>
  </si>
  <si>
    <t>["6400 : 47964 Ross Beaumont"]</t>
  </si>
  <si>
    <t>05/03/2026 12:29</t>
  </si>
  <si>
    <t>05/03/2026 12:40</t>
  </si>
  <si>
    <t>["Engagements &amp; Values","Use of Brushcutter, Strimmer &amp; Clearing Saw"]</t>
  </si>
  <si>
    <t>10</t>
  </si>
  <si>
    <t>1.1</t>
  </si>
  <si>
    <t>90.909</t>
  </si>
  <si>
    <t>["HEADS UP RECORDS"]</t>
  </si>
  <si>
    <t xml:space="preserve">Exec Summary:
The use of a remote controlled mulcher for safety as the site to me mulched was all blackthorn this keeps the operatives safe from thorn strikes 
</t>
  </si>
  <si>
    <t>1359</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</si>
  <si>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t>
  </si>
  <si>
    <t>05/03/2026 11:34</t>
  </si>
  <si>
    <t>05/03/2026 11:48</t>
  </si>
  <si>
    <t>["Plant &amp; Work Equipment","Vehicle &amp; Plant Movement"]</t>
  </si>
  <si>
    <t xml:space="preserve">Exec Summary:
Team have barrier taped off whole area a d have used the designated routes to site 
</t>
  </si>
  <si>
    <t>1360</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</si>
  <si>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t>
  </si>
  <si>
    <t>Brant Broughton</t>
  </si>
  <si>
    <t>05/03/2026 11:37</t>
  </si>
  <si>
    <t>05/03/2026 11:59</t>
  </si>
  <si>
    <t>["Vehicles","Plant &amp; Work Equipment","Manual Handling","Arboriculture","Tree Cutting","Aerial Tree Work","Ground Based Chainsaw","Woodchipper Use"]</t>
  </si>
  <si>
    <t>110</t>
  </si>
  <si>
    <t>5.2</t>
  </si>
  <si>
    <t xml:space="preserve">NRMM COMPLIANCE: N/A
EQUIPMENT CALIBRATION: N/A
AVAILABILITY OF HANDLING AIDS : N/A
TRAFFIC MANAGEMENT CONTROLS IN PLACE (IF REQUIRED): N/A
TRAINEES / INEXPERIENCED PERSONS ON SITE ARE RECORDED ON THE POWA: N/A
POINT OF WORK RISK ASSESSMENT / CONTROL OF HAZARDS &amp; ASSESSING TREES (CHAT) FORM HAS BEEN COMPLETED: N/A
CHAT FORM – PICOS &amp; OBSERVER NAMES: N/A
LOCATION INFORMED – START OF WORK: N/A
LOCATION INFORMED – END OF WORK: N/A
HV LIVE TREE CUTTING JUSTIFICATION FORM: N/A
CLEAR COMMUNICATION WITH CONTROL: N/A
HV LIVE TREE CUTTING FORM NOT JUSTIFIED BY WORKER: N/A
SHROUDING – USED/AVAILABLE/GOOD CONDITION: N/A
CHASSIS EARTH APPLIED (MEWP NEAR HV LINES): N/A
SAFETY DOCUMENTS – ISSUE &amp; CANCELLATION: N/A
CABLE AVOIDANCE TOOL – AVAILABLE &amp; WORKING: N/A
ELECTRICAL INSULATING GLOVES – CHECKED &amp; IN GOOD CONDITION: N/A
ROPE ACCESS – JUSTIFIED &amp; RECORDED: N/A
ROPE ACCESS – MANAGER NOTIFIED: N/A
ROPE ACCESS – QUALIFIED RESCUE OBSERVER: N/A
W20 RECORD BOOK FOR DRIVERS HOURS: N/A
FELLING TECHNIQUE SELECTION: N/A
ANCHOR POINT SELECTION: N/A
</t>
  </si>
  <si>
    <t xml:space="preserve">Exec Summary:
All paperwork in good order, vehicles tidy and organised, observed good safe practise while working 
</t>
  </si>
  <si>
    <t>1361</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</si>
  <si>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t>
  </si>
  <si>
    <t>1364</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</si>
  <si>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t>
  </si>
  <si>
    <t>Rodney Taylor</t>
  </si>
  <si>
    <t>Newborough, Crowland</t>
  </si>
  <si>
    <t>5794795</t>
  </si>
  <si>
    <t>["3199 : 53392 Shaun Alan Harvey"]</t>
  </si>
  <si>
    <t>04/03/2026 10:26</t>
  </si>
  <si>
    <t>04/03/2026 11:06</t>
  </si>
  <si>
    <t>["Engagements &amp; Values","Occupational Health","Training &amp; Competency","Ground Based Chainsaw","Use of Long Reach Tools"]</t>
  </si>
  <si>
    <t>39</t>
  </si>
  <si>
    <t>38</t>
  </si>
  <si>
    <t xml:space="preserve">FELLING TECHNIQUE SELECTION: N/A
</t>
  </si>
  <si>
    <t xml:space="preserve">Exec Summary:
Reactive shutdown site, SAP on site All operatives in correct PPE, and all equipment in good order. 
</t>
  </si>
  <si>
    <t>1368</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</si>
  <si>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t>
  </si>
  <si>
    <t>Andrew Carr</t>
  </si>
  <si>
    <t>Span 304</t>
  </si>
  <si>
    <t>WANT E1</t>
  </si>
  <si>
    <t>["7535 : 51623 Cory Joy","7535 : 51621 Harvey Joy"]</t>
  </si>
  <si>
    <t>04/03/2026 10:32</t>
  </si>
  <si>
    <t>04/03/2026 11:04</t>
  </si>
  <si>
    <t>["Vehicles","Training &amp; Competency","MEWP Use in tree work"]</t>
  </si>
  <si>
    <t>95.455</t>
  </si>
  <si>
    <t xml:space="preserve">SITE INDUCTION: N/A
CLIENT INDUCTION: N/A
ON-SITE SUPERVISION: N/A
SECURE LOADS: N/A
</t>
  </si>
  <si>
    <t xml:space="preserve">Exec Summary:
Good audit, well marked site and signage. Good responses to all Qs
</t>
  </si>
  <si>
    <t>&lt;p&gt;&lt;a href="https&amp;#58;//apps.powerapps.com/play/2d567dc9-5d50-4629-a077-f7ccbff3e239?tenantId=3ef9f654-aa07-41b8-88ad-a411c62bd12c&amp;amp;Action=Open&amp;amp;Actionno=8466"&gt;Cory SSE card ran out 24/1/26 but permit dates all in order. Needs new card?&lt;/a&gt;&lt;br&gt;&lt;a href="https&amp;#58;//apps.powerapps.com/play/2d567dc9-5d50-4629-a077-f7ccbff3e239?tenantId=3ef9f654-aa07-41b8-88ad-a411c62bd12c&amp;amp;Action=Open&amp;amp;Actionno=8467"&gt;Cory SSE card ran out 24/1/26 but permit dates all in order. Needs new card?&lt;/a&gt;&lt;br&gt;&lt;/p&gt;</t>
  </si>
  <si>
    <t>1369</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</si>
  <si>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t>
  </si>
  <si>
    <t>Bridgehill Road, Newborough</t>
  </si>
  <si>
    <t>VI20260120144251</t>
  </si>
  <si>
    <t>["3199 : 53522 Max Pursey"]</t>
  </si>
  <si>
    <t>04/03/2026 10:23</t>
  </si>
  <si>
    <t>04/03/2026 10:58</t>
  </si>
  <si>
    <t>["Plant &amp; Work Equipment","PPE Standards","Tree Cutting","Woodchipper Use"]</t>
  </si>
  <si>
    <t>35</t>
  </si>
  <si>
    <t>97</t>
  </si>
  <si>
    <t>31.959</t>
  </si>
  <si>
    <t xml:space="preserve">NRMM COMPLIANCE: N/A
NOISE MONITORING &amp; RECORDS: N/A
EQUIPMENT CALIBRATION: N/A
PPE INSPECTION RECORDS: N/A
</t>
  </si>
  <si>
    <t xml:space="preserve">Exec Summary:
Everything in order , all paperwork in date and correct with equipment working correctly and operatives aware of safety documents.
</t>
  </si>
  <si>
    <t>1370</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</si>
  <si>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
  </si>
  <si>
    <t>Langham Sewage Oakham</t>
  </si>
  <si>
    <t>5905948</t>
  </si>
  <si>
    <t>["5112 : 43795 Neil Squires"]</t>
  </si>
  <si>
    <t>03/03/2026 14:47</t>
  </si>
  <si>
    <t>03/03/2026 15:01</t>
  </si>
  <si>
    <t>["PPE Standards","Access arrangements","Arboriculture"]</t>
  </si>
  <si>
    <t>1</t>
  </si>
  <si>
    <t>2.3</t>
  </si>
  <si>
    <t>3.125</t>
  </si>
  <si>
    <t xml:space="preserve">Exec Summary:
Good practice 
</t>
  </si>
  <si>
    <t>1380</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</si>
  <si>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t>
  </si>
  <si>
    <t>None</t>
  </si>
  <si>
    <t>["6468 : 48505 Aaron Stone"]</t>
  </si>
  <si>
    <t>03/03/2026 12:03</t>
  </si>
  <si>
    <t>03/03/2026 12:49</t>
  </si>
  <si>
    <t>["Plant &amp; Work Equipment","No Specialist Areas"]</t>
  </si>
  <si>
    <t xml:space="preserve">FAULT REPORTING: N/A
EXCLUSION ZONE: N/A
HEARING PROTECTION AWARENESS: N/A
VIBRATION EXPOSURE MONITORING: N/A
NOISE MONITORING &amp; RECORDS: N/A
EQUIPMENT CALIBRATION: N/A
</t>
  </si>
  <si>
    <t xml:space="preserve">Exec Summary:
Satisfactory, new piece of kit. Collected 2/3/26
</t>
  </si>
  <si>
    <t>1382</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</si>
  <si>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-0.7470135)Avoca Lodge, Farnanes, Co. Cork, Ireland
(51.858603599999995, -8.800462699999999)(52.7788674, -1.7824703)</t>
  </si>
  <si>
    <t>K70b</t>
  </si>
  <si>
    <t>03/03/2026 10:21</t>
  </si>
  <si>
    <t>03/03/2026 11:52</t>
  </si>
  <si>
    <t>["Training &amp; Competency","Pollution Prevention","Waste &amp; Resource Management","Carbon &amp; Energy","No Specialist Areas"]</t>
  </si>
  <si>
    <t>90</t>
  </si>
  <si>
    <t>0.2</t>
  </si>
  <si>
    <t>80</t>
  </si>
  <si>
    <t>Minor Nonconformity</t>
  </si>
  <si>
    <t xml:space="preserve">WASTE TRANSFER NOTES: N/A
WASTE CARRIER LICENCES: N/A
PERMITS / EXEMPTIONS: N/A
WASTE FACILITIES: N/A
SIGNAGE: N/A
WASTE SEGREGATION: N/A
TEEP ASSESSMENT: N/A
WASTE HIREARCHY: N/A
RECYCLING REPORTS: N/A
WASTE REDUCTION OPPORTUNITIES: N/A
WASTE SUPPLIER: N/A
Are drip trays and plant nappies in use?: N/A
Is COSHH Stored adequately? Bunded, ventilated, up to date COSHH Register?: N/A
Permit to pump in place where pumping of water is taking place?: N/A
Are Spraying records being completed?: N/A
Is any spraying taking place in or near watercourses, i.e. banks of river? If yes, has a  AqHerb01 form been submitted to the EA?: N/A
Is an environmental permit / consent in place/ required for any works near or in water courses?: N/A
Is the site using any renewable energy? Solar Welfare/ CCTV/ Lighting?: N/A
Does the site have any electric/ battery euipment in place of diesel?: N/A
Is HVO being used?: N/A
Are there any other carbon saving initiatives being implemented?: N/A
Is the site compliant with NRMM?: N/A
Drying rooms/ welfare switched off over night?: N/A
Energy saving welfare - eco welfare?: N/A
</t>
  </si>
  <si>
    <t>["GROUND CONTROL &amp; DIVISIONAL INDUCTION","SKILLKO","MANDATORY COMPETENCIES"]</t>
  </si>
  <si>
    <t xml:space="preserve">Exec Summary:
Need to include all certificates and ids in individual team member files
</t>
  </si>
  <si>
    <t>&lt;p&gt;&lt;a href="https&amp;#58;//apps.powerapps.com/play/2d567dc9-5d50-4629-a077-f7ccbff3e239?tenantId=3ef9f654-aa07-41b8-88ad-a411c62bd12c&amp;amp;Action=Open&amp;amp;Actionno=8468"&gt;Jamie's DSR updates printed and included in file&lt;/a&gt;&lt;br&gt;&lt;a href="https&amp;#58;//apps.powerapps.com/play/2d567dc9-5d50-4629-a077-f7ccbff3e239?tenantId=3ef9f654-aa07-41b8-88ad-a411c62bd12c&amp;amp;Action=Open&amp;amp;Actionno=8469"&gt;get Jamie GC id card&lt;/a&gt;&lt;br&gt;&lt;a href="https&amp;#58;//apps.powerapps.com/play/2d567dc9-5d50-4629-a077-f7ccbff3e239?tenantId=3ef9f654-aa07-41b8-88ad-a411c62bd12c&amp;amp;Action=Open&amp;amp;Actionno=8470"&gt;confirm skillco uptodate for all operatives&lt;/a&gt;&lt;br&gt;&lt;a href="https&amp;#58;//apps.powerapps.com/play/2d567dc9-5d50-4629-a077-f7ccbff3e239?tenantId=3ef9f654-aa07-41b8-88ad-a411c62bd12c&amp;amp;Action=Open&amp;amp;Actionno=8471"&gt;include Jamie first aid in folder&lt;/a&gt;&lt;br&gt;&lt;/p&gt;</t>
  </si>
  <si>
    <t>1384</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</si>
  <si>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-0.7470135)Avoca Lodge, Farnanes, Co. Cork, Ireland
(51.858603599999995, -8.800462699999999)(52.7788674, -1.7824703)20 Bury Rd, Southampton SO40 4UD, UK
(50.8985091, -1.4567792)Potash Cottages, Stanford Rd, Orsett, Grays RM16 3BA, UK
(51.5024172, 0.3692988)</t>
  </si>
  <si>
    <t>Thompson and Morgan seed nursery. Poplar lane</t>
  </si>
  <si>
    <t>PHB tower clearance. Tower 18</t>
  </si>
  <si>
    <t>["3098 : 58724 Scott Andrews","3098 : 1785 Jason Mccloy"]</t>
  </si>
  <si>
    <t>03/03/2026 10:38</t>
  </si>
  <si>
    <t>03/03/2026 11:07</t>
  </si>
  <si>
    <t>["Biodiversity","Ground Based Chainsaw"]</t>
  </si>
  <si>
    <t xml:space="preserve">Exec Summary:
The team are well verse in the spp of invasive and harmful plants and how to deal with them and there identification. All of the team are aware of exclusion zones and how to work safely with chainsaws on the ground
</t>
  </si>
  <si>
    <t>1385</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</si>
  <si>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-0.7470135)Avoca Lodge, Farnanes, Co. Cork, Ireland
(51.858603599999995, -8.800462699999999)(52.7788674, -1.7824703)20 Bury Rd, Southampton SO40 4UD, UK
(50.8985091, -1.4567792)Potash Cottages, Stanford Rd, Orsett, Grays RM16 3BA, UK
(51.5024172, 0.3692988)2 Donald Mackintosh Wy, Pinewood, Ipswich IP8 3LQ, UK
(52.0434, 1.1021999999999998)</t>
  </si>
  <si>
    <t>920022/0008 Quorn</t>
  </si>
  <si>
    <t>03/03/2026 10:16</t>
  </si>
  <si>
    <t>03/03/2026 10:59</t>
  </si>
  <si>
    <t>["Behaviour","Ground Based Chainsaw"]</t>
  </si>
  <si>
    <t>26</t>
  </si>
  <si>
    <t xml:space="preserve">Exec Summary:
Good overall SSV with good practices being observed
</t>
  </si>
  <si>
    <t>1386</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</si>
  <si>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-0.7470135)Avoca Lodge, Farnanes, Co. Cork, Ireland
(51.858603599999995, -8.800462699999999)(52.7788674, -1.7824703)20 Bury Rd, Southampton SO40 4UD, UK
(50.8985091, -1.4567792)Potash Cottages, Stanford Rd, Orsett, Grays RM16 3BA, UK
(51.5024172, 0.3692988)2 Donald Mackintosh Wy, Pinewood, Ipswich IP8 3LQ, UK
(52.0434, 1.1021999999999998)B676, Loughborough LE12, UK
(52.78072634902617, -1.1683845978685004)</t>
  </si>
  <si>
    <t>Finn Dobson</t>
  </si>
  <si>
    <t>PHB18</t>
  </si>
  <si>
    <t>PHB</t>
  </si>
  <si>
    <t>["3098 : 56849 Sean Corcoran","3098 : 58582 Chris Robinson"]</t>
  </si>
  <si>
    <t>03/03/2026 10:45</t>
  </si>
  <si>
    <t>03/03/2026 10:53</t>
  </si>
  <si>
    <t xml:space="preserve">TRAILER COMPLIANCE: N/A
</t>
  </si>
  <si>
    <t xml:space="preserve">Exec Summary:
Good vehicle House keeping and understanding of policy. Emergency kit in date, good quality, and stored safely.
</t>
  </si>
  <si>
    <t>1387</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</si>
  <si>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-0.7470135)Avoca Lodge, Farnanes, Co. Cork, Ireland
(51.858603599999995, -8.800462699999999)(52.7788674, -1.7824703)20 Bury Rd, Southampton SO40 4UD, UK
(50.8985091, -1.4567792)Potash Cottages, Stanford Rd, Orsett, Grays RM16 3BA, UK
(51.5024172, 0.3692988)2 Donald Mackintosh Wy, Pinewood, Ipswich IP8 3LQ, UK
(52.0434, 1.1021999999999998)B676, Loughborough LE12, UK
(52.78072634902617, -1.1683845978685004)110 Poplar Ln, Ipswich IP8 3HL, UK
(52.046471399999994, 1.0968689)</t>
  </si>
  <si>
    <t>03/03/2026 10:26</t>
  </si>
  <si>
    <t>03/03/2026 10:44</t>
  </si>
  <si>
    <t xml:space="preserve">WORST-CASE TREE CONTROL: N/A
INSULATED TOOL USE: N/A
LOOKOUT DEPLOYMENT: N/A
</t>
  </si>
  <si>
    <t xml:space="preserve">Exec Summary:
All certificates available on site. Good housekeeping of paperwork. Edits made to SSRA to add nesting bird check and public access hazard.
</t>
  </si>
  <si>
    <t>1389</t>
  </si>
  <si>
    <t>Heol Adam, Hengoed CF82 8FU, UK
(51.66961475247706, -3.2608296157523293)4 Long Ln, Over Peover, Knutsford WA16 8XB, UK
(53.2544304, -2.3559711)1 Rickards St, Pontypridd CF37 1QZ, UK
(51.5983886, -3.3360817999999997)Unit 1C, Queens Drive Industrial Estate, Longwall Ave, Nottingham NG2 1NA, UK
(52.939519499999996, -1.1668612000000003)75 Forster Wy, Stevenage SG1 4UQ, UK
(51.9264806, -0.2025999)24GQ+G4, Ipswich IP2 8NW, UK
(52.025653299999995, 1.1386878999999999)WMH5+57, Derby DE72 3RW, UK
(52.9279467, -1.3417116)(51.1679116, -0.2125589)WMH5+57, Derby DE72 3RW, UK
(52.9279467, -1.3417116)1 Lionel Terrace, Rhydyfelin, Pontypridd CF37 5HR, UK
(51.584088200000004, -3.3165747)Location:
Pear tree wood Ratby
Pear tree wood, Burroughs Rd, Ratby, Leicester LE6 0QA, UK
(52.6529574, -1.257345)Pear tree wood, Burroughs Rd, Ratby, Leicester LE6 0QA, UK
(52.6529574, -1.257345)Location:
Welbourn road, brant broughton
The Poplars, Welbourn Rd, Brant Broughton, Lincoln LN5 0SP, UK
(53.080417800000006, -0.6140375)Sevenoaks Park, 9 Burges Pl, Cardiff CF11 8BH, UK
(51.4693287, -3.1924699999999997)Old Bentley, East Guldeford, Rye TN31 7QG, UK
(50.958379199999996, 0.7558695)Cock Inn, Ashbourne DE6 4PJ, UK
(52.992771000000005, -1.573546)Location:
Fishers Green sailing club
Waltham Abbey
England
EN9
United Kingdom
(51.72067120925861, -0.002738996370759869)Spencers Ln, Horley RH6 0EB, UK
(51.1677877, -0.2129277)The Old Coal Yard, Station Road, St Clears, Carmarthen SA33 4BX, UK
(51.828680999999996, -4.4935773)Home Farm, Peterborough PE6 7RU, UK
(52.626025999999996, -0.22618700000000003)Grove Park Drive Ardington, Wantage OX12 7QG, UK
(51.59888, -1.3895979999999999)Home Farm, Peterborough PE6 7RU, UK
(52.626025999999996, -0.22618700000000003)the pumping station, Cardiff CF11 8TT, UK
(51.4566837, -3.1984425)A38 Northbound, Barton-under-Needwood, Burton-on-Trent DE13 8EH, UK
(52.7586446, -1.7065392)Riverside Leisure Club, Station Rd, Little Stoke, Bristol BS34 6HW, UK
(51.5293731, -2.5638988)Norwich NR13, UK
(52.62902260000001, 1.5119849)A180, Stallingborough
Grimsby
England
DN41
United Kingdom
(53.60232970682308, -0.21726655773838727)7 Whiteinch Small Holdings, Kinloss, Forres IV36 3TJ, UK
(57.631646800000006, -3.5748598)Diana Memorial Playground, Kensington Gardens, Broad Walk, London W2 4RU, UK
(51.508707199999996, -0.1878374)The Chiltern Hospital, London Rd, Great Missenden HP16 0EN, UK
(51.6903717, -0.694468)Diana Memorial Playground, Kensington Gardens, Broad Walk, London W2 4RU, UK
(51.508707199999996, -0.1878374)60 Burley Rd, Langham, Oakham LE15 7HY, UK
(52.69190570000001, -0.7470135)Avoca Lodge, Farnanes, Co. Cork, Ireland
(51.858603599999995, -8.800462699999999)(52.7788674, -1.7824703)20 Bury Rd, Southampton SO40 4UD, UK
(50.8985091, -1.4567792)Potash Cottages, Stanford Rd, Orsett, Grays RM16 3BA, UK
(51.5024172, 0.3692988)2 Donald Mackintosh Wy, Pinewood, Ipswich IP8 3LQ, UK
(52.0434, 1.1021999999999998)B676, Loughborough LE12, UK
(52.78072634902617, -1.1683845978685004)110 Poplar Ln, Ipswich IP8 3HL, UK
(52.046471399999994, 1.0968689)capra cymru gelli deg saint clears110 Poplar Ln, Ipswich IP8 3HL, UK
(52.046471399999994, 1.0968689)</t>
  </si>
  <si>
    <t>Derby~</t>
  </si>
  <si>
    <t>114</t>
  </si>
  <si>
    <t>1414</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</si>
  <si>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t>
  </si>
  <si>
    <t>EPN North - Colchester~</t>
  </si>
  <si>
    <t>A30C Live</t>
  </si>
  <si>
    <t>["7995 : 57388 Tom Playford","7995 : 57310 Jacob Oram"]</t>
  </si>
  <si>
    <t>12/03/2026 13:56</t>
  </si>
  <si>
    <t>12/03/2026 14:07</t>
  </si>
  <si>
    <t>["Engagements &amp; Values","Occupational Health","Woodchipper Use"]</t>
  </si>
  <si>
    <t xml:space="preserve">Exec Summary:
Team is safe and healthy. Just needs to update HAVS report
</t>
  </si>
  <si>
    <t>&lt;p&gt;&lt;a href="https&amp;#58;//apps.powerapps.com/play/2d567dc9-5d50-4629-a077-f7ccbff3e239?tenantId=3ef9f654-aa07-41b8-88ad-a411c62bd12c&amp;amp;Action=Open&amp;amp;Actionno=8554"&gt;Has not been filled in recently&lt;/a&gt;&lt;br&gt;&lt;/p&gt;</t>
  </si>
  <si>
    <t>1415</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</si>
  <si>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t>
  </si>
  <si>
    <t xml:space="preserve">On site </t>
  </si>
  <si>
    <t>["8040 : 57518 Luke Lane","8040 : 57941 harrison wood"]</t>
  </si>
  <si>
    <t>12/03/2026 14:35</t>
  </si>
  <si>
    <t>12/03/2026 14:39</t>
  </si>
  <si>
    <t>["Training &amp; Competency","No Specialist Areas"]</t>
  </si>
  <si>
    <t xml:space="preserve">Exec Summary:
Compliant
</t>
  </si>
  <si>
    <t>1417</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</si>
  <si>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t>
  </si>
  <si>
    <t>On site</t>
  </si>
  <si>
    <t>12/03/2026 14:30</t>
  </si>
  <si>
    <t>["Engagements &amp; Values","No Specialist Areas"]</t>
  </si>
  <si>
    <t>4</t>
  </si>
  <si>
    <t xml:space="preserve">Exec Summary:
Team are fully understanding and comply with these safety messages
</t>
  </si>
  <si>
    <t>1418</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</si>
  <si>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t>
  </si>
  <si>
    <t>Black Barn, Layer De La Haye</t>
  </si>
  <si>
    <t>["7995 : 57310 Jacob Oram","7995 : 57388 Tom Playford"]</t>
  </si>
  <si>
    <t>11/03/2026 10:56</t>
  </si>
  <si>
    <t>11/03/2026 13:37</t>
  </si>
  <si>
    <t>["Plant &amp; Work Equipment","Vehicles","Risk Management","HSQE Systems","No Specialist Areas"]</t>
  </si>
  <si>
    <t>86</t>
  </si>
  <si>
    <t>91.667</t>
  </si>
  <si>
    <t xml:space="preserve">NRMM COMPLIANCE: N/A
</t>
  </si>
  <si>
    <t>["EMERGENCY EQUIPMENT","HEADS UP","SAFETYCULTURE ACTIONS"]</t>
  </si>
  <si>
    <t xml:space="preserve">Exec Summary:
Although the team had not been visited since January, overall it was a good visit. Only some minor findings to address. 
- Casing on number plate light need to be replaced. 
- Although in date, the expiry stickers on eye wash and trauma dressings are missing due to being weathered/rubbed off. 
- Pole saw training completed on Friday, to be uploaded on Skillko once the certificates are received. 
Discussed some of the recent communications (woodchipper incident on Rail, Harnesses and UKPN safety message). The team needed to be refreshed about the safety message but was fully aware of the change to harness use in MEWPs and were happy as the full body harness in lighter and they have better movement than their climbing harnesses. 
We also discussed their workload and they expressed that they are much happier now that they are being given job packs that are local and have use of their MEWP. Although having to gain consents for some of this work is time consuming and not financially viable if they cannot go out separately hence they had some questions regarding Chime.
- Can the team amend missing information when gaining consent, i.e. missing pole numbers?
- Can one account be logged in on multiple devices?
</t>
  </si>
  <si>
    <t>&lt;p&gt;&lt;a href="https&amp;#58;//apps.powerapps.com/play/2d567dc9-5d50-4629-a077-f7ccbff3e239?tenantId=3ef9f654-aa07-41b8-88ad-a411c62bd12c&amp;amp;Action=Open&amp;amp;Actionno=8555"&gt;Number Plate Light&lt;/a&gt;&lt;br&gt;&lt;/p&gt;</t>
  </si>
  <si>
    <t>1420</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</si>
  <si>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t>
  </si>
  <si>
    <t>EPN South - Enfield~</t>
  </si>
  <si>
    <t>11/03/2026 13:18</t>
  </si>
  <si>
    <t>11/03/2026 13:50</t>
  </si>
  <si>
    <t>["Training &amp; Competency","Environmental Best Practice","Environmental Documentation","Site Environment","No Specialist Areas"]</t>
  </si>
  <si>
    <t>69.565</t>
  </si>
  <si>
    <t xml:space="preserve">COMPLAINTS: N/A
</t>
  </si>
  <si>
    <t>["COMPETENCY AWARENESS","GROUND CONTROL &amp; DIVISIONAL INDUCTION","SKILLKO","MANDATORY COMPETENCIES"]</t>
  </si>
  <si>
    <t xml:space="preserve">Exec Summary:
Actions need addressing
</t>
  </si>
  <si>
    <t>&lt;p&gt;&lt;a href="https&amp;#58;//apps.powerapps.com/play/2d567dc9-5d50-4629-a077-f7ccbff3e239?tenantId=3ef9f654-aa07-41b8-88ad-a411c62bd12c&amp;amp;Action=Open&amp;amp;Actionno=8557"&gt;all compenties and certification in folder for auditing purposes&lt;/a&gt;&lt;br&gt;&lt;a href="https&amp;#58;//apps.powerapps.com/play/2d567dc9-5d50-4629-a077-f7ccbff3e239?tenantId=3ef9f654-aa07-41b8-88ad-a411c62bd12c&amp;amp;Action=Open&amp;amp;Actionno=8558"&gt;Dsr needs updates included&lt;/a&gt;&lt;br&gt;&lt;a href="https&amp;#58;//apps.powerapps.com/play/2d567dc9-5d50-4629-a077-f7ccbff3e239?tenantId=3ef9f654-aa07-41b8-88ad-a411c62bd12c&amp;amp;Action=Open&amp;amp;Actionno=8559"&gt;Email sent to ashdowns about outstanding skillco certs on 6th March 2025&lt;/a&gt;&lt;br&gt;&lt;a href="https&amp;#58;//apps.powerapps.com/play/2d567dc9-5d50-4629-a077-f7ccbff3e239?tenantId=3ef9f654-aa07-41b8-88ad-a411c62bd12c&amp;amp;Action=Open&amp;amp;Actionno=8560"&gt;include Jamie's first aid certs&lt;/a&gt;&lt;br&gt;&lt;/p&gt;</t>
  </si>
  <si>
    <t>1425</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</si>
  <si>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t>
  </si>
  <si>
    <t>A54 f</t>
  </si>
  <si>
    <t>A54f</t>
  </si>
  <si>
    <t>11/03/2026 10:46</t>
  </si>
  <si>
    <t>11/03/2026 10:51</t>
  </si>
  <si>
    <t>["Site Environment","No Specialist Areas"]</t>
  </si>
  <si>
    <t>2</t>
  </si>
  <si>
    <t xml:space="preserve">DUST NUISANCE: N/A
COMPLAINTS: N/A
</t>
  </si>
  <si>
    <t xml:space="preserve">Exec Summary:
A clean tidy site
Track mats in use on customer lawn and signs in place. 
Chip being chipped into van to keep mess to a minimum 
</t>
  </si>
  <si>
    <t xml:space="preserve">Kevin Miller </t>
  </si>
  <si>
    <t xml:space="preserve">Witness Comments:
Excellent work
</t>
  </si>
  <si>
    <t>1434</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</si>
  <si>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-0.1483562)3QJF+Q4 Biggleswade, UK
(52.081965, -0.2271482)75 Forster Wy, Stevenage SG1 4UQ, UK
(51.9264806, -0.2025999)Bramford Park, Tye Ln, Bramford, Ipswich IP8 4LW, UK
(52.080609599999995, 1.0840782)2 Maidenwell Ave, Hamilton, Leicester LE5 1BJ, UK
(52.652765800000005, -1.0699315)Location:
D and c police, eagle house
Falcon House, Eagle Rd, Langage, Plymouth PL7 5JY, UK
(50.3844174, -4.0200944)1 Biggar St, Glasgow G31 4BH, UK
(55.855186499999995, -4.210612800000001)Freckenham Secure Dog Field, Fordham Rd, Bury Saint Edmunds IP28 8JB, UK
(52.3199835, 0.432766)Trinley Estate 
Aster DepotRose Haven, Cornish Hall End, Braintree CM7 4HQ, UK
(52.015310299999996, 0.4541651)</t>
  </si>
  <si>
    <t>A54F SD 7</t>
  </si>
  <si>
    <t>A54F</t>
  </si>
  <si>
    <t>11/03/2026 10:22</t>
  </si>
  <si>
    <t>11/03/2026 10:32</t>
  </si>
  <si>
    <t>["Engagements &amp; Values","Waste &amp; Resource Management","No Specialist Areas"]</t>
  </si>
  <si>
    <t xml:space="preserve">WASTE SUPPLIER: N/A
WTN COMPLIANCE: N/A
WASTE PERMITS / EXEMPTIONS: N/A
SITE WASTE MANAGEMENT PLAN: N/A
WASTE SEGREGATION: N/A
</t>
  </si>
  <si>
    <t xml:space="preserve">Exec Summary:
MAC Trees were fully compliant and aware of all recent headsup and toolbox talk briefings. Good conversations were had between myself and lewis and patrick
Waste management in order with chip being managed and left on site
</t>
  </si>
  <si>
    <t xml:space="preserve">Witness Comments:
Almost compliant
</t>
  </si>
  <si>
    <t>1435</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</si>
  <si>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-0.1483562)3QJF+Q4 Biggleswade, UK
(52.081965, -0.2271482)75 Forster Wy, Stevenage SG1 4UQ, UK
(51.9264806, -0.2025999)Bramford Park, Tye Ln, Bramford, Ipswich IP8 4LW, UK
(52.080609599999995, 1.0840782)2 Maidenwell Ave, Hamilton, Leicester LE5 1BJ, UK
(52.652765800000005, -1.0699315)Location:
D and c police, eagle house
Falcon House, Eagle Rd, Langage, Plymouth PL7 5JY, UK
(50.3844174, -4.0200944)1 Biggar St, Glasgow G31 4BH, UK
(55.855186499999995, -4.210612800000001)Freckenham Secure Dog Field, Fordham Rd, Bury Saint Edmunds IP28 8JB, UK
(52.3199835, 0.432766)Trinley Estate 
Aster DepotRose Haven, Cornish Hall End, Braintree CM7 4HQ, UK
(52.015310299999996, 0.4541651)(52.0156428, 0.4543349)</t>
  </si>
  <si>
    <t>Hunts Hall Farm</t>
  </si>
  <si>
    <t>10/03/2026 12:15</t>
  </si>
  <si>
    <t>11/03/2026 10:13</t>
  </si>
  <si>
    <t>343</t>
  </si>
  <si>
    <t>["PLANT &amp; EQUIPMENT DAILY/WEEKLY INSPECTIONS","PLANT &amp; EQUIPMENT MONTHLY INSPECTIONS","VEHICLE DAILY/WEEKLY/MONTHLY INSPECTIONS","POWRA COMPLETION"]</t>
  </si>
  <si>
    <t xml:space="preserve">Exec Summary:
Overall good site visit with team. Both Luke and Harrison were engaged and supportive. Issue with their POWRA being available on their tablet. This is due to the team using google docs which did not save correctly in poor signal areas. Advise the team to print out some blank copies to use when the signal is poor. A couple of comments on the POWRA to address.
- Missing circuit number and pole numbers this was corrected on site (originally due to docs not saving)
- Site risks did not detail the dry ditch that was in the working area. 
Discussed UKPN's safety message for March, which the team were not aware of. Showed them that this was available in the UKPN WhatsApp group and they that they will need to be familiar with the content if UKPN auditor was to attend site. 
There was also some issues with the vehicle, due to the team's MEWP being in the garage they had used Luke's Land Rover which did not have wheel nut indicators (action raised to rectify if vehicle is to be used on contract) and their site file was also left in the MEWP. 
Luke advised that they would be getting the MEWP back on the road tomorrow 11/03/26, so I advised that they should put their site file, IDs etc in a rucksack for easy transport between vehicles if this occurs again. 
Team have a good knowledge for Safety Culture and could demonstrate how to navigate the system, which templates to use and discussed how they would raise a red or amber alert and the differences between them. The team had not completed their daily PUWER/LOLER checks due to their equipment not being available on Safety Culture. This has been rectified and the team are now aware of how to complete these checks.
</t>
  </si>
  <si>
    <t>&lt;p&gt;&lt;a href="https&amp;#58;//apps.powerapps.com/play/2d567dc9-5d50-4629-a077-f7ccbff3e239?tenantId=3ef9f654-aa07-41b8-88ad-a411c62bd12c&amp;amp;Action=Open&amp;amp;Actionno=8561"&gt;equipment not on SC&lt;/a&gt;&lt;br&gt;&lt;a href="https&amp;#58;//apps.powerapps.com/play/2d567dc9-5d50-4629-a077-f7ccbff3e239?tenantId=3ef9f654-aa07-41b8-88ad-a411c62bd12c&amp;amp;Action=Open&amp;amp;Actionno=8562"&gt;Wheel Nut Indicators&lt;/a&gt;&lt;br&gt;&lt;a href="https&amp;#58;//apps.powerapps.com/play/2d567dc9-5d50-4629-a077-f7ccbff3e239?tenantId=3ef9f654-aa07-41b8-88ad-a411c62bd12c&amp;amp;Action=Open&amp;amp;Actionno=8563"&gt;POWRA&lt;/a&gt;&lt;br&gt;&lt;/p&gt;</t>
  </si>
  <si>
    <t>1436</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</si>
  <si>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-0.1483562)3QJF+Q4 Biggleswade, UK
(52.081965, -0.2271482)75 Forster Wy, Stevenage SG1 4UQ, UK
(51.9264806, -0.2025999)Bramford Park, Tye Ln, Bramford, Ipswich IP8 4LW, UK
(52.080609599999995, 1.0840782)2 Maidenwell Ave, Hamilton, Leicester LE5 1BJ, UK
(52.652765800000005, -1.0699315)Location:
D and c police, eagle house
Falcon House, Eagle Rd, Langage, Plymouth PL7 5JY, UK
(50.3844174, -4.0200944)1 Biggar St, Glasgow G31 4BH, UK
(55.855186499999995, -4.210612800000001)Freckenham Secure Dog Field, Fordham Rd, Bury Saint Edmunds IP28 8JB, UK
(52.3199835, 0.432766)Trinley Estate 
Aster DepotRose Haven, Cornish Hall End, Braintree CM7 4HQ, UK
(52.015310299999996, 0.4541651)(52.0156428, 0.4543349)Pebmarsh Rd, Halstead CO9, UK
(51.9624741, 0.6827402)</t>
  </si>
  <si>
    <t xml:space="preserve">Shut down site </t>
  </si>
  <si>
    <t xml:space="preserve">A53d </t>
  </si>
  <si>
    <t>["7806 : 54273 Abraham Davies","7806 : 54294 Lewis Davies","7806 : 57172 Kenney Aldred","7806 : 59309 joshua davies"]</t>
  </si>
  <si>
    <t>10/03/2026 09:02</t>
  </si>
  <si>
    <t>10/03/2026 15:44</t>
  </si>
  <si>
    <t>["Plant &amp; Work Equipment","PPE Standards","Planning &amp; Setting to work","Access arrangements","Working Near Water","Arboriculture","Tree Cutting"]</t>
  </si>
  <si>
    <t>1.7</t>
  </si>
  <si>
    <t xml:space="preserve">NRMM COMPLIANCE: N/A
LIFTING PLANS: N/A
PERMIT REQUIREMENTS IDENTIFIED: N/A
TEMPORARY WORKS PLANNING: N/A
INTERFACE &amp; COORDINATION PLANNING: N/A
TRAFFIC MANAGEMENT PLAN: N/A
PROGRAMME &amp; SEQUENCING: N/A
WATER AWARENESS TRAINING COMPLETED: N/A
PERSONAL FLOTATION DEVICES (PFDs) WORN: N/A
RESCUE EQUIPMENT PRESENT &amp; INSPECTED: N/A
SILT / POLLUTION CONTROLS IN PLACE: N/A
SUPERVISOR PRESENT AND MONITORING WORKS: N/A
WORKS RISK ASSESSMENT COMPLETED AND BRIEFED: N/A
TRAFFIC MANAGEMENT CONTROLS IN PLACE (IF REQUIRED): N/A
FELLING EQUIPMENT: N/A
ENVIRONMENTAL PROTECTION: N/A
ELECTRICAL INSULATING GLOVES – CHECKED &amp; IN GOOD CONDITION: N/A
MEWP PRE-USE INSPECTION – HSS 01 123A: N/A
</t>
  </si>
  <si>
    <t xml:space="preserve">Exec Summary:
Good audit few minor things to tidy up nothing which compromises safety
</t>
  </si>
  <si>
    <t>&lt;p&gt;&lt;a href="https&amp;#58;//apps.powerapps.com/play/2d567dc9-5d50-4629-a077-f7ccbff3e239?tenantId=3ef9f654-aa07-41b8-88ad-a411c62bd12c&amp;amp;Action=Open&amp;amp;Actionno=8564"&gt;replace hygiene kit&lt;/a&gt;&lt;br&gt;&lt;a href="https&amp;#58;//apps.powerapps.com/play/2d567dc9-5d50-4629-a077-f7ccbff3e239?tenantId=3ef9f654-aa07-41b8-88ad-a411c62bd12c&amp;amp;Action=Open&amp;amp;Actionno=8565"&gt;Joshua davis slightly worn&lt;/a&gt;&lt;br&gt;&lt;a href="https&amp;#58;//apps.powerapps.com/play/2d567dc9-5d50-4629-a077-f7ccbff3e239?tenantId=3ef9f654-aa07-41b8-88ad-a411c62bd12c&amp;amp;Action=Open&amp;amp;Actionno=8566"&gt;thick gauntlet required&lt;/a&gt;&lt;br&gt;&lt;a href="https&amp;#58;//apps.powerapps.com/play/2d567dc9-5d50-4629-a077-f7ccbff3e239?tenantId=3ef9f654-aa07-41b8-88ad-a411c62bd12c&amp;amp;Action=Open&amp;amp;Actionno=8567"&gt;few items are mixed up&lt;/a&gt;&lt;br&gt;&lt;/p&gt;</t>
  </si>
  <si>
    <t>1440</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</si>
  <si>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-0.1483562)3QJF+Q4 Biggleswade, UK
(52.081965, -0.2271482)75 Forster Wy, Stevenage SG1 4UQ, UK
(51.9264806, -0.2025999)Bramford Park, Tye Ln, Bramford, Ipswich IP8 4LW, UK
(52.080609599999995, 1.0840782)2 Maidenwell Ave, Hamilton, Leicester LE5 1BJ, UK
(52.652765800000005, -1.0699315)Location:
D and c police, eagle house
Falcon House, Eagle Rd, Langage, Plymouth PL7 5JY, UK
(50.3844174, -4.0200944)1 Biggar St, Glasgow G31 4BH, UK
(55.855186499999995, -4.210612800000001)Freckenham Secure Dog Field, Fordham Rd, Bury Saint Edmunds IP28 8JB, UK
(52.3199835, 0.432766)Trinley Estate 
Aster DepotRose Haven, Cornish Hall End, Braintree CM7 4HQ, UK
(52.015310299999996, 0.4541651)(52.0156428, 0.4543349)Pebmarsh Rd, Halstead CO9, UK
(51.9624741, 0.6827402)Dundalk Shopping Centre, Stapleton Dr, Townparks, Dundalk, Co. Louth, Ireland
(53.99891698551084, -6.4055439263139995)4 Long Ln, Over Peover, Knutsford WA16 8XB, UK
(53.2544304, -2.3559711)4 Long Ln, Over Peover, Knutsford WA16 8XB, UK
(53.2544304, -2.3559711)Location:
. 
Woodlands, Rettendon Common, Chelmsford CM3 8HG, UK
(51.6504213, 0.5337843999999999)</t>
  </si>
  <si>
    <t>Andover~</t>
  </si>
  <si>
    <t>338, 340</t>
  </si>
  <si>
    <t>Thru e1</t>
  </si>
  <si>
    <t>["7397 : 50480 Matt Flood","7397 : 50723 Sam Gilbert","7397 : 54435 Scott Carpenter"]</t>
  </si>
  <si>
    <t>10/03/2026 11:40</t>
  </si>
  <si>
    <t>10/03/2026 12:13</t>
  </si>
  <si>
    <t>["Engagements &amp; Values","Manual Handling","Site Environment","Woodchipper Use"]</t>
  </si>
  <si>
    <t xml:space="preserve">Exec Summary:
All fine.
</t>
  </si>
  <si>
    <t>1442</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</si>
  <si>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-0.1483562)3QJF+Q4 Biggleswade, UK
(52.081965, -0.2271482)75 Forster Wy, Stevenage SG1 4UQ, UK
(51.9264806, -0.2025999)Bramford Park, Tye Ln, Bramford, Ipswich IP8 4LW, UK
(52.080609599999995, 1.0840782)2 Maidenwell Ave, Hamilton, Leicester LE5 1BJ, UK
(52.652765800000005, -1.0699315)Location:
D and c police, eagle house
Falcon House, Eagle Rd, Langage, Plymouth PL7 5JY, UK
(50.3844174, -4.0200944)1 Biggar St, Glasgow G31 4BH, UK
(55.855186499999995, -4.210612800000001)Freckenham Secure Dog Field, Fordham Rd, Bury Saint Edmunds IP28 8JB, UK
(52.3199835, 0.432766)Trinley Estate 
Aster DepotRose Haven, Cornish Hall End, Braintree CM7 4HQ, UK
(52.015310299999996, 0.4541651)(52.0156428, 0.4543349)Pebmarsh Rd, Halstead CO9, UK
(51.9624741, 0.6827402)Dundalk Shopping Centre, Stapleton Dr, Townparks, Dundalk, Co. Louth, Ireland
(53.99891698551084, -6.4055439263139995)4 Long Ln, Over Peover, Knutsford WA16 8XB, UK
(53.2544304, -2.3559711)4 Long Ln, Over Peover, Knutsford WA16 8XB, UK
(53.2544304, -2.3559711)Location:
. 
Woodlands, Rettendon Common, Chelmsford CM3 8HG, UK
(51.6504213, 0.5337843999999999)Melton Mowbray, Melton Mowbray LE13 1AF, UK
(52.761131899999995, -0.8858611)New Barn Cottage, Upper Chute, Andover SP11 9EZ, UK
(51.291168899999995, -1.5700353999999999)</t>
  </si>
  <si>
    <t>Salisbury~</t>
  </si>
  <si>
    <t>8,9</t>
  </si>
  <si>
    <t>WSTG E2</t>
  </si>
  <si>
    <t>10/03/2026 10:09</t>
  </si>
  <si>
    <t>10/03/2026 10:25</t>
  </si>
  <si>
    <t>["Training &amp; Competency","Engagements &amp; Values","Site Environment","Woodchipper Use"]</t>
  </si>
  <si>
    <t xml:space="preserve">COMPLAINTS: N/A
PERMIT TO WORK AT HEIGHT ISSUED: N/A
LADDER CONDITION AND POSITIONING: N/A
PLATFORM INSPECTIONS: N/A
PLATFORM CONDITION &amp; STABILITY: N/A
GUARDING ON PLATFORMS: N/A
MEWP: N/A
MEWP SAFETY MEASURES: N/A
SCAFFOLD INSTALLED / MODIFIED BY COMPETENT PERSON: N/A
EDGE PROTECTION ON NON-PLATFORM SURFACES: N/A
FRAGILE SURFACES IDENTIFIED &amp; PROTECTED: N/A
</t>
  </si>
  <si>
    <t>1445</t>
  </si>
  <si>
    <t>17 Hanafey Wy, Northampton NN5 7FW, UK
(52.2638207, -0.9408702999999999)Duxcourt Road, Hoo, Rochester ME3 8RZ, UK
(51.4321091, 0.5485074)Bedgrove Park, Bedgrove, Ambleside, Aylesbury HP21 9TT, UK
(51.802794299999995, -0.7802838)71 Southfield Rd, Hinckley LE10 1UA, UK
(52.5374829, -1.3636521)Beaumont Leys School, Leicester LE3 9EZ, UK
(52.654697, -1.162383)(51.1681243, -0.2174496)WMH5+57, Derby DE72 3RW, UK
(52.9279467, -1.3417116)(51.9816571, 0.6547023)60 Peel Way, Uxbridge UB8 3RN, UK
(51.5245221, -0.46670619999999996)On SiteOn Site(51.1661584, -0.2097812)The Follies, The Folley, Layer de la Haye, Colchester CO2 0HZ, UK
(51.8487051, 0.8665546)Causeland, Causeland station, off, B3254, Causeland PL14 4ST, UK
(50.405559700000005, -4.4664489)RJWP+V7, Carmarthen SA33 5DP, UK
(51.8475182, -4.3658722)Cycleway, Tamworth B77 3LH, UK
(52.631386, -1.68591)Spencers Ln, Horley RH6 0EB, UK
(51.16833388068368, -0.21578166709802013)Panshanger House, Hertford SG14 2TS, UK
(51.7952252, -0.1483562)3QJF+Q4 Biggleswade, UK
(52.081965, -0.2271482)75 Forster Wy, Stevenage SG1 4UQ, UK
(51.9264806, -0.2025999)Bramford Park, Tye Ln, Bramford, Ipswich IP8 4LW, UK
(52.080609599999995, 1.0840782)2 Maidenwell Ave, Hamilton, Leicester LE5 1BJ, UK
(52.652765800000005, -1.0699315)Location:
D and c police, eagle house
Falcon House, Eagle Rd, Langage, Plymouth PL7 5JY, UK
(50.3844174, -4.0200944)1 Biggar St, Glasgow G31 4BH, UK
(55.855186499999995, -4.210612800000001)Freckenham Secure Dog Field, Fordham Rd, Bury Saint Edmunds IP28 8JB, UK
(52.3199835, 0.432766)Trinley Estate 
Aster DepotRose Haven, Cornish Hall End, Braintree CM7 4HQ, UK
(52.015310299999996, 0.4541651)(52.0156428, 0.4543349)Pebmarsh Rd, Halstead CO9, UK
(51.9624741, 0.6827402)Dundalk Shopping Centre, Stapleton Dr, Townparks, Dundalk, Co. Louth, Ireland
(53.99891698551084, -6.4055439263139995)4 Long Ln, Over Peover, Knutsford WA16 8XB, UK
(53.2544304, -2.3559711)4 Long Ln, Over Peover, Knutsford WA16 8XB, UK
(53.2544304, -2.3559711)Location:
. 
Woodlands, Rettendon Common, Chelmsford CM3 8HG, UK
(51.6504213, 0.5337843999999999)Melton Mowbray, Melton Mowbray LE13 1AF, UK
(52.761131899999995, -0.8858611)New Barn Cottage, Upper Chute, Andover SP11 9EZ, UK
(51.291168899999995, -1.5700353999999999)Sheppey Hospital, Minster on Sea, Sheerness ME12 3LT, UK
(51.415127, 0.7925559999999999)Tower Cottage, Cofton Church Ln, Cofton Hackett, Birmingham B45 8BH, UK
(52.3736427, -1.9772416)31 Coach Rd, Wimborne BH21 5NJ, UK
(50.913288944335186, -1.9709922118310548)</t>
  </si>
  <si>
    <t>Northants / Milton Keynes~</t>
  </si>
  <si>
    <t xml:space="preserve">Newark Showground </t>
  </si>
  <si>
    <t>8301 Two Counties Tree Care Ltd</t>
  </si>
  <si>
    <t>["3512 : 3354 Elliot Ward"]</t>
  </si>
  <si>
    <t>20/03/2026 10:30</t>
  </si>
  <si>
    <t>20/03/2026 10:56</t>
  </si>
  <si>
    <t>["Training &amp; Competency","Working at Height"]</t>
  </si>
  <si>
    <t>25</t>
  </si>
  <si>
    <t xml:space="preserve">PLATFORM CONDITION &amp; STABILITY: N/A
GUARDING ON PLATFORMS: N/A
MEWP: N/A
MEWP SAFETY MEASURES: N/A
FALL ARREST / RESTRAINT SYSTEMS IN PLACE: N/A
EQUIPMENT INSPECTION RECORDS AVAILABLE: N/A
FALL ARREST USER COMPETENCE: N/A
SCAFFOLD INSTALLED / MODIFIED BY COMPETENT PERSON: N/A
EXCLUSION ZONES IN PLACE BELOW WORK AREA: N/A
EDGE PROTECTION ON NON-PLATFORM SURFACES: N/A
</t>
  </si>
  <si>
    <t xml:space="preserve">Exec Summary:
Compliant in all cases. Good record keeping and availability. Several years experience and knowledge of GC.
</t>
  </si>
  <si>
    <t>1465</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</si>
  <si>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t>
  </si>
  <si>
    <t>Lincs South~</t>
  </si>
  <si>
    <t>Audit on site with safety day</t>
  </si>
  <si>
    <t>20/03/2026 10:38</t>
  </si>
  <si>
    <t>20/03/2026 10:53</t>
  </si>
  <si>
    <t>["Engagements &amp; Values","Vehicles","PPE Standards","Service Quality","Working at Height"]</t>
  </si>
  <si>
    <t>52</t>
  </si>
  <si>
    <t>5.3</t>
  </si>
  <si>
    <t>98.113</t>
  </si>
  <si>
    <t xml:space="preserve">SECURE LOADS: N/A
TRAILER COMPLIANCE: N/A
PPE STANDARDS: N/A
PPE INSPECTION RECORDS: N/A
RISK ASSESSMENT PPE CONTROLS: N/A
ACCESS METHOD APPROPRIATELY SELECTED: N/A
GROUND CONDITIONS: N/A
LADDER CONDITION AND POSITIONING: N/A
PLATFORM INSPECTIONS: N/A
PLATFORM CONDITION &amp; STABILITY: N/A
GUARDING ON PLATFORMS: N/A
SCAFFOLD INSTALLED / MODIFIED BY COMPETENT PERSON: N/A
SIGNAGE AND BARRIERS IN PLACE: N/A
OBJECT FALL PREVENTION IN PLACE: N/A
FRAGILE SURFACES IDENTIFIED &amp; PROTECTED: N/A
SUPERVISION AND COMPETENCY CONFIRMED: N/A
</t>
  </si>
  <si>
    <t xml:space="preserve">Exec Summary:
All questions answered correctly. Some n / a due to work conditions 
</t>
  </si>
  <si>
    <t>1466</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</si>
  <si>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t>
  </si>
  <si>
    <t>EPN North - Cambridge~</t>
  </si>
  <si>
    <t>E16B Live TM</t>
  </si>
  <si>
    <t>19/03/2026 13:48</t>
  </si>
  <si>
    <t>19/03/2026 14:01</t>
  </si>
  <si>
    <t>["Plant &amp; Work Equipment","Site Environment","Tree Cutting","Utility Arboriculture (Electrical)"]</t>
  </si>
  <si>
    <t>6.2</t>
  </si>
  <si>
    <t xml:space="preserve">NRMM COMPLIANCE: N/A
PLANT SECURITY &amp; STORAGE: N/A
NOISE MONITORING &amp; RECORDS: N/A
EQUIPMENT CALIBRATION: N/A
DUST NUISANCE: N/A
NOISE &amp; VIBRATION NUISANCE: N/A
COMPLAINTS: N/A
TRAINEES / INEXPERIENCED PERSONS ON SITE ARE RECORDED ON THE POWA: N/A
LOCATION INFORMED – END OF WORK: N/A
LV LINE LIVE JUSTIFICATION FORM: N/A
SHROUDING – USED/AVAILABLE/GOOD CONDITION: N/A
ELECTRICAL INSULATING GLOVES – CHECKED &amp; IN GOOD CONDITION: N/A
ROPE ACCESS – JUSTIFIED &amp; RECORDED: N/A
ROPE ACCESS – MANAGER NOTIFIED: N/A
RECOGNIZED CLIMBING STANDARD (TWO ROPE SYSTEM): N/A
ROPE ACCESS – QUALIFIED RESCUE OBSERVER: N/A
</t>
  </si>
  <si>
    <t xml:space="preserve">Exec Summary:
Good audit, team are knowledgeable and knew where everything was. 
</t>
  </si>
  <si>
    <t>1469</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</si>
  <si>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-0.7670178)18 Alder Grove, Newport NP20 6WU, UK
(51.6121554, -3.0001007)(52.1560758, -2.2364093)Location:
Larkins Road, royston
Uplands, Croydon Hill, Croydon, Royston SG8 0DZ, UK
(52.124879799999995, -0.0934081)</t>
  </si>
  <si>
    <t xml:space="preserve">E16B live </t>
  </si>
  <si>
    <t>E16B LIVE</t>
  </si>
  <si>
    <t>["7996 : 56965 Max Gaylor","7996 : 56937 Anthony Gale"]</t>
  </si>
  <si>
    <t>19/03/2026 13:36</t>
  </si>
  <si>
    <t>["Plant &amp; Work Equipment","Behaviour","Utility Arboriculture (Electrical)","Woodchipper Use"]</t>
  </si>
  <si>
    <t>2.7</t>
  </si>
  <si>
    <t xml:space="preserve">NRMM COMPLIANCE: N/A
PLANT SECURITY &amp; STORAGE: N/A
NOISE MONITORING &amp; RECORDS: N/A
EQUIPMENT CALIBRATION: N/A
</t>
  </si>
  <si>
    <t xml:space="preserve">Exec Summary:
Team answered all questions well. Site in good condition with DO's and safe systems of work. All paperwork in good order. 
</t>
  </si>
  <si>
    <t>1470</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</si>
  <si>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-0.7670178)18 Alder Grove, Newport NP20 6WU, UK
(51.6121554, -3.0001007)(52.1560758, -2.2364093)Location:
Larkins Road, royston
Uplands, Croydon Hill, Croydon, Royston SG8 0DZ, UK
(52.124879799999995, -0.0934081)Uplands, Croydon Hill, Croydon, Royston SG8 0DZ, UK
(52.124879799999995, -0.0934081)</t>
  </si>
  <si>
    <t>Ashley Marples</t>
  </si>
  <si>
    <t>Chesterfield / Mansfield~</t>
  </si>
  <si>
    <t>890059/0008</t>
  </si>
  <si>
    <t>890059</t>
  </si>
  <si>
    <t>["7673 : 54455 William Clark"]</t>
  </si>
  <si>
    <t>18/03/2026 07:14</t>
  </si>
  <si>
    <t>18/03/2026 07:20</t>
  </si>
  <si>
    <t xml:space="preserve">EMERGENCY EQUIPMENT: N/A
</t>
  </si>
  <si>
    <t xml:space="preserve">Exec Summary:
Vehicle in good order 
</t>
  </si>
  <si>
    <t>1480</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</si>
  <si>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-0.7670178)18 Alder Grove, Newport NP20 6WU, UK
(51.6121554, -3.0001007)(52.1560758, -2.2364093)Location:
Larkins Road, royston
Uplands, Croydon Hill, Croydon, Royston SG8 0DZ, UK
(52.124879799999995, -0.0934081)Uplands, Croydon Hill, Croydon, Royston SG8 0DZ, UK
(52.124879799999995, -0.0934081)6 Fountain Walk, Northfleet, Gravesend DA11 9JY, UK
(51.4424821, 0.34972780000000003)3GC7+Q6, Bedford MK45 3NQ, UK
(52.0719518, -0.48693660000000005)Campbeltown, UK
(55.424117, -5.605373999999999)Oban, UK
(56.415157, -5.471047)Pilot Inn, Hardwicke, Gloucester GL2 4QD, UK
(51.81983899999999, -2.296522)Barlow Rd E, Selby YO8 8TE, UK
(53.746787467004786, -0.9998291729918677)Uckfield bus station, Uckfield TN22 1AG, UK
(50.9692, 0.09447699999999999)11 Sparrowbill Way, Patchway, Bristol BS34 5BS, UK
(51.5273642, -2.574895)Louth Co. Louth
Ireland
(53.96470443130692, -6.568748997270713)Caudwell House, Upton Rd, Southwell NG25 0PT, UK
(53.08232674122681, -0.9384546428918837)</t>
  </si>
  <si>
    <t xml:space="preserve">Towcester </t>
  </si>
  <si>
    <t>["4209 : 54113 Max Baker","4209 : 56098 Elijah Eldred"]</t>
  </si>
  <si>
    <t>17/03/2026 13:14</t>
  </si>
  <si>
    <t>17/03/2026 13:53</t>
  </si>
  <si>
    <t>["Vehicles","MEWP Use in tree work"]</t>
  </si>
  <si>
    <t>["RAMS AVAILABILITY &amp; ACCESS"]</t>
  </si>
  <si>
    <t xml:space="preserve">Exec Summary:
Area to work on is the RAMS whilst operating a MEWP. This along with other areas in the past SSV's highlight the need for better paperwork.
</t>
  </si>
  <si>
    <t>&lt;p&gt;&lt;a href="https&amp;#58;//apps.powerapps.com/play/2d567dc9-5d50-4629-a077-f7ccbff3e239?tenantId=3ef9f654-aa07-41b8-88ad-a411c62bd12c&amp;amp;Action=Open&amp;amp;Actionno=8639"&gt;Team do not have onsite&lt;/a&gt;&lt;br&gt;&lt;a href="https&amp;#58;//apps.powerapps.com/play/2d567dc9-5d50-4629-a077-f7ccbff3e239?tenantId=3ef9f654-aa07-41b8-88ad-a411c62bd12c&amp;amp;Action=Open&amp;amp;Actionno=8640"&gt;Team to familiarise and action&lt;/a&gt;&lt;br&gt;&lt;/p&gt;</t>
  </si>
  <si>
    <t>1484</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</si>
  <si>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-0.7670178)18 Alder Grove, Newport NP20 6WU, UK
(51.6121554, -3.0001007)(52.1560758, -2.2364093)Location:
Larkins Road, royston
Uplands, Croydon Hill, Croydon, Royston SG8 0DZ, UK
(52.124879799999995, -0.0934081)Uplands, Croydon Hill, Croydon, Royston SG8 0DZ, UK
(52.124879799999995, -0.0934081)6 Fountain Walk, Northfleet, Gravesend DA11 9JY, UK
(51.4424821, 0.34972780000000003)3GC7+Q6, Bedford MK45 3NQ, UK
(52.0719518, -0.48693660000000005)Campbeltown, UK
(55.424117, -5.605373999999999)Oban, UK
(56.415157, -5.471047)Pilot Inn, Hardwicke, Gloucester GL2 4QD, UK
(51.81983899999999, -2.296522)Barlow Rd E, Selby YO8 8TE, UK
(53.746787467004786, -0.9998291729918677)Uckfield bus station, Uckfield TN22 1AG, UK
(50.9692, 0.09447699999999999)11 Sparrowbill Way, Patchway, Bristol BS34 5BS, UK
(51.5273642, -2.574895)Louth Co. Louth
Ireland
(53.96470443130692, -6.568748997270713)Caudwell House, Upton Rd, Southwell NG25 0PT, UK
(53.08232674122681, -0.9384546428918837)Wakefield Gardens, Tower Hill, London EC3N 2LY, UK
(51.509825600000006, -0.07662429999999999)VH, Pendwyallt Rd, Cardiff CF14 7EF, UK
(51.524787499999995, -3.239446)101 Alexandra Rd, St Austell, Saint Austell PL25 4QL, UK
(50.3383501, -4.7804723)The Garage, Quinbury End, Blakesley, Towcester NN12 8RF, UK
(52.1480889, -1.0903337)</t>
  </si>
  <si>
    <t>17/03/2026 13:25</t>
  </si>
  <si>
    <t>17/03/2026 13:32</t>
  </si>
  <si>
    <t>["Vehicles","Utility Arboriculture (Electrical)"]</t>
  </si>
  <si>
    <t xml:space="preserve">Exec Summary:
Site set up well only observed ridding from a distance 
</t>
  </si>
  <si>
    <t>1485</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</si>
  <si>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-0.7670178)18 Alder Grove, Newport NP20 6WU, UK
(51.6121554, -3.0001007)(52.1560758, -2.2364093)Location:
Larkins Road, royston
Uplands, Croydon Hill, Croydon, Royston SG8 0DZ, UK
(52.124879799999995, -0.0934081)Uplands, Croydon Hill, Croydon, Royston SG8 0DZ, UK
(52.124879799999995, -0.0934081)6 Fountain Walk, Northfleet, Gravesend DA11 9JY, UK
(51.4424821, 0.34972780000000003)3GC7+Q6, Bedford MK45 3NQ, UK
(52.0719518, -0.48693660000000005)Campbeltown, UK
(55.424117, -5.605373999999999)Oban, UK
(56.415157, -5.471047)Pilot Inn, Hardwicke, Gloucester GL2 4QD, UK
(51.81983899999999, -2.296522)Barlow Rd E, Selby YO8 8TE, UK
(53.746787467004786, -0.9998291729918677)Uckfield bus station, Uckfield TN22 1AG, UK
(50.9692, 0.09447699999999999)11 Sparrowbill Way, Patchway, Bristol BS34 5BS, UK
(51.5273642, -2.574895)Louth Co. Louth
Ireland
(53.96470443130692, -6.568748997270713)Caudwell House, Upton Rd, Southwell NG25 0PT, UK
(53.08232674122681, -0.9384546428918837)Wakefield Gardens, Tower Hill, London EC3N 2LY, UK
(51.509825600000006, -0.07662429999999999)VH, Pendwyallt Rd, Cardiff CF14 7EF, UK
(51.524787499999995, -3.239446)101 Alexandra Rd, St Austell, Saint Austell PL25 4QL, UK
(50.3383501, -4.7804723)The Garage, Quinbury End, Blakesley, Towcester NN12 8RF, UK
(52.1480889, -1.0903337)Halam Rd, Southwell NG25, UK
(53.07921139134469, -0.9726482469582484)</t>
  </si>
  <si>
    <t>PED6</t>
  </si>
  <si>
    <t>["7889 : 54706 Danny Appleby","7889 : 57308 Daniel Brown"]</t>
  </si>
  <si>
    <t>17/03/2026 09:50</t>
  </si>
  <si>
    <t>17/03/2026 10:27</t>
  </si>
  <si>
    <t>["All Core H&amp;S Requirements","No Specialist Areas"]</t>
  </si>
  <si>
    <t>93</t>
  </si>
  <si>
    <t>95.876</t>
  </si>
  <si>
    <t xml:space="preserve">PLANT &amp; EQUIPMENT MONTHLY INSPECTIONS: N/A
FAULT REPORTING: N/A
NRMM COMPLIANCE: N/A
NOISE MONITORING &amp; RECORDS: N/A
EQUIPMENT CALIBRATION: N/A
TRAILER COMPLIANCE: N/A
GC VALUES: N/A
IGNITION SOURCES CONTROL: N/A
SHARPS HAZARD MANAGEMENT: N/A
SHARPS REPORTING: N/A
OCCUPATIONAL HEALTH RISKS: N/A
PERSONAL HEALTH RISK ASSESSMENTS: N/A
WASTE DISPOSAL: N/A
AVAILABILITY OF HANDLING AIDS : N/A
LOAD EVALUATION : N/A
LIFTING PLANS: N/A
QUALITY PLANS: N/A
CONSTRUCTION PHASE PLAN (CPP): N/A
PERMIT REQUIREMENTS IDENTIFIED: N/A
TEMPORARY WORKS PLANNING: N/A
INTERFACE &amp; COORDINATION PLANNING: N/A
TRAFFIC MANAGEMENT PLAN: N/A
PROGRAMME &amp; SEQUENCING: N/A
</t>
  </si>
  <si>
    <t>["SKILLKO","DOCUMENTATION CHECK","GLASSES CONDITION","SAFETYCULTURE TEMPLATES"]</t>
  </si>
  <si>
    <t xml:space="preserve">Exec Summary:
Generally very good audit. Some advice given around welfare note on SSRA, Danny's helmet expiring at end of the year, and how to access safety culture templates.
</t>
  </si>
  <si>
    <t>&lt;p&gt;&lt;a href="https&amp;#58;//apps.powerapps.com/play/2d567dc9-5d50-4629-a077-f7ccbff3e239?tenantId=3ef9f654-aa07-41b8-88ad-a411c62bd12c&amp;amp;Action=Open&amp;amp;Actionno=8641"&gt;Dan Brown has no access to Skillco, Nik to request log in.&lt;/a&gt;&lt;br&gt;&lt;/p&gt;</t>
  </si>
  <si>
    <t>1488</t>
  </si>
  <si>
    <t>Monaghan Co. Monaghan H18 D791
Ireland
(54.228361624741034, -6.970738894501295)2611 London Rd, Glasgow G32 8XX, UK
(55.8398759, -4.1384772)61 Constable Court
Andover
England
SP10 3PX
United Kingdom
(51.21447677724434, -1.4844876898218458)2 Aberteifi Cl, Cardiff CF14 2RZ, UK
(51.5028767, -3.2071595)Sheldon Suite, Newark &amp; Nottinghamshire Showground, Winthorpe, Coddington, Newark NG24 2NY, UK
(53.09796060000001, -0.7670178)Sheldon Suite, Newark &amp; Nottinghamshire Showground, Winthorpe, Coddington, Newark NG24 2NY, UK
(53.09796060000001, -0.7670178)18 Alder Grove, Newport NP20 6WU, UK
(51.6121554, -3.0001007)(52.1560758, -2.2364093)Location:
Larkins Road, royston
Uplands, Croydon Hill, Croydon, Royston SG8 0DZ, UK
(52.124879799999995, -0.0934081)Uplands, Croydon Hill, Croydon, Royston SG8 0DZ, UK
(52.124879799999995, -0.0934081)6 Fountain Walk, Northfleet, Gravesend DA11 9JY, UK
(51.4424821, 0.34972780000000003)3GC7+Q6, Bedford MK45 3NQ, UK
(52.0719518, -0.48693660000000005)Campbeltown, UK
(55.424117, -5.605373999999999)Oban, UK
(56.415157, -5.471047)Pilot Inn, Hardwicke, Gloucester GL2 4QD, UK
(51.81983899999999, -2.296522)Barlow Rd E, Selby YO8 8TE, UK
(53.746787467004786, -0.9998291729918677)Uckfield bus station, Uckfield TN22 1AG, UK
(50.9692, 0.09447699999999999)11 Sparrowbill Way, Patchway, Bristol BS34 5BS, UK
(51.5273642, -2.574895)Louth Co. Louth
Ireland
(53.96470443130692, -6.568748997270713)Caudwell House, Upton Rd, Southwell NG25 0PT, UK
(53.08232674122681, -0.9384546428918837)Wakefield Gardens, Tower Hill, London EC3N 2LY, UK
(51.509825600000006, -0.07662429999999999)VH, Pendwyallt Rd, Cardiff CF14 7EF, UK
(51.524787499999995, -3.239446)101 Alexandra Rd, St Austell, Saint Austell PL25 4QL, UK
(50.3383501, -4.7804723)The Garage, Quinbury End, Blakesley, Towcester NN12 8RF, UK
(52.1480889, -1.0903337)Halam Rd, Southwell NG25, UK
(53.07921139134469, -0.9726482469582484)124 Mountnessing Rd, Billericay CM12 9HA, UK
(51.6288574, 0.4081865)A702, Biggar ML12 6TQ, UK
(55.4414051, -3.6592504)Roydon, Harlow CM19 5JW, UK
(51.7591172, 0.0229486)</t>
  </si>
  <si>
    <t>E08H SD3</t>
  </si>
  <si>
    <t>27/03/2026 11:34</t>
  </si>
  <si>
    <t>27/03/2026 12:01</t>
  </si>
  <si>
    <t>["Training &amp; Competency","Manual Handling","Utility Arboriculture (Electrical)","MEWP Use in tree work"]</t>
  </si>
  <si>
    <t xml:space="preserve">SITE INDUCTION: N/A
AVAILABILITY OF HANDLING AIDS : N/A
NETWORK OPERATOR RULE COMPLIANCE: N/A
</t>
  </si>
  <si>
    <t xml:space="preserve">Exec Summary:
Team is knowledgable and maintains a high standard of competency
</t>
  </si>
  <si>
    <t>1499</t>
  </si>
  <si>
    <t>Treforest Estate, Pontypridd CF38 1SL, UK
(51.5679636, -3.2899241999999997)82 Horningsea Rd, Fen Ditton, Cambridge CB5 8SZ, UK
(52.2267792, 0.1772545)</t>
  </si>
  <si>
    <t>Steven Petherick</t>
  </si>
  <si>
    <t>Infrastructure</t>
  </si>
  <si>
    <t>Arb Rail</t>
  </si>
  <si>
    <t>Rail - Wales &amp; Western~</t>
  </si>
  <si>
    <t>476 : Amey</t>
  </si>
  <si>
    <t xml:space="preserve">Public complaints </t>
  </si>
  <si>
    <t>3259 Thornacre Ltd</t>
  </si>
  <si>
    <t>["3259 : 11067 Kristian Roche","3259 : 51625 Caerwyn Buckler","3259 : 57333 Richard Roberts"]</t>
  </si>
  <si>
    <t>27/03/2026 11:17</t>
  </si>
  <si>
    <t>27/03/2026 11:49</t>
  </si>
  <si>
    <t>["PPE Standards","Arboriculture"]</t>
  </si>
  <si>
    <t>92.593</t>
  </si>
  <si>
    <t xml:space="preserve">TRAFFIC MANAGEMENT CONTROLS IN PLACE (IF REQUIRED): N/A
CHIPPER SAFETY FEATURES OPERATIONAL: N/A
FELLING EQUIPMENT: N/A
CLIMBING GEAR CHECKED AND SUITABLE FOR TASK: N/A
RESCUE PLAN BRIEFED &amp; RESCUE KIT ON SITE: N/A
</t>
  </si>
  <si>
    <t>["PPE INSPECTION RECORDS","EYE PROTECTION"]</t>
  </si>
  <si>
    <t xml:space="preserve">Exec Summary:
Team had PPE records missing due to vehicle breakdown but I had seen them on a previous vist, have requested a photo to evidence this week's checks. 
Only 1 pair of safety glasses on site due to vehicle change this morning, only 1 member of staff to work until glasses are available for the other 2 ops 
</t>
  </si>
  <si>
    <t>&lt;p&gt;&lt;a href="https&amp;#58;//apps.powerapps.com/play/2d567dc9-5d50-4629-a077-f7ccbff3e239?tenantId=3ef9f654-aa07-41b8-88ad-a411c62bd12c&amp;amp;Action=Open&amp;amp;Actionno=8723"&gt;Team van has gone into garage for repair but the team did have the ppe records when I seen them last&lt;/a&gt;&lt;br&gt;&lt;a href="https&amp;#58;//apps.powerapps.com/play/2d567dc9-5d50-4629-a077-f7ccbff3e239?tenantId=3ef9f654-aa07-41b8-88ad-a411c62bd12c&amp;amp;Action=Open&amp;amp;Actionno=8724"&gt;Only 1 pair onsite, awaiting order from Chelmsford 
2 staff members without glasses are not working today&lt;/a&gt;&lt;br&gt;&lt;/p&gt;</t>
  </si>
  <si>
    <t>1500</t>
  </si>
  <si>
    <t>Treforest Estate, Pontypridd CF38 1SL, UK
(51.5679636, -3.2899241999999997)82 Horningsea Rd, Fen Ditton, Cambridge CB5 8SZ, UK
(52.2267792, 0.1772545)10 Elizabeth Cl, Pentre CF41 7LE, UK
(51.650373, -3.4912560999999998)</t>
  </si>
  <si>
    <t>E18G Live</t>
  </si>
  <si>
    <t>8148 Hope Ground and Tree Care</t>
  </si>
  <si>
    <t>["8148 : 58584 Andrew Hope","8148 : 58583 Jesse Sturgeon"]</t>
  </si>
  <si>
    <t>26/03/2026 15:05</t>
  </si>
  <si>
    <t>26/03/2026 15:40</t>
  </si>
  <si>
    <t>["Engagements &amp; Values","Occupational Health","PPE Standards","Woodchipper Use","Adverse Weather"]</t>
  </si>
  <si>
    <t xml:space="preserve">HEALTH SURVEILLANCE: N/A
WELFARE HEATING &amp; CLEANLINESS: N/A
HOT / WARM DRINKS: N/A
GRITTING / LIGHTING OF WALKWAYS: N/A
EXCAVATION PROTECTION: N/A
</t>
  </si>
  <si>
    <t xml:space="preserve">Exec Summary:
Team is mostly compliant. They need to provide record of their HAVS usage
</t>
  </si>
  <si>
    <t>&lt;p&gt;&lt;a href="https&amp;#58;//apps.powerapps.com/play/2d567dc9-5d50-4629-a077-f7ccbff3e239?tenantId=3ef9f654-aa07-41b8-88ad-a411c62bd12c&amp;amp;Action=Open&amp;amp;Actionno=8725"&gt;HAVS Recording&lt;/a&gt;&lt;br&gt;&lt;a href="https&amp;#58;//apps.powerapps.com/play/2d567dc9-5d50-4629-a077-f7ccbff3e239?tenantId=3ef9f654-aa07-41b8-88ad-a411c62bd12c&amp;amp;Action=Open&amp;amp;Actionno=8726"&gt;Team hasnt recorded their HAVS usage.&lt;/a&gt;&lt;br&gt;&lt;/p&gt;</t>
  </si>
  <si>
    <t>1503</t>
  </si>
  <si>
    <t>Treforest Estate, Pontypridd CF38 1SL, UK
(51.5679636, -3.2899241999999997)82 Horningsea Rd, Fen Ditton, Cambridge CB5 8SZ, UK
(52.2267792, 0.1772545)10 Elizabeth Cl, Pentre CF41 7LE, UK
(51.650373, -3.4912560999999998)Louth Co. Louth
Ireland
(53.96470443130692, -6.568748997270713)Red Lion, 468 Wellsway, Bath BA2 2UA, UK
(51.3585779, -2.3763399000000005)Church Road, Hauxton, Cambridge CB22 5HT, UK
(52.148441, 0.09096499999999999)</t>
  </si>
  <si>
    <t>Potash road</t>
  </si>
  <si>
    <t xml:space="preserve">C25c sd6 </t>
  </si>
  <si>
    <t>25/03/2026 09:29</t>
  </si>
  <si>
    <t>25/03/2026 09:41</t>
  </si>
  <si>
    <t>["COSHH","Woodchipper Use"]</t>
  </si>
  <si>
    <t>95.652</t>
  </si>
  <si>
    <t xml:space="preserve">PESTICIDE APPLICATION IN USE?: N/A
</t>
  </si>
  <si>
    <t>["CONTAINER LABELLING"]</t>
  </si>
  <si>
    <t xml:space="preserve">Exec Summary:
Good audit cosh control are in place, chipper in good condition 
</t>
  </si>
  <si>
    <t>&lt;p&gt;&lt;a href="https&amp;#58;//apps.powerapps.com/play/2d567dc9-5d50-4629-a077-f7ccbff3e239?tenantId=3ef9f654-aa07-41b8-88ad-a411c62bd12c&amp;amp;Action=Open&amp;amp;Actionno=8729"&gt;missing sticker on petrol&lt;/a&gt;&lt;br&gt;&lt;a href="https&amp;#58;//apps.powerapps.com/play/2d567dc9-5d50-4629-a077-f7ccbff3e239?tenantId=3ef9f654-aa07-41b8-88ad-a411c62bd12c&amp;amp;Action=Open&amp;amp;Actionno=8730"&gt;Patrol can missing sticker&lt;/a&gt;&lt;br&gt;&lt;/p&gt;</t>
  </si>
  <si>
    <t>1518</t>
  </si>
  <si>
    <t>Treforest Estate, Pontypridd CF38 1SL, UK
(51.5679636, -3.2899241999999997)82 Horningsea Rd, Fen Ditton, Cambridge CB5 8SZ, UK
(52.2267792, 0.1772545)10 Elizabeth Cl, Pentre CF41 7LE, UK
(51.650373, -3.4912560999999998)Louth Co. Louth
Ireland
(53.96470443130692, -6.568748997270713)Red Lion, 468 Wellsway, Bath BA2 2UA, UK
(51.3585779, -2.3763399000000005)Church Road, Hauxton, Cambridge CB22 5HT, UK
(52.148441, 0.09096499999999999)Saint Albans Road
Hertsmere
England
EN6
United Kingdom
(51.68694685683742, -0.22257766686400637)3 Quarry Rd, Sandford, Winscombe BS25 5RL, UK
(51.327163899999995, -2.8339054999999997)A14 Cambridge Rd, Fenstanton, Huntingdon PE28 9HY, UK
(52.2929701, -0.0589113)1-3 Tale Ln, Cullompton EX15 2NG, UK
(50.7967313, -3.3620117)Chelmsford Nursing Home, East Hanningfield Road
Chelmsford
England
CM2 7TP
United Kingdom
(51.6970668642548, 0.5404851459544526)HGFM+C3, Uxbridge, Ickenham, Uxbridge UB10 8AJ, UK
(51.5736114, -0.46725039999999995)Crete Hall Rd, Northfleet, Gravesend DA11, UK
(51.4443915, 0.3458147)Crete Hall Rd, Northfleet, Gravesend DA11, UK
(51.4443915, 0.3458147)Crete Hall Rd, Northfleet, Gravesend DA11, UK
(51.4443915, 0.3458147)Crete Hall Rd, Northfleet, Gravesend DA11, UK
(51.4443915, 0.3458147)Speedfields Park, Newgate Ln, Fareham PO14 1TT, UK
(50.8341202, -1.1834283)Fareham, UK
(50.8548464, -1.1865868)Fairlie Ave, Kilmarnock KA1 1UA, UK
(55.60148909999999, -4.513329)Lawrence avenue, Letchworth 59 Potash Rd, Billericay CM11 1DL, UK
(51.6440585, 0.4376459)</t>
  </si>
  <si>
    <t>F42a sd1</t>
  </si>
  <si>
    <t>24/03/2026 08:49</t>
  </si>
  <si>
    <t>24/03/2026 09:14</t>
  </si>
  <si>
    <t>["Vehicles","Plant &amp; Work Equipment","PPE Standards","No Specialist Areas"]</t>
  </si>
  <si>
    <t xml:space="preserve">NRMM COMPLIANCE: N/A
EQUIPMENT CALIBRATION: N/A
</t>
  </si>
  <si>
    <t xml:space="preserve">Exec Summary:
Very good
</t>
  </si>
  <si>
    <t>1521</t>
  </si>
  <si>
    <t>Treforest Estate, Pontypridd CF38 1SL, UK
(51.5679636, -3.2899241999999997)82 Horningsea Rd, Fen Ditton, Cambridge CB5 8SZ, UK
(52.2267792, 0.1772545)10 Elizabeth Cl, Pentre CF41 7LE, UK
(51.650373, -3.4912560999999998)Louth Co. Louth
Ireland
(53.96470443130692, -6.568748997270713)Red Lion, 468 Wellsway, Bath BA2 2UA, UK
(51.3585779, -2.3763399000000005)Church Road, Hauxton, Cambridge CB22 5HT, UK
(52.148441, 0.09096499999999999)Saint Albans Road
Hertsmere
England
EN6
United Kingdom
(51.68694685683742, -0.22257766686400637)3 Quarry Rd, Sandford, Winscombe BS25 5RL, UK
(51.327163899999995, -2.8339054999999997)A14 Cambridge Rd, Fenstanton, Huntingdon PE28 9HY, UK
(52.2929701, -0.0589113)1-3 Tale Ln, Cullompton EX15 2NG, UK
(50.7967313, -3.3620117)Chelmsford Nursing Home, East Hanningfield Road
Chelmsford
England
CM2 7TP
United Kingdom
(51.6970668642548, 0.5404851459544526)HGFM+C3, Uxbridge, Ickenham, Uxbridge UB10 8AJ, UK
(51.5736114, -0.46725039999999995)Crete Hall Rd, Northfleet, Gravesend DA11, UK
(51.4443915, 0.3458147)Crete Hall Rd, Northfleet, Gravesend DA11, UK
(51.4443915, 0.3458147)Crete Hall Rd, Northfleet, Gravesend DA11, UK
(51.4443915, 0.3458147)Crete Hall Rd, Northfleet, Gravesend DA11, UK
(51.4443915, 0.3458147)Speedfields Park, Newgate Ln, Fareham PO14 1TT, UK
(50.8341202, -1.1834283)Fareham, UK
(50.8548464, -1.1865868)Fairlie Ave, Kilmarnock KA1 1UA, UK
(55.60148909999999, -4.513329)Lawrence avenue, Letchworth 59 Potash Rd, Billericay CM11 1DL, UK
(51.6440585, 0.4376459)Location:
Car park
Ralph Allen School, Claverton Down, Bath BA2, UK
(51.3640541, -2.3332489)Oxted Sewage Treatment Works, Oxted RH8 9DB, UK
(51.234204, 0.0017917999999999999)Much Hadem</t>
  </si>
  <si>
    <t>William Heneage</t>
  </si>
  <si>
    <t>147</t>
  </si>
  <si>
    <t>BEME E6</t>
  </si>
  <si>
    <t>23/03/2026 09:41</t>
  </si>
  <si>
    <t>23/03/2026 11:09</t>
  </si>
  <si>
    <t>["PPE Standards","Working at Height","Utility Arboriculture (Electrical)","Rope Access"]</t>
  </si>
  <si>
    <t>55</t>
  </si>
  <si>
    <t xml:space="preserve">LADDER CONDITION AND POSITIONING: N/A
PLATFORM INSPECTIONS: N/A
PLATFORM CONDITION &amp; STABILITY: N/A
GUARDING ON PLATFORMS: N/A
MEWP: N/A
MEWP SAFETY MEASURES: N/A
SCAFFOLD INSTALLED / MODIFIED BY COMPETENT PERSON: N/A
EDGE PROTECTION ON NON-PLATFORM SURFACES: N/A
OBJECT FALL PREVENTION IN PLACE: N/A
FRAGILE SURFACES IDENTIFIED &amp; PROTECTED: N/A
DEAD WORK COMPLIANCE: N/A
WEATHER IMPACT ASSESSMENT: N/A
LEVEL 3 SUPERVISION IN PLACE: N/A
OPERATIVE IRATA CERTIFICATION VERIFIED: N/A
LOGBOOKS AVAILABLE &amp; CURRENT: N/A
</t>
  </si>
  <si>
    <t xml:space="preserve">Exec Summary:
On arrival at the site there is clear signage  and exclusion zones marking the work area . Good communication between the team with clear tasks being designated. 
</t>
  </si>
  <si>
    <t>1525</t>
  </si>
  <si>
    <t>Treforest Estate, Pontypridd CF38 1SL, UK
(51.5679636, -3.2899241999999997)82 Horningsea Rd, Fen Ditton, Cambridge CB5 8SZ, UK
(52.2267792, 0.1772545)10 Elizabeth Cl, Pentre CF41 7LE, UK
(51.650373, -3.4912560999999998)Louth Co. Louth
Ireland
(53.96470443130692, -6.568748997270713)Red Lion, 468 Wellsway, Bath BA2 2UA, UK
(51.3585779, -2.3763399000000005)Church Road, Hauxton, Cambridge CB22 5HT, UK
(52.148441, 0.09096499999999999)Saint Albans Road
Hertsmere
England
EN6
United Kingdom
(51.68694685683742, -0.22257766686400637)3 Quarry Rd, Sandford, Winscombe BS25 5RL, UK
(51.327163899999995, -2.8339054999999997)A14 Cambridge Rd, Fenstanton, Huntingdon PE28 9HY, UK
(52.2929701, -0.0589113)1-3 Tale Ln, Cullompton EX15 2NG, UK
(50.7967313, -3.3620117)Chelmsford Nursing Home, East Hanningfield Road
Chelmsford
England
CM2 7TP
United Kingdom
(51.6970668642548, 0.5404851459544526)HGFM+C3, Uxbridge, Ickenham, Uxbridge UB10 8AJ, UK
(51.5736114, -0.46725039999999995)Crete Hall Rd, Northfleet, Gravesend DA11, UK
(51.4443915, 0.3458147)Crete Hall Rd, Northfleet, Gravesend DA11, UK
(51.4443915, 0.3458147)Crete Hall Rd, Northfleet, Gravesend DA11, UK
(51.4443915, 0.3458147)Crete Hall Rd, Northfleet, Gravesend DA11, UK
(51.4443915, 0.3458147)Speedfields Park, Newgate Ln, Fareham PO14 1TT, UK
(50.8341202, -1.1834283)Fareham, UK
(50.8548464, -1.1865868)Fairlie Ave, Kilmarnock KA1 1UA, UK
(55.60148909999999, -4.513329)Lawrence avenue, Letchworth 59 Potash Rd, Billericay CM11 1DL, UK
(51.6440585, 0.4376459)Location:
Car park
Ralph Allen School, Claverton Down, Bath BA2, UK
(51.3640541, -2.3332489)Oxted Sewage Treatment Works, Oxted RH8 9DB, UK
(51.234204, 0.0017917999999999999)Much HademCrete Hall Rd, Northfleet, Gravesend DA11, UK
(51.4443915, 0.3458147)5 Granville Rd, London NW2 2LB, UK
(51.565589599999996, -0.2012192)8 Glyncoch Ter, Pontypridd CF37 3BW, UK
(51.619380299999996, -3.3281571)Horseshoe Cottage, Horse Shoe Ln, Compton Chamberlayne, Salisbury SP3 5DQ, UK
(51.077244, -1.9520636)</t>
  </si>
  <si>
    <t>31/03/2026 18:53</t>
  </si>
  <si>
    <t>31/03/2026 19:01</t>
  </si>
  <si>
    <t>["PPE Standards","Emergency Arrangements","No Specialist Areas"]</t>
  </si>
  <si>
    <t>4.4</t>
  </si>
  <si>
    <t xml:space="preserve">SHARPS HAZARD MANAGEMENT: N/A
SHARPS REPORTING: N/A
</t>
  </si>
  <si>
    <t xml:space="preserve">Exec Summary:
Good knowledge of health and safety requirements and legislation. Compliant on all aspects
</t>
  </si>
  <si>
    <t>1535</t>
  </si>
  <si>
    <t>Blackpool England FY4
United Kingdom
(53.793959489282834, -2.997622038967335)MC58+7X Dean Hill, County Meath, Ireland
(53.658227, -6.5825988)Govilon, Abergavenny NP7, UK
(51.820017, -3.0688399)Manchester Road, Rossendale BB4 6LL, UK
(53.688568, -2.309714)17 Stoneland Ave, Biggleswade SG18 0EA, UK
(52.094516899999995, -0.2582857)</t>
  </si>
  <si>
    <t>114LV-006</t>
  </si>
  <si>
    <t>["3098 : 1783 Richard Payne"]</t>
  </si>
  <si>
    <t>31/03/2026 13:17</t>
  </si>
  <si>
    <t>31/03/2026 13:27</t>
  </si>
  <si>
    <t xml:space="preserve">ON-SITE SUPERVISION: N/A
</t>
  </si>
  <si>
    <t xml:space="preserve">Exec Summary:
All certs on skillco up to date and authorisation on site. Knowledge of where safety handbook is stored and how to access.
</t>
  </si>
  <si>
    <t>1537</t>
  </si>
  <si>
    <t>Blackpool England FY4
United Kingdom
(53.793959489282834, -2.997622038967335)MC58+7X Dean Hill, County Meath, Ireland
(53.658227, -6.5825988)Govilon, Abergavenny NP7, UK
(51.820017, -3.0688399)Manchester Road, Rossendale BB4 6LL, UK
(53.688568, -2.309714)17 Stoneland Ave, Biggleswade SG18 0EA, UK
(52.094516899999995, -0.2582857)Castleblayney Co. Monaghan
Ireland
(54.09275656446069, -6.816465494350817)Amberden House, Widdington, Saffron Walden CB11 3ST, UK
(51.955062, 0.2608388)</t>
  </si>
  <si>
    <t>Mike Corran</t>
  </si>
  <si>
    <t>Oxford~</t>
  </si>
  <si>
    <t>256</t>
  </si>
  <si>
    <t>Want e1</t>
  </si>
  <si>
    <t>09/04/2026 13:24</t>
  </si>
  <si>
    <t>09/04/2026 17:48</t>
  </si>
  <si>
    <t>["Vehicles","Training &amp; Competency","PPE Standards","Emergency Arrangements","Planning &amp; Setting to work","Access arrangements","Arboriculture","Utility Arboriculture (Electrical)","MEWP Use in tree work"]</t>
  </si>
  <si>
    <t xml:space="preserve">GROUND CONTROL &amp; DIVISIONAL INDUCTION: N/A
SITE INDUCTION: N/A
ON-SITE SUPERVISION: N/A
SECURE LOADS: N/A
TRAILER COMPLIANCE: N/A
WASTE REMOVAL &amp; STORAGE: N/A
LONE WORKING LOGGING: N/A
SHARPS HAZARD MANAGEMENT: N/A
PPE INSPECTION RECORDS: N/A
EYE PROTECTION: N/A
GLASSES CONDITION: N/A
LIFTING PLANS: N/A
CONSTRUCTION PHASE PLAN (CPP): N/A
PERMIT REQUIREMENTS IDENTIFIED: N/A
TEMPORARY WORKS PLANNING: N/A
INTERFACE &amp; COORDINATION PLANNING: N/A
TRAFFIC MANAGEMENT PLAN: N/A
PROGRAMME &amp; SEQUENCING: N/A
EXCLUSION ZONES AND SIGNAGE IN PLACE: N/A
TRAFFIC MANAGEMENT CONTROLS IN PLACE (IF REQUIRED): N/A
CHIPPER SAFETY FEATURES OPERATIONAL: N/A
FELLING EQUIPMENT: N/A
ENVIRONMENTAL PROTECTION: N/A
DEAD WORK COMPLIANCE: N/A
PEDESTRIAN ROUTES DEFINED: N/A
ACCESS ROUTES ADEQUATELY LIT: N/A
ACCESS ARRANGEMENTS REVIEWED: N/A
</t>
  </si>
  <si>
    <t xml:space="preserve">Exec Summary:
- ID card ordering issue looked into for Cory as his card expired in jan with Chemsford Safety Supplies.
-Issue with skilco 2 teams showing on same report looked into.
</t>
  </si>
  <si>
    <t>&lt;p&gt;&lt;a href="https&amp;#58;//apps.powerapps.com/play/2d567dc9-5d50-4629-a077-f7ccbff3e239?tenantId=3ef9f654-aa07-41b8-88ad-a411c62bd12c&amp;amp;Action=Open&amp;amp;Actionno=8790"&gt;New 2 june 2025&lt;/a&gt;&lt;br&gt;&lt;/p&gt;</t>
  </si>
  <si>
    <t>1563</t>
  </si>
  <si>
    <t>31 Cintra Rd, Norwich NR1 4AE, UK
(52.628635, 1.3185577)Rosalind Hill House2a A20, Newtownards BT23 5AY, UK
(54.591763300000004, -5.712137299999999)175 Strand Rd, County, Londonderry BT48 7PU, UK
(55.012286800000005, -7.3168776)351 Humberstone Ln, Leicester LE4 9JP, UK
(52.662887899999994, -1.0885201)2 Bulphan View, Lower Dunton Rd, Dunton, Brentwood CM13 3SX, UK
(51.5692495, 0.3952486)7 High St, Great Glen, Leicester LE8 9FJ, UK
(52.5747478, -1.0358471)Rosalind House, Jays Cl, Basingstoke RG22 4BS, UK
(51.246292999999994, -1.0960969)(51.5961329, -1.3661476)</t>
  </si>
  <si>
    <t>Char E4</t>
  </si>
  <si>
    <t>4178 Flint Tree Surgeons Ltd</t>
  </si>
  <si>
    <t>["4178 : 45894 Ed Flint","4178 : 47156 Adam Andrews"]</t>
  </si>
  <si>
    <t>09/04/2026 10:29</t>
  </si>
  <si>
    <t>09/04/2026 17:21</t>
  </si>
  <si>
    <t>["Plant &amp; Work Equipment","Vehicles","Environmental Best Practice","Manual Handling","Emergency Arrangements","Ground Based Chainsaw","Vehicle &amp; Plant Movement","Woodchipper Use"]</t>
  </si>
  <si>
    <t>57</t>
  </si>
  <si>
    <t>92.982</t>
  </si>
  <si>
    <t xml:space="preserve">NRMM COMPLIANCE: N/A
VIBRATION EXPOSURE MONITORING: N/A
NOISE MONITORING &amp; RECORDS: N/A
EQUIPMENT CALIBRATION: N/A
CONTAINERS FOR FLAMMABLE LIQUIDS: N/A
LONE WORKING LOGGING: N/A
SHARPS HAZARD MANAGEMENT: N/A
AVAILABILITY OF HANDLING AIDS : N/A
LOAD EVALUATION : N/A
ECOLOGICAL ENHANCEMENTS: N/A
FELLING TECHNIQUE SELECTION: N/A
REVERSING AIDS FUNCTION: N/A
DISTRACTION CONTROL: N/A
BANKSMAN DEPLOYMENT: N/A
PEDESTRIAN SEGREGATION: N/A
SPEED MANAGEMENT: N/A
VEHICLE ROUTE PLANNING: N/A
GUARDING AND MAINTENANCE: N/A
</t>
  </si>
  <si>
    <t>["FIRE EXTINGUISHERS"]</t>
  </si>
  <si>
    <t xml:space="preserve">Exec Summary:
Lewis stent to be removed from SSE if possible, but remain on NGED.
Fire Extingusher to be replaced with 2 kg
Copy of Manual handling cert for ed needed
</t>
  </si>
  <si>
    <t>&lt;p&gt;&lt;a href="https&amp;#58;//apps.powerapps.com/play/2d567dc9-5d50-4629-a077-f7ccbff3e239?tenantId=3ef9f654-aa07-41b8-88ad-a411c62bd12c&amp;amp;Action=Open&amp;amp;Actionno=8791"&gt;Only 1 kg one on site&lt;/a&gt;&lt;br&gt;&lt;/p&gt;</t>
  </si>
  <si>
    <t>1564</t>
  </si>
  <si>
    <t>31 Cintra Rd, Norwich NR1 4AE, UK
(52.628635, 1.3185577)Rosalind Hill House2a A20, Newtownards BT23 5AY, UK
(54.591763300000004, -5.712137299999999)175 Strand Rd, County, Londonderry BT48 7PU, UK
(55.012286800000005, -7.3168776)351 Humberstone Ln, Leicester LE4 9JP, UK
(52.662887899999994, -1.0885201)2 Bulphan View, Lower Dunton Rd, Dunton, Brentwood CM13 3SX, UK
(51.5692495, 0.3952486)7 High St, Great Glen, Leicester LE8 9FJ, UK
(52.5747478, -1.0358471)Rosalind House, Jays Cl, Basingstoke RG22 4BS, UK
(51.246292999999994, -1.0960969)(51.5961329, -1.3661476)(51.8418551, -1.4949897)</t>
  </si>
  <si>
    <t>09/04/2026 09:28</t>
  </si>
  <si>
    <t>["Emergency Arrangements","No Specialist Areas"]</t>
  </si>
  <si>
    <t>6.7</t>
  </si>
  <si>
    <t xml:space="preserve">Exec Summary:
Good SSV
</t>
  </si>
  <si>
    <t>1566</t>
  </si>
  <si>
    <t>31 Cintra Rd, Norwich NR1 4AE, UK
(52.628635, 1.3185577)Rosalind Hill House2a A20, Newtownards BT23 5AY, UK
(54.591763300000004, -5.712137299999999)175 Strand Rd, County, Londonderry BT48 7PU, UK
(55.012286800000005, -7.3168776)351 Humberstone Ln, Leicester LE4 9JP, UK
(52.662887899999994, -1.0885201)2 Bulphan View, Lower Dunton Rd, Dunton, Brentwood CM13 3SX, UK
(51.5692495, 0.3952486)7 High St, Great Glen, Leicester LE8 9FJ, UK
(52.5747478, -1.0358471)Rosalind House, Jays Cl, Basingstoke RG22 4BS, UK
(51.246292999999994, -1.0960969)(51.5961329, -1.3661476)(51.8418551, -1.4949897)Luscinia View - Building A, 149 Napier Rd, Reading RG1 8AF, UK
(51.4595074, -0.9573961)17 Stoneland Ave, Biggleswade SG18 0EA, UK
(52.094516899999995, -0.2582857)</t>
  </si>
  <si>
    <t>Yeovil~</t>
  </si>
  <si>
    <t>Site 7</t>
  </si>
  <si>
    <t>Minc e1</t>
  </si>
  <si>
    <t>["8035 : 57735 Sam Sawkins","8035 : 58699 Martin Odonnell"]</t>
  </si>
  <si>
    <t>14/04/2026 14:12</t>
  </si>
  <si>
    <t>17/04/2026 14:05</t>
  </si>
  <si>
    <t>["Vehicles","Emergency Arrangements","Plant &amp; Work Equipment","Manual Handling","Working at Height","Utility Arboriculture (Electrical)"]</t>
  </si>
  <si>
    <t>341</t>
  </si>
  <si>
    <t>69</t>
  </si>
  <si>
    <t>97.101</t>
  </si>
  <si>
    <t xml:space="preserve">NRMM COMPLIANCE: N/A
PLANT SECURITY &amp; STORAGE: N/A
HEARING PROTECTION AWARENESS: N/A
VIBRATION EXPOSURE MONITORING: N/A
NOISE MONITORING &amp; RECORDS: N/A
EQUIPMENT CALIBRATION: N/A
WASTE REMOVAL &amp; STORAGE: N/A
LONE WORKING LOGGING: N/A
AVAILABILITY OF HANDLING AIDS : N/A
PERMIT TO WORK AT HEIGHT ISSUED: N/A
LADDER CONDITION AND POSITIONING: N/A
SCAFFOLD INSTALLED / MODIFIED BY COMPETENT PERSON: N/A
EDGE PROTECTION ON NON-PLATFORM SURFACES: N/A
FRAGILE SURFACES IDENTIFIED &amp; PROTECTED: N/A
DEAD WORK COMPLIANCE: N/A
</t>
  </si>
  <si>
    <t>["TEST DATES FOR FIRE EXTINGUISHERS","TASK-SPECIFIC RISK ASSESSMENTS"]</t>
  </si>
  <si>
    <t xml:space="preserve">Exec Summary:
Needs guild on saftet culture
</t>
  </si>
  <si>
    <t>&lt;p&gt;&lt;a href="https&amp;#58;//apps.powerapps.com/play/2d567dc9-5d50-4629-a077-f7ccbff3e239?tenantId=3ef9f654-aa07-41b8-88ad-a411c62bd12c&amp;amp;Action=Open&amp;amp;Actionno=8821"&gt;get fire extinguisher tested&lt;/a&gt;&lt;br&gt;&lt;/p&gt;</t>
  </si>
  <si>
    <t>1583</t>
  </si>
  <si>
    <t>Southampton SO15, UK
(50.915011, -1.4276201)Portsmouth PO6, UK
(50.8459298, -1.0714185)(50.9484887, -1.8416336)</t>
  </si>
  <si>
    <t>87 to 89</t>
  </si>
  <si>
    <t>Teff e3</t>
  </si>
  <si>
    <t>["3181 : 52831 Darren Witt","3181 : 59108 Alexander Lush","3181 : 58115 Harry Woodcock"]</t>
  </si>
  <si>
    <t>16/04/2026 09:42</t>
  </si>
  <si>
    <t>17/04/2026 13:07</t>
  </si>
  <si>
    <t>["Plant &amp; Work Equipment","Vehicles","Manual Handling","Emergency Arrangements","Utility Arboriculture (Electrical)"]</t>
  </si>
  <si>
    <t>66</t>
  </si>
  <si>
    <t>46</t>
  </si>
  <si>
    <t>42</t>
  </si>
  <si>
    <t>91.304</t>
  </si>
  <si>
    <t xml:space="preserve">NRMM COMPLIANCE: N/A
VIBRATION EXPOSURE MONITORING: N/A
NOISE MONITORING &amp; RECORDS: N/A
EQUIPMENT CALIBRATION: N/A
WASTE REMOVAL &amp; STORAGE: N/A
LONE WORKING LOGGING: N/A
AVAILABILITY OF HANDLING AIDS : N/A
LOAD EVALUATION : N/A
DEAD WORK COMPLIANCE: N/A
</t>
  </si>
  <si>
    <t>["PLANT &amp; EQUIPMENT MONTHLY INSPECTIONS","TRAILER COMPLIANCE","TASK-SPECIFIC RISK ASSESSMENTS","RAMS AVAILABILITY &amp; ACCESS"]</t>
  </si>
  <si>
    <t xml:space="preserve">Exec Summary:
access needed to Safety culture - some small aspect to resolve
</t>
  </si>
  <si>
    <t>&lt;p&gt;&lt;a href="https&amp;#58;//apps.powerapps.com/play/2d567dc9-5d50-4629-a077-f7ccbff3e239?tenantId=3ef9f654-aa07-41b8-88ad-a411c62bd12c&amp;amp;Action=Open&amp;amp;Actionno=8822"&gt;trailer number plate needs changing to correct one&lt;/a&gt;&lt;br&gt;&lt;a href="https&amp;#58;//apps.powerapps.com/play/2d567dc9-5d50-4629-a077-f7ccbff3e239?tenantId=3ef9f654-aa07-41b8-88ad-a411c62bd12c&amp;amp;Action=Open&amp;amp;Actionno=8823"&gt;numberplate on trailer not matching 4x4&lt;/a&gt;&lt;br&gt;&lt;a href="https&amp;#58;//apps.powerapps.com/play/2d567dc9-5d50-4629-a077-f7ccbff3e239?tenantId=3ef9f654-aa07-41b8-88ad-a411c62bd12c&amp;amp;Action=Open&amp;amp;Actionno=8824"&gt;access to safety culture&lt;/a&gt;&lt;br&gt;&lt;a href="https&amp;#58;//apps.powerapps.com/play/2d567dc9-5d50-4629-a077-f7ccbff3e239?tenantId=3ef9f654-aa07-41b8-88ad-a411c62bd12c&amp;amp;Action=Open&amp;amp;Actionno=8825"&gt;No cert on site with will, later found one&lt;/a&gt;&lt;br&gt;&lt;/p&gt;</t>
  </si>
  <si>
    <t>1584</t>
  </si>
  <si>
    <t>Southampton SO15, UK
(50.915011, -1.4276201)Portsmouth PO6, UK
(50.8459298, -1.0714185)(50.9484887, -1.8416336)1 Common Gate, Chilmark, Salisbury SP3 5BN, UK
(51.0870804, -2.0459678)</t>
  </si>
  <si>
    <t>Site 60</t>
  </si>
  <si>
    <t xml:space="preserve"> Foin e3</t>
  </si>
  <si>
    <t>["3181 : 57524 Toby Panton","3181 : 59107 Antony Cook"]</t>
  </si>
  <si>
    <t>15/04/2026 13:21</t>
  </si>
  <si>
    <t>17/04/2026 12:55</t>
  </si>
  <si>
    <t>["Manual Handling","PPE Standards","Access arrangements","Emergency Arrangements","Utility Arboriculture (Electrical)"]</t>
  </si>
  <si>
    <t>96</t>
  </si>
  <si>
    <t>97.826</t>
  </si>
  <si>
    <t xml:space="preserve">WASTE REMOVAL &amp; STORAGE: N/A
LONE WORKING LOGGING: N/A
PPE INSPECTION RECORDS: N/A
HI-VIS SELECTION: N/A
LOOKOUT DEPLOYMENT: N/A
DEAD WORK COMPLIANCE: N/A
</t>
  </si>
  <si>
    <t>["TASK-SPECIFIC RISK ASSESSMENTS"]</t>
  </si>
  <si>
    <t xml:space="preserve">Exec Summary:
Safety culture access needed
</t>
  </si>
  <si>
    <t>1585</t>
  </si>
  <si>
    <t>Southampton SO15, UK
(50.915011, -1.4276201)Portsmouth PO6, UK
(50.8459298, -1.0714185)(50.9484887, -1.8416336)1 Common Gate, Chilmark, Salisbury SP3 5BN, UK
(51.0870804, -2.0459678)Lakewood House, Bowerwood Rd, Fordingbridge SP6 3BP, UK
(50.9241336, -1.8058748999999996)</t>
  </si>
  <si>
    <t>Site 53 to 55</t>
  </si>
  <si>
    <t>Blan e6</t>
  </si>
  <si>
    <t>2629 Bourne VP</t>
  </si>
  <si>
    <t>["2629 : 10774 Lawrence Henderson","2629 : 15071 Jamie Michael"]</t>
  </si>
  <si>
    <t>14/04/2026 12:12</t>
  </si>
  <si>
    <t>17/04/2026 12:52</t>
  </si>
  <si>
    <t>["Vehicles","Environmental Best Practice","Manual Handling","Emergency Arrangements","Utility Arboriculture (Electrical)"]</t>
  </si>
  <si>
    <t>89.744</t>
  </si>
  <si>
    <t xml:space="preserve">SECURE LOADS: N/A
TRAILER COMPLIANCE: N/A
WASTE REMOVAL &amp; STORAGE: N/A
LONE WORKING LOGGING: N/A
AVAILABILITY OF HANDLING AIDS : N/A
LOAD EVALUATION : N/A
ECOLOGICAL ENHANCEMENTS: N/A
LOOKOUT DEPLOYMENT: N/A
DEAD WORK COMPLIANCE: N/A
WEATHER IMPACT ASSESSMENT: N/A
</t>
  </si>
  <si>
    <t xml:space="preserve">Exec Summary:
well run team- access needed to Safety culture
</t>
  </si>
  <si>
    <t>&lt;p&gt;&lt;a href="https&amp;#58;//apps.powerapps.com/play/2d567dc9-5d50-4629-a077-f7ccbff3e239?tenantId=3ef9f654-aa07-41b8-88ad-a411c62bd12c&amp;amp;Action=Open&amp;amp;Actionno=8826"&gt;renew manual handling cert&lt;/a&gt;&lt;br&gt;&lt;/p&gt;</t>
  </si>
  <si>
    <t>1586</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</si>
  <si>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t>
  </si>
  <si>
    <t>173</t>
  </si>
  <si>
    <t>["2629 : 58632 Jack Beaumont","2629 : 56093 Kevin Malkin"]</t>
  </si>
  <si>
    <t>14/04/2026 10:51</t>
  </si>
  <si>
    <t>17/04/2026 12:48</t>
  </si>
  <si>
    <t>["Plant &amp; Work Equipment","Vehicles","Manual Handling","Emergency Arrangements","Utility Arboriculture (Electrical)","Use of Long Reach Tools","Woodchipper Use"]</t>
  </si>
  <si>
    <t>81</t>
  </si>
  <si>
    <t>87.719</t>
  </si>
  <si>
    <t xml:space="preserve">NRMM COMPLIANCE: N/A
HEARING PROTECTION AWARENESS: N/A
VIBRATION EXPOSURE MONITORING: N/A
NOISE MONITORING &amp; RECORDS: N/A
EQUIPMENT CALIBRATION: N/A
WASTE REMOVAL &amp; STORAGE: N/A
LONE WORKING LOGGING: N/A
AVAILABILITY OF HANDLING AIDS : N/A
LOAD EVALUATION : N/A
LOOKOUT DEPLOYMENT: N/A
DEAD WORK COMPLIANCE: N/A
WEATHER IMPACT ASSESSMENT: N/A
DROP ZONE CONTROL: N/A
</t>
  </si>
  <si>
    <t>["EMERGENCY EQUIPMENT","FIRE EXTINGUISHERS","TEST DATES FOR FIRE EXTINGUISHERS","TASK-SPECIFIC RISK ASSESSMENTS","RAMS AVAILABILITY &amp; ACCESS","RAMS AVAILABILITY &amp; ACCESS","RAMS AVAILABILITY &amp; ACCESS"]</t>
  </si>
  <si>
    <t xml:space="preserve">Exec Summary:
we run site
</t>
  </si>
  <si>
    <t>&lt;p&gt;&lt;a href="https&amp;#58;//apps.powerapps.com/play/2d567dc9-5d50-4629-a077-f7ccbff3e239?tenantId=3ef9f654-aa07-41b8-88ad-a411c62bd12c&amp;amp;Action=Open&amp;amp;Actionno=8827"&gt;fire extingusher has gone off in bag&lt;/a&gt;&lt;br&gt;&lt;a href="https&amp;#58;//apps.powerapps.com/play/2d567dc9-5d50-4629-a077-f7ccbff3e239?tenantId=3ef9f654-aa07-41b8-88ad-a411c62bd12c&amp;amp;Action=Open&amp;amp;Actionno=8828"&gt;new 1st aid kit needed in may&lt;/a&gt;&lt;br&gt;&lt;a href="https&amp;#58;//apps.powerapps.com/play/2d567dc9-5d50-4629-a077-f7ccbff3e239?tenantId=3ef9f654-aa07-41b8-88ad-a411c62bd12c&amp;amp;Action=Open&amp;amp;Actionno=8829"&gt;access needed for safety culture&lt;/a&gt;&lt;br&gt;&lt;/p&gt;</t>
  </si>
  <si>
    <t>1587</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</si>
  <si>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t>
  </si>
  <si>
    <t>460 to 466</t>
  </si>
  <si>
    <t>Yetm e1</t>
  </si>
  <si>
    <t>3746 RFP Tree and Landscape Services Ltd</t>
  </si>
  <si>
    <t>["3746 : 52258 Christopher ''Billy'' Rhodes","3746 : 49176 Ollie Edgar","3746 : 52259 Samuel Badger","3746 : 60065 Jantzen Bird"]</t>
  </si>
  <si>
    <t>13/04/2026 11:47</t>
  </si>
  <si>
    <t>17/04/2026 12:42</t>
  </si>
  <si>
    <t>["Vehicles","Environmental Best Practice","Manual Handling","Emergency Arrangements","Utility Arboriculture (Electrical)","Vehicle &amp; Plant Movement"]</t>
  </si>
  <si>
    <t>71</t>
  </si>
  <si>
    <t>89.474</t>
  </si>
  <si>
    <t xml:space="preserve">SECURE LOADS: N/A
LOAD CAPACITY: N/A
TRAILER COMPLIANCE: N/A
IGNITION SOURCES CONTROL: N/A
WASTE REMOVAL &amp; STORAGE: N/A
LONE WORKING LOGGING: N/A
AVAILABILITY OF HANDLING AIDS : N/A
LOAD EVALUATION : N/A
ECOLOGICAL ENHANCEMENTS: N/A
LOOKOUT DEPLOYMENT: N/A
DEAD WORK COMPLIANCE: N/A
WEATHER IMPACT ASSESSMENT: N/A
NETWORK OPERATOR RULE COMPLIANCE: N/A
REVERSING AIDS FUNCTION: N/A
DISTRACTION CONTROL: N/A
BANKSMAN DEPLOYMENT: N/A
PEDESTRIAN SEGREGATION: N/A
SPEED MANAGEMENT: N/A
VEHICLE ROUTE PLANNING: N/A
</t>
  </si>
  <si>
    <t xml:space="preserve">Exec Summary:
well run site
</t>
  </si>
  <si>
    <t>&lt;p&gt;&lt;a href="https&amp;#58;//apps.powerapps.com/play/2d567dc9-5d50-4629-a077-f7ccbff3e239?tenantId=3ef9f654-aa07-41b8-88ad-a411c62bd12c&amp;amp;Action=Open&amp;amp;Actionno=8830"&gt;2kg fire exingusher needed&lt;/a&gt;&lt;br&gt;&lt;/p&gt;</t>
  </si>
  <si>
    <t>1588</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</si>
  <si>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t>
  </si>
  <si>
    <t>Lincs North~</t>
  </si>
  <si>
    <t>["3201 : 1849 John Lamond"]</t>
  </si>
  <si>
    <t>15/04/2026 11:09</t>
  </si>
  <si>
    <t>15/04/2026 11:23</t>
  </si>
  <si>
    <t>["PPE Standards","Access arrangements","Access arrangements"]</t>
  </si>
  <si>
    <t>1.8</t>
  </si>
  <si>
    <t xml:space="preserve">Exec Summary:
Team work well together
</t>
  </si>
  <si>
    <t>1599</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</si>
  <si>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t>
  </si>
  <si>
    <t>87,88</t>
  </si>
  <si>
    <t>DEVI E9</t>
  </si>
  <si>
    <t>["7397 : 50480 Matt Flood","7397 : 54435 Scott Carpenter","7397 : 57929 Marlee Butler"]</t>
  </si>
  <si>
    <t>15/04/2026 09:40</t>
  </si>
  <si>
    <t>15/04/2026 10:03</t>
  </si>
  <si>
    <t>["Site Environment","Risk Management","Emergency Arrangements","Use of Long Reach Tools"]</t>
  </si>
  <si>
    <t xml:space="preserve">LONE WORKING LOGGING: N/A
SHARPS HAZARD MANAGEMENT: N/A
SHARPS REPORTING: N/A
</t>
  </si>
  <si>
    <t xml:space="preserve">Exec Summary:
Fine
</t>
  </si>
  <si>
    <t>1600</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</si>
  <si>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0.3030767)16 Church View, Etchilhampton, Devizes SN10 3JL, UK
(51.341594699999995, -1.9346282)</t>
  </si>
  <si>
    <t>["6617 : 55966 Dan Watkins","6617 : 59823 Anthony Bassenger"]</t>
  </si>
  <si>
    <t>13/04/2026 14:14</t>
  </si>
  <si>
    <t>13/04/2026 14:32</t>
  </si>
  <si>
    <t>["Vehicles","Plant &amp; Work Equipment","Environmental Best Practice","Site Environment","No Specialist Areas"]</t>
  </si>
  <si>
    <t>81.818</t>
  </si>
  <si>
    <t xml:space="preserve">PLANT &amp; EQUIPMENT MONTHLY INSPECTIONS: N/A
FAULT REPORTING: N/A
NRMM COMPLIANCE: N/A
EQUIPMENT CALIBRATION: N/A
ECOLOGICAL ENHANCEMENTS: N/A
COMPLAINTS: N/A
</t>
  </si>
  <si>
    <t xml:space="preserve">Exec Summary:
Good overall
</t>
  </si>
  <si>
    <t>1610</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</si>
  <si>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0.3030767)16 Church View, Etchilhampton, Devizes SN10 3JL, UK
(51.341594699999995, -1.9346282)4 Quarry Rd, Sandford, Winscombe BS25 5RL, UK
(51.3270853, -2.8337573)18 John Hyrne Way, Costessey, Norwich NR5 0JT, UK
(52.6543509, 1.1819811)59 Deerdykes View, Westfield, Cumbernauld, Glasgow G68 9HN, UK
(55.929476699999995, -4.0495399999999995)Chester England CH4
United Kingdom
(53.162166582459406, -2.903553500554287)42 De Bawdrip Rd, Cardiff CF24 2TN, UK
(51.494146099999995, -3.1411547)Morton Park Way BMI, Woodlands Hospital, Darlington DL1 4PL, UK
(54.5205718, -1.5045182)Saint Brigid's Nursing Home, Blessington Rd, Crooksling, Saggart, Co. Dublin, Ireland
(53.255030899999994, -6.4451822)(51.8740923, -2.2746815)Tesco, Westwood, Broadstairs CT10 2QD, UK
(51.359241, 1.3978329999999999)Marsh Ln, Harlow CM17, UK
(51.791269077693855, 0.1519341883009577)</t>
  </si>
  <si>
    <t>13/04/2026 13:27</t>
  </si>
  <si>
    <t>13/04/2026 14:10</t>
  </si>
  <si>
    <t>["Plant &amp; Work Equipment","Site Environment","Vehicles","No Specialist Areas"]</t>
  </si>
  <si>
    <t xml:space="preserve">PLANT &amp; EQUIPMENT MONTHLY INSPECTIONS: N/A
FAULT REPORTING: N/A
NRMM COMPLIANCE: N/A
EQUIPMENT CALIBRATION: N/A
COMPLAINTS: N/A
</t>
  </si>
  <si>
    <t>1611</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</si>
  <si>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0.3030767)16 Church View, Etchilhampton, Devizes SN10 3JL, UK
(51.341594699999995, -1.9346282)4 Quarry Rd, Sandford, Winscombe BS25 5RL, UK
(51.3270853, -2.8337573)18 John Hyrne Way, Costessey, Norwich NR5 0JT, UK
(52.6543509, 1.1819811)59 Deerdykes View, Westfield, Cumbernauld, Glasgow G68 9HN, UK
(55.929476699999995, -4.0495399999999995)Chester England CH4
United Kingdom
(53.162166582459406, -2.903553500554287)42 De Bawdrip Rd, Cardiff CF24 2TN, UK
(51.494146099999995, -3.1411547)Morton Park Way BMI, Woodlands Hospital, Darlington DL1 4PL, UK
(54.5205718, -1.5045182)Saint Brigid's Nursing Home, Blessington Rd, Crooksling, Saggart, Co. Dublin, Ireland
(53.255030899999994, -6.4451822)(51.8740923, -2.2746815)Tesco, Westwood, Broadstairs CT10 2QD, UK
(51.359241, 1.3978329999999999)Marsh Ln, Harlow CM17, UK
(51.791269077693855, 0.1519341883009577)Marsh Ln, Harlow CM17, UK
(51.791269077693855, 0.1519341883009577)</t>
  </si>
  <si>
    <t>Site 121 to 126</t>
  </si>
  <si>
    <t>["7965 : 58458 Luke Smith","7965 : 57274 Rob Blair"]</t>
  </si>
  <si>
    <t>10/04/2026 10:41</t>
  </si>
  <si>
    <t>12/04/2026 21:17</t>
  </si>
  <si>
    <t>["Plant &amp; Work Equipment","Vehicles","Manual Handling","Emergency Arrangements","Utility Arboriculture (Electrical)","Vehicle &amp; Plant Movement"]</t>
  </si>
  <si>
    <t xml:space="preserve">NRMM COMPLIANCE: N/A
HEARING PROTECTION AWARENESS: N/A
VIBRATION EXPOSURE MONITORING: N/A
NOISE MONITORING &amp; RECORDS: N/A
EQUIPMENT CALIBRATION: N/A
WASTE REMOVAL &amp; STORAGE: N/A
LONE WORKING LOGGING: N/A
DOCUMENTATION OF EMERGENCY ARRANGEMENTS: N/A
SHARPS HAZARD MANAGEMENT: N/A
AVAILABILITY OF HANDLING AIDS : N/A
LOAD EVALUATION : N/A
LOOKOUT DEPLOYMENT: N/A
DEAD WORK COMPLIANCE: N/A
DISTRACTION CONTROL: N/A
BANKSMAN DEPLOYMENT: N/A
PEDESTRIAN SEGREGATION: N/A
SPEED MANAGEMENT: N/A
</t>
  </si>
  <si>
    <t>["VEHICLE DAILY/WEEKLY/MONTHLY INSPECTIONS"]</t>
  </si>
  <si>
    <t xml:space="preserve">Exec Summary:
needs evidence of daily and weekly checks.
reviewing Ireland outstanding skilco upload with D Kale.
</t>
  </si>
  <si>
    <t>1616</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</si>
  <si>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0.3030767)16 Church View, Etchilhampton, Devizes SN10 3JL, UK
(51.341594699999995, -1.9346282)4 Quarry Rd, Sandford, Winscombe BS25 5RL, UK
(51.3270853, -2.8337573)18 John Hyrne Way, Costessey, Norwich NR5 0JT, UK
(52.6543509, 1.1819811)59 Deerdykes View, Westfield, Cumbernauld, Glasgow G68 9HN, UK
(55.929476699999995, -4.0495399999999995)Chester England CH4
United Kingdom
(53.162166582459406, -2.903553500554287)42 De Bawdrip Rd, Cardiff CF24 2TN, UK
(51.494146099999995, -3.1411547)Morton Park Way BMI, Woodlands Hospital, Darlington DL1 4PL, UK
(54.5205718, -1.5045182)Saint Brigid's Nursing Home, Blessington Rd, Crooksling, Saggart, Co. Dublin, Ireland
(53.255030899999994, -6.4451822)(51.8740923, -2.2746815)Tesco, Westwood, Broadstairs CT10 2QD, UK
(51.359241, 1.3978329999999999)Marsh Ln, Harlow CM17, UK
(51.791269077693855, 0.1519341883009577)Marsh Ln, Harlow CM17, UK
(51.791269077693855, 0.1519341883009577)Rosalind House, Jays Cl, Basingstoke RG22 4BS, UK
(51.246292999999994, -1.0960969)4 Quarry Rd, Sandford, Winscombe BS25 5RL, UK
(51.3270853, -2.8337573)19 Asylum Arch Rd, Redhill RH1 6GB, UK
(51.2236256, -0.1691318)64 Elizabeth Rd, West Bromwich B70 0EY, UK
(52.522076299999995, -2.0325588)Mill Farm House, Stalbridge Ln, Sturminster Newton DT10 2JQ, UK
(50.922198599999994, -2.314192)</t>
  </si>
  <si>
    <t>Site 11</t>
  </si>
  <si>
    <t>Wheat w2 site 11</t>
  </si>
  <si>
    <t>7928 High Branch</t>
  </si>
  <si>
    <t>["7928 : 56141 Joshua Boughen-Pearson","7928 : 56139 Sam Belcher"]</t>
  </si>
  <si>
    <t>08/04/2026 12:15</t>
  </si>
  <si>
    <t>12/04/2026 21:14</t>
  </si>
  <si>
    <t>["Plant &amp; Work Equipment","Vehicles","Environmental Best Practice","Utility Arboriculture (Electrical)"]</t>
  </si>
  <si>
    <t>0.3</t>
  </si>
  <si>
    <t>79.167</t>
  </si>
  <si>
    <t xml:space="preserve">NRMM COMPLIANCE: N/A
VIBRATION EXPOSURE MONITORING: N/A
NOISE MONITORING &amp; RECORDS: N/A
EQUIPMENT CALIBRATION: N/A
SECURE LOADS: N/A
LOAD CAPACITY: N/A
TRAILER COMPLIANCE: N/A
ECOLOGICAL ENHANCEMENTS: N/A
WORST-CASE TREE CONTROL: N/A
DEAD WORK COMPLIANCE: N/A
</t>
  </si>
  <si>
    <t>["PLANT &amp; EQUIPMENT DAILY/WEEKLY INSPECTIONS","VEHICLE DAILY/WEEKLY/MONTHLY INSPECTIONS"]</t>
  </si>
  <si>
    <t xml:space="preserve">Exec Summary:
well run site - no evidence of daily or weekly checks
</t>
  </si>
  <si>
    <t>1618</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</si>
  <si>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0.3030767)16 Church View, Etchilhampton, Devizes SN10 3JL, UK
(51.341594699999995, -1.9346282)4 Quarry Rd, Sandford, Winscombe BS25 5RL, UK
(51.3270853, -2.8337573)18 John Hyrne Way, Costessey, Norwich NR5 0JT, UK
(52.6543509, 1.1819811)59 Deerdykes View, Westfield, Cumbernauld, Glasgow G68 9HN, UK
(55.929476699999995, -4.0495399999999995)Chester England CH4
United Kingdom
(53.162166582459406, -2.903553500554287)42 De Bawdrip Rd, Cardiff CF24 2TN, UK
(51.494146099999995, -3.1411547)Morton Park Way BMI, Woodlands Hospital, Darlington DL1 4PL, UK
(54.5205718, -1.5045182)Saint Brigid's Nursing Home, Blessington Rd, Crooksling, Saggart, Co. Dublin, Ireland
(53.255030899999994, -6.4451822)(51.8740923, -2.2746815)Tesco, Westwood, Broadstairs CT10 2QD, UK
(51.359241, 1.3978329999999999)Marsh Ln, Harlow CM17, UK
(51.791269077693855, 0.1519341883009577)Marsh Ln, Harlow CM17, UK
(51.791269077693855, 0.1519341883009577)Rosalind House, Jays Cl, Basingstoke RG22 4BS, UK
(51.246292999999994, -1.0960969)4 Quarry Rd, Sandford, Winscombe BS25 5RL, UK
(51.3270853, -2.8337573)19 Asylum Arch Rd, Redhill RH1 6GB, UK
(51.2236256, -0.1691318)64 Elizabeth Rd, West Bromwich B70 0EY, UK
(52.522076299999995, -2.0325588)Mill Farm House, Stalbridge Ln, Sturminster Newton DT10 2JQ, UK
(50.922198599999994, -2.314192)4 Quarry Rd, Sandford, Winscombe BS25 5RL, UK
(51.3270853, -2.8337573)Church End Cottages, 1 Waterperry Rd, Oxford OX33 1PW, UK
(51.7492199, -1.1220146)</t>
  </si>
  <si>
    <t>Span 39</t>
  </si>
  <si>
    <t xml:space="preserve">Witt e7 </t>
  </si>
  <si>
    <t>6490 MJR Tree Works</t>
  </si>
  <si>
    <t>["6490 : 45999 Michael John Reeves","6490 : 53399 Joe Waite"]</t>
  </si>
  <si>
    <t>08/04/2026 09:58</t>
  </si>
  <si>
    <t>12/04/2026 21:10</t>
  </si>
  <si>
    <t>["Manual Handling","Risk Management","Emergency Arrangements","Vehicles","Plant &amp; Work Equipment","Utility Arboriculture (Electrical)","Woodchipper Use"]</t>
  </si>
  <si>
    <t>61</t>
  </si>
  <si>
    <t>63</t>
  </si>
  <si>
    <t xml:space="preserve">NRMM COMPLIANCE: N/A
NOISE MONITORING &amp; RECORDS: N/A
EQUIPMENT CALIBRATION: N/A
IGNITION SOURCES CONTROL: N/A
LONE WORKING LOGGING: N/A
SHARPS HAZARD MANAGEMENT: N/A
AVAILABILITY OF HANDLING AIDS : N/A
ROUTE AND ACCESS CLEARANCE: N/A
LOOKOUT DEPLOYMENT: N/A
DEAD WORK COMPLIANCE: N/A
</t>
  </si>
  <si>
    <t>["PLANT &amp; EQUIPMENT DAILY/WEEKLY INSPECTIONS","EXCLUSION ZONE","VEHICLE DAILY/WEEKLY/MONTHLY INSPECTIONS"]</t>
  </si>
  <si>
    <t xml:space="preserve">Exec Summary:
evidence of completion of daily checks needed 
team stated they were going to sort in Safety Culture
</t>
  </si>
  <si>
    <t>&lt;p&gt;&lt;a href="https&amp;#58;//apps.powerapps.com/play/2d567dc9-5d50-4629-a077-f7ccbff3e239?tenantId=3ef9f654-aa07-41b8-88ad-a411c62bd12c&amp;amp;Action=Open&amp;amp;Actionno=8837"&gt;replace men at work sign&lt;/a&gt;&lt;br&gt;&lt;/p&gt;</t>
  </si>
  <si>
    <t>1619</t>
  </si>
  <si>
    <t>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-2.487904080683762)Curniaghanstown
Slane Co. Meath C15 YN76
Ireland
(53.71215900000001, -6.627336000000001)1 Gors Rd, Burry Port SA16 0EL, UK
(51.6841799, -4.2506977)Chapel St, Orston, Nottingham NG13 9NL, UK
(52.9609193, -0.8566203)Brookside, Rearsby, Leicester LE7 4YB, UK
(52.724228, -1.0361345)A377, Crediton EX17 6AB, UK
(50.84615885603912, -3.794430282076118)Phoenixtown House, Oldtown, Bohermeen, Co. Meath, Ireland
(53.675949499999994, -6.8007721)8 West Ln, Sykehouse, Goole DN14 9BD, UK
(53.637683499999994, -1.0667377999999998)York England YO41
United Kingdom
(54.018259419257525, -0.9721370642902329)Waunbricks, St Clears, Carmarthen SA33 4NH, UK
(51.8296984, -4.4816631)Mahmood Ave, Farnham GU10, UK
(51.192869063630305, -0.7514306488015642)(52.713535, -1.4134797)31 Mill Ln, Hogsthorpe, Skegness PE24 5NL, UK
(53.2240134, 0.3030767)16 Church View, Etchilhampton, Devizes SN10 3JL, UK
(51.341594699999995, -1.9346282)4 Quarry Rd, Sandford, Winscombe BS25 5RL, UK
(51.3270853, -2.8337573)18 John Hyrne Way, Costessey, Norwich NR5 0JT, UK
(52.6543509, 1.1819811)59 Deerdykes View, Westfield, Cumbernauld, Glasgow G68 9HN, UK
(55.929476699999995, -4.0495399999999995)Chester England CH4
United Kingdom
(53.162166582459406, -2.903553500554287)42 De Bawdrip Rd, Cardiff CF24 2TN, UK
(51.494146099999995, -3.1411547)Morton Park Way BMI, Woodlands Hospital, Darlington DL1 4PL, UK
(54.5205718, -1.5045182)Saint Brigid's Nursing Home, Blessington Rd, Crooksling, Saggart, Co. Dublin, Ireland
(53.255030899999994, -6.4451822)(51.8740923, -2.2746815)Tesco, Westwood, Broadstairs CT10 2QD, UK
(51.359241, 1.3978329999999999)Marsh Ln, Harlow CM17, UK
(51.791269077693855, 0.1519341883009577)Marsh Ln, Harlow CM17, UK
(51.791269077693855, 0.1519341883009577)Rosalind House, Jays Cl, Basingstoke RG22 4BS, UK
(51.246292999999994, -1.0960969)4 Quarry Rd, Sandford, Winscombe BS25 5RL, UK
(51.3270853, -2.8337573)19 Asylum Arch Rd, Redhill RH1 6GB, UK
(51.2236256, -0.1691318)64 Elizabeth Rd, West Bromwich B70 0EY, UK
(52.522076299999995, -2.0325588)Mill Farm House, Stalbridge Ln, Sturminster Newton DT10 2JQ, UK
(50.922198599999994, -2.314192)4 Quarry Rd, Sandford, Winscombe BS25 5RL, UK
(51.3270853, -2.8337573)Church End Cottages, 1 Waterperry Rd, Oxford OX33 1PW, UK
(51.7492199, -1.1220146)Hill Grove Farm House, Dry Ln, Minster Lovell, Witney OX29 0NA, UK
(51.7974596, -1.5146136)</t>
  </si>
  <si>
    <t>&lt;p&gt;&lt;a href="https&amp;#58;//apps.powerapps.com/play/2d567dc9-5d50-4629-a077-f7ccbff3e239?tenantId=3ef9f654-aa07-41b8-88ad-a411c62bd12c&amp;amp;Action=Open&amp;amp;Actionno=8861"&gt;get fire extinguisher tested&lt;/a&gt;&lt;br&gt;&lt;/p&gt;</t>
  </si>
  <si>
    <t>1627</t>
  </si>
  <si>
    <t>4 Quarry Rd, Sandford, Winscombe BS25 5RL, UK
(51.3270853, -2.8337573)(51.3276496, -2.8330833)Ashington (Stop A), Westlea, Swindon SN5 7FN, UK
(51.558025, -1.8272519999999999)Diana Memorial Playground, Kensington Gardens, Broad Walk, London W2 4RU, UK
(51.5087072, -0.1878374)4 Quarry Rd, Sandford, Winscombe BS25 5RL, UK
(51.3270853, -2.8337573)Southampton SO15, UK
(50.915011, -1.4276201)Portsmouth PO6, UK
(50.8459298, -1.0714185)(50.9484887, -1.8416336)</t>
  </si>
  <si>
    <t>&lt;p&gt;&lt;a href="https&amp;#58;//apps.powerapps.com/play/2d567dc9-5d50-4629-a077-f7ccbff3e239?tenantId=3ef9f654-aa07-41b8-88ad-a411c62bd12c&amp;amp;Action=Open&amp;amp;Actionno=8862"&gt;trailer number plate needs changing to correct one&lt;/a&gt;&lt;br&gt;&lt;a href="https&amp;#58;//apps.powerapps.com/play/2d567dc9-5d50-4629-a077-f7ccbff3e239?tenantId=3ef9f654-aa07-41b8-88ad-a411c62bd12c&amp;amp;Action=Open&amp;amp;Actionno=8863"&gt;numberplate on trailer not matching 4x4&lt;/a&gt;&lt;br&gt;&lt;a href="https&amp;#58;//apps.powerapps.com/play/2d567dc9-5d50-4629-a077-f7ccbff3e239?tenantId=3ef9f654-aa07-41b8-88ad-a411c62bd12c&amp;amp;Action=Open&amp;amp;Actionno=8864"&gt;access to safety culture&lt;/a&gt;&lt;br&gt;&lt;a href="https&amp;#58;//apps.powerapps.com/play/2d567dc9-5d50-4629-a077-f7ccbff3e239?tenantId=3ef9f654-aa07-41b8-88ad-a411c62bd12c&amp;amp;Action=Open&amp;amp;Actionno=8865"&gt;No cert on site with will, later found one&lt;/a&gt;&lt;br&gt;&lt;/p&gt;</t>
  </si>
  <si>
    <t>1628</t>
  </si>
  <si>
    <t>4 Quarry Rd, Sandford, Winscombe BS25 5RL, UK
(51.3270853, -2.8337573)(51.3276496, -2.8330833)Ashington (Stop A), Westlea, Swindon SN5 7FN, UK
(51.558025, -1.8272519999999999)Diana Memorial Playground, Kensington Gardens, Broad Walk, London W2 4RU, UK
(51.5087072, -0.1878374)4 Quarry Rd, Sandford, Winscombe BS25 5RL, UK
(51.3270853, -2.8337573)Southampton SO15, UK
(50.915011, -1.4276201)Portsmouth PO6, UK
(50.8459298, -1.0714185)(50.9484887, -1.8416336)1 Common Gate, Chilmark, Salisbury SP3 5BN, UK
(51.0870804, -2.0459678)</t>
  </si>
  <si>
    <t>1629</t>
  </si>
  <si>
    <t>4 Quarry Rd, Sandford, Winscombe BS25 5RL, UK
(51.3270853, -2.8337573)(51.3276496, -2.8330833)Ashington (Stop A), Westlea, Swindon SN5 7FN, UK
(51.558025, -1.8272519999999999)Diana Memorial Playground, Kensington Gardens, Broad Walk, London W2 4RU, UK
(51.5087072, -0.1878374)4 Quarry Rd, Sandford, Winscombe BS25 5RL, UK
(51.3270853, -2.8337573)Southampton SO15, UK
(50.915011, -1.4276201)Portsmouth PO6, UK
(50.8459298, -1.0714185)(50.9484887, -1.8416336)1 Common Gate, Chilmark, Salisbury SP3 5BN, UK
(51.0870804, -2.0459678)Lakewood House, Bowerwood Rd, Fordingbridge SP6 3BP, UK
(50.9241336, -1.8058748999999996)</t>
  </si>
  <si>
    <t>&lt;p&gt;&lt;a href="https&amp;#58;//apps.powerapps.com/play/2d567dc9-5d50-4629-a077-f7ccbff3e239?tenantId=3ef9f654-aa07-41b8-88ad-a411c62bd12c&amp;amp;Action=Open&amp;amp;Actionno=8866"&gt;renew manual handling cert&lt;/a&gt;&lt;br&gt;&lt;/p&gt;</t>
  </si>
  <si>
    <t>1630</t>
  </si>
  <si>
    <t>4 Quarry Rd, Sandford, Winscombe BS25 5RL, UK
(51.3270853, -2.8337573)(51.3276496, -2.8330833)Ashington (Stop A), Westlea, Swindon SN5 7FN, UK
(51.558025, -1.8272519999999999)Diana Memorial Playground, Kensington Gardens, Broad Walk, London W2 4RU, UK
(51.5087072, -0.1878374)4 Quarry Rd, Sandford, Winscombe BS25 5RL, UK
(51.3270853, -2.8337573)Southampton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t>
  </si>
  <si>
    <t>&lt;p&gt;&lt;a href="https&amp;#58;//apps.powerapps.com/play/2d567dc9-5d50-4629-a077-f7ccbff3e239?tenantId=3ef9f654-aa07-41b8-88ad-a411c62bd12c&amp;amp;Action=Open&amp;amp;Actionno=8867"&gt;fire extingusher has gone off in bag&lt;/a&gt;&lt;br&gt;&lt;a href="https&amp;#58;//apps.powerapps.com/play/2d567dc9-5d50-4629-a077-f7ccbff3e239?tenantId=3ef9f654-aa07-41b8-88ad-a411c62bd12c&amp;amp;Action=Open&amp;amp;Actionno=8868"&gt;new 1st aid kit needed in may&lt;/a&gt;&lt;br&gt;&lt;a href="https&amp;#58;//apps.powerapps.com/play/2d567dc9-5d50-4629-a077-f7ccbff3e239?tenantId=3ef9f654-aa07-41b8-88ad-a411c62bd12c&amp;amp;Action=Open&amp;amp;Actionno=8869"&gt;access needed for safety culture&lt;/a&gt;&lt;br&gt;&lt;/p&gt;</t>
  </si>
  <si>
    <t>1631</t>
  </si>
  <si>
    <t>4 Quarry Rd, Sandford, Winscombe BS25 5RL, UK
(51.3270853, -2.8337573)(51.3276496, -2.8330833)Ashington (Stop A), Westlea, Swindon SN5 7FN, UK
(51.558025, -1.8272519999999999)Diana Memorial Playground, Kensington Gardens, Broad Walk, London W2 4RU, UK
(51.5087072, -0.1878374)4 Quarry Rd, Sandford, Winscombe BS25 5RL, UK
(51.3270853, -2.8337573)Southampton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t>
  </si>
  <si>
    <t>&lt;p&gt;&lt;a href="https&amp;#58;//apps.powerapps.com/play/2d567dc9-5d50-4629-a077-f7ccbff3e239?tenantId=3ef9f654-aa07-41b8-88ad-a411c62bd12c&amp;amp;Action=Open&amp;amp;Actionno=8870"&gt;2kg fire exingusher needed&lt;/a&gt;&lt;br&gt;&lt;/p&gt;</t>
  </si>
  <si>
    <t>1633</t>
  </si>
  <si>
    <t>4 Quarry Rd, Sandford, Winscombe BS25 5RL, UK
(51.3270853, -2.8337573)(51.3276496, -2.8330833)Ashington (Stop A), Westlea, Swindon SN5 7FN, UK
(51.558025, -1.8272519999999999)Diana Memorial Playground, Kensington Gardens, Broad Walk, London W2 4RU, UK
(51.5087072, -0.1878374)4 Quarry Rd, Sandford, Winscombe BS25 5RL, UK
(51.3270853, -2.8337573)Southampton SO15, UK
(50.915011, -1.4276201)Portsmouth PO6, UK
(50.8459298, -1.0714185)(50.9484887, -1.8416336)1 Common Gate, Chilmark, Salisbury SP3 5BN, UK
(51.0870804, -2.0459678)Lakewood House, Bowerwood Rd, Fordingbridge SP6 3BP, UK
(50.9241336, -1.8058748999999996)57 New Rd, Lower Bryanston, Blandford Forum DT11 0DR, UK
(50.855954399999995, -2.1828438)Middle Farm House, Down House Estate, Blandford St Mary, Blandford Forum DT11 9AD, UK
(50.840806099999995, -2.1905848999999997)A352, Dorchester DT2 7AZ, UK
(50.847582542460906, -2.487904080683762)</t>
  </si>
  <si>
    <t>Chas Dell</t>
  </si>
  <si>
    <t>Furness farm house</t>
  </si>
  <si>
    <t>["7186 : 52901 Dan Gilbert","7186 : 55464 kian gilbert","7186 : 55465 thomas price","7186 : 59799 luke williams"]</t>
  </si>
  <si>
    <t>22/04/2026 09:05</t>
  </si>
  <si>
    <t>22/04/2026 11:31</t>
  </si>
  <si>
    <t>["Plant &amp; Work Equipment","Training &amp; Competency","Vehicles","Risk Management","Emergency Arrangements","No Specialist Areas"]</t>
  </si>
  <si>
    <t>142</t>
  </si>
  <si>
    <t xml:space="preserve">PLANT &amp; EQUIPMENT MONTHLY INSPECTIONS: N/A
NRMM COMPLIANCE: N/A
</t>
  </si>
  <si>
    <t>["MANDATORY COMPETENCIES","VIBRATION EXPOSURE MONITORING"]</t>
  </si>
  <si>
    <t xml:space="preserve">Exec Summary:
Spoken to both teams in regards to completing the GC Elearning. 
Spoken to Kian in regards to missing certs. 
</t>
  </si>
  <si>
    <t xml:space="preserve">Witness Comments:
Good site visit with the teams. Needs some work on Skillko and fire extinguisher needs replacing. 
</t>
  </si>
  <si>
    <t>&lt;p&gt;&lt;a href="https&amp;#58;//apps.powerapps.com/play/2d567dc9-5d50-4629-a077-f7ccbff3e239?tenantId=3ef9f654-aa07-41b8-88ad-a411c62bd12c&amp;amp;Action=Open&amp;amp;Actionno=8890"&gt;Thomas price SKILKO&lt;/a&gt;&lt;br&gt;&lt;a href="https&amp;#58;//apps.powerapps.com/play/2d567dc9-5d50-4629-a077-f7ccbff3e239?tenantId=3ef9f654-aa07-41b8-88ad-a411c62bd12c&amp;amp;Action=Open&amp;amp;Actionno=8891"&gt;fite extinguisher&lt;/a&gt;&lt;br&gt;&lt;a href="https&amp;#58;//apps.powerapps.com/play/2d567dc9-5d50-4629-a077-f7ccbff3e239?tenantId=3ef9f654-aa07-41b8-88ad-a411c62bd12c&amp;amp;Action=Open&amp;amp;Actionno=8892"&gt;expiry dates&lt;/a&gt;&lt;br&gt;&lt;/p&gt;</t>
  </si>
  <si>
    <t>1642</t>
  </si>
  <si>
    <t>Unnamed Road, Ingatestone CM4 0EL, UK
(51.701812308372794, 0.4034248691531264)</t>
  </si>
  <si>
    <t>ROCK E5</t>
  </si>
  <si>
    <t>["3746 : 58756 Georgie Gough","3746 : 60065 Jantzen Bird","3746 : 52258 Christopher ''Billy'' Rhodes"]</t>
  </si>
  <si>
    <t>24/04/2026 11:18</t>
  </si>
  <si>
    <t>24/04/2026 11:24</t>
  </si>
  <si>
    <t>["Access arrangements","Utility Arboriculture (Electrical)"]</t>
  </si>
  <si>
    <t xml:space="preserve">Exec Summary:
Using SD to carry out compliance work
</t>
  </si>
  <si>
    <t>1653</t>
  </si>
  <si>
    <t>X549+J5, Fordingbridge SP6 3NF, UK
(50.956540399999994, -1.8321265999999996)</t>
  </si>
  <si>
    <t>1 3 4</t>
  </si>
  <si>
    <t>["3181 : 57524 Toby Panton","3181 : 59108 Alexander Lush","3181 : 59107 Antony Cook","3181 : 58115 Harry Woodcock"]</t>
  </si>
  <si>
    <t>24/04/2026 09:51</t>
  </si>
  <si>
    <t>24/04/2026 11:10</t>
  </si>
  <si>
    <t>["Plant &amp; Work Equipment","Site Environment","MEWP Use in tree work","Working at Height"]</t>
  </si>
  <si>
    <t>44</t>
  </si>
  <si>
    <t xml:space="preserve">NRMM COMPLIANCE: N/A
EQUIPMENT CALIBRATION: N/A
DUST NUISANCE: N/A
NOISE &amp; VIBRATION NUISANCE: N/A
LADDER CONDITION AND POSITIONING: N/A
SCAFFOLD INSTALLED / MODIFIED BY COMPETENT PERSON: N/A
EDGE PROTECTION ON NON-PLATFORM SURFACES: N/A
OBJECT FALL PREVENTION IN PLACE: N/A
FRAGILE SURFACES IDENTIFIED &amp; PROTECTED: N/A
</t>
  </si>
  <si>
    <t xml:space="preserve">Exec Summary:
A good use of the WFH assessment to carry out the required work
</t>
  </si>
  <si>
    <t>1654</t>
  </si>
  <si>
    <t>X549+J5, Fordingbridge SP6 3NF, UK
(50.956540399999994, -1.8321265999999996)Fleur Cottage, The Terrace, Rockbourne, Fordingbridge SP6 3NE, UK
(50.95839, -1.834585)</t>
  </si>
  <si>
    <t xml:space="preserve">CHIN E1 </t>
  </si>
  <si>
    <t>["7928 : 56139 Sam Belcher","7928 : 56141 Joshua Boughen-Pearson"]</t>
  </si>
  <si>
    <t>27/04/2026 11:52</t>
  </si>
  <si>
    <t>27/04/2026 11:56</t>
  </si>
  <si>
    <t>["Planning &amp; Setting to work","Utility Arboriculture (Electrical)"]</t>
  </si>
  <si>
    <t>3.8</t>
  </si>
  <si>
    <t xml:space="preserve">LIFTING PLANS: N/A
QUALITY PLANS: N/A
CONSTRUCTION PHASE PLAN (CPP): N/A
TEMPORARY WORKS PLANNING: N/A
TRAFFIC MANAGEMENT PLAN: N/A
</t>
  </si>
  <si>
    <t xml:space="preserve">Exec Summary:
Works carried out under HV shutdown with Live LV network. Team correctly identified live and vicinity zones and planned access to trees to avoid live network
</t>
  </si>
  <si>
    <t>1657</t>
  </si>
  <si>
    <t>5 Worcester Rd, Chipping Norton OX7 5XT, UK
(51.940283, -1.5619572)</t>
  </si>
  <si>
    <t>Nottingham~</t>
  </si>
  <si>
    <t>88EAH3</t>
  </si>
  <si>
    <t>3913 WRS Tree Services Ltd</t>
  </si>
  <si>
    <t>["3913 : 8042 William Rawson","3913 : 57414 Alexander Bawcutt"]</t>
  </si>
  <si>
    <t>28/04/2026 11:33</t>
  </si>
  <si>
    <t>28/04/2026 12:16</t>
  </si>
  <si>
    <t>["PPE Standards","All Core H&amp;S Requirements","Use of Long Reach Tools","Utility Arboriculture (Electrical)"]</t>
  </si>
  <si>
    <t>106</t>
  </si>
  <si>
    <t>94.34</t>
  </si>
  <si>
    <t xml:space="preserve">SITE INDUCTION: N/A
FAULT REPORTING: N/A
NRMM COMPLIANCE: N/A
EXCLUSION ZONE: N/A
NOISE MONITORING &amp; RECORDS: N/A
DRIVER QUALIFICATIONS: N/A
GC VALUES: N/A
WASTE REMOVAL &amp; STORAGE: N/A
LONE WORKING LOGGING: N/A
DOCUMENTATION OF EMERGENCY ARRANGEMENTS: N/A
SHARPS HAZARD MANAGEMENT: N/A
SHARPS REPORTING: N/A
HAVS RISK: N/A
HAVS AWARENESS: N/A
TOILET ACCESS: N/A
WASHING FACILITIES: N/A
DOCUMENTATION CHECK: N/A
AVAILABILITY OF HANDLING AIDS : N/A
ROUTE AND ACCESS CLEARANCE: N/A
LIFTING PLANS: N/A
QUALITY PLANS: N/A
CONSTRUCTION PHASE PLAN (CPP): N/A
PERMIT REQUIREMENTS IDENTIFIED: N/A
TEMPORARY WORKS PLANNING: N/A
INTERFACE &amp; COORDINATION PLANNING: N/A
TRAFFIC MANAGEMENT PLAN: N/A
PROGRAMME &amp; SEQUENCING: N/A
HEADS UP: N/A
LONE WORKING: N/A
SAFETYCULTURE ACTIONS: N/A
DEAD WORK COMPLIANCE: N/A
SAFE ADJUSTMENT PRACTICES: N/A
</t>
  </si>
  <si>
    <t>["PLANT &amp; EQUIPMENT DAILY/WEEKLY INSPECTIONS","PLANT &amp; EQUIPMENT MONTHLY INSPECTIONS","EMERGENCY EQUIPMENT","VEHICLE DAILY/WEEKLY/MONTHLY INSPECTIONS","FIRST AID KIT","GC-ERK BAG"]</t>
  </si>
  <si>
    <t xml:space="preserve">Exec Summary:
Focus on checksheets and first aid requirements
</t>
  </si>
  <si>
    <t>1659</t>
  </si>
  <si>
    <t>Lodge Cottage, Stocking Ln, East Leake, Loughborough LE12 5RL, UK</t>
  </si>
  <si>
    <t>At depot</t>
  </si>
  <si>
    <t>2730 Cliff Tree Services Ian</t>
  </si>
  <si>
    <t>["2730 : 1817 Iain Edgar","2730 : 1822 Adam Harrowing"]</t>
  </si>
  <si>
    <t>29/04/2026 09:24</t>
  </si>
  <si>
    <t>29/04/2026 09:38</t>
  </si>
  <si>
    <t>["Vehicles","Training &amp; Competency","Utility Arboriculture (Electrical)"]</t>
  </si>
  <si>
    <t xml:space="preserve">SITE INDUCTION: N/A
DRIVER QUALIFICATIONS: N/A
SECURE LOADS: N/A
LOAD CAPACITY: N/A
TRAILER COMPLIANCE: N/A
SITE ELECTRICAL CATEGORISATION: N/A
WORST-CASE TREE CONTROL: N/A
INSULATED TOOL USE: N/A
LOOKOUT DEPLOYMENT: N/A
DEAD WORK COMPLIANCE: N/A
WEATHER IMPACT ASSESSMENT: N/A
NETWORK OPERATOR RULE COMPLIANCE: N/A
</t>
  </si>
  <si>
    <t>1663</t>
  </si>
  <si>
    <t>White Cottage, High St, Harmston, Lincoln LN5 9SN, UK</t>
  </si>
  <si>
    <t>J48c sd3</t>
  </si>
  <si>
    <t>J48c</t>
  </si>
  <si>
    <t>29/04/2026 09:43</t>
  </si>
  <si>
    <t>29/04/2026 11:22</t>
  </si>
  <si>
    <t>["Plant &amp; Work Equipment","Risk Management","Emergency Arrangements","No Specialist Areas"]</t>
  </si>
  <si>
    <t>97.619</t>
  </si>
  <si>
    <t>["VIBRATION EXPOSURE MONITORING"]</t>
  </si>
  <si>
    <t xml:space="preserve">Exec Summary:
Good site management 
Couple of actions raised to address asap
</t>
  </si>
  <si>
    <t>&lt;p&gt;&lt;a href="https&amp;#58;//apps.powerapps.com/play/2d567dc9-5d50-4629-a077-f7ccbff3e239?tenantId=3ef9f654-aa07-41b8-88ad-a411c62bd12c&amp;amp;Action=Open&amp;amp;Actionno=9092"&gt;risk assessment template&lt;/a&gt;&lt;br&gt;&lt;a href="https&amp;#58;//apps.powerapps.com/play/2d567dc9-5d50-4629-a077-f7ccbff3e239?tenantId=3ef9f654-aa07-41b8-88ad-a411c62bd12c&amp;amp;Action=Open&amp;amp;Actionno=9093"&gt;mewp loler&lt;/a&gt;&lt;br&gt;&lt;/p&gt;</t>
  </si>
  <si>
    <t>1664</t>
  </si>
  <si>
    <t>1 Lane End Cottages, Dale Hill, Kirby le Soken, Thorpe-le-Soken, Frinton-on-Sea CO13 0EL, UK</t>
  </si>
  <si>
    <t>NA</t>
  </si>
  <si>
    <t>29/04/2026 09:39</t>
  </si>
  <si>
    <t>29/04/2026 09:56</t>
  </si>
  <si>
    <t xml:space="preserve">WORK AT HEIGHT / GROUND DISTURBANCE CONTROLS: N/A
ENVIRONMENTAL CONTROLS: N/A
PERMIT &amp; PROCEDURE COMPLIANCE: N/A
SUBCONTRACTOR MANAGEMENT: N/A
TOOLBOX TALKS &amp; BRIEFINGS: N/A
WORKER ENGAGEMENT: N/A
REPORTING &amp; LEARNING: N/A
RISK 1 CONTROLS: N/A
</t>
  </si>
  <si>
    <t>1665</t>
  </si>
  <si>
    <t>1 Lane End Cottages, Dale Hill, Kirby le Soken, Thorpe-le-Soken, Frinton-on-Sea CO13 0EL, UKWhite Cottage, High St, Harmston, Lincoln LN5 9SN, UK</t>
  </si>
  <si>
    <t>B50C Live work</t>
  </si>
  <si>
    <t>29/04/2026 13:58</t>
  </si>
  <si>
    <t>29/04/2026 14:22</t>
  </si>
  <si>
    <t>["Engagements &amp; Values","Environmental Best Practice","Aerial Tree Work","Use of Long Reach Tools"]</t>
  </si>
  <si>
    <t>88.462</t>
  </si>
  <si>
    <t xml:space="preserve">ECOLOGICAL ENHANCEMENTS: N/A
</t>
  </si>
  <si>
    <t xml:space="preserve">Exec Summary:
Good quality work and presented team. 
Climbing was best way to conduct the work 
</t>
  </si>
  <si>
    <t>1668</t>
  </si>
  <si>
    <t>Unnamed Road, Huntingdon PE28 4JX, UK</t>
  </si>
  <si>
    <t xml:space="preserve">E69D live work </t>
  </si>
  <si>
    <t>30/04/2026 10:59</t>
  </si>
  <si>
    <t>30/04/2026 11:25</t>
  </si>
  <si>
    <t>["Engagements &amp; Values","Site Environment","Behaviour","Ground Based Chainsaw","Use of Long Reach Tools"]</t>
  </si>
  <si>
    <t xml:space="preserve">DUST NUISANCE: N/A
NOISE &amp; VIBRATION NUISANCE: N/A
FELLING TECHNIQUE SELECTION: N/A
</t>
  </si>
  <si>
    <t xml:space="preserve">Exec Summary:
Good standards, working safely and to contract spec
</t>
  </si>
  <si>
    <t>1682</t>
  </si>
  <si>
    <t>The Granary Workshops, Long Dolver Drove, Soham, ELY CB7 5UP, UK</t>
  </si>
  <si>
    <t>1684</t>
  </si>
  <si>
    <t>E20A Live</t>
  </si>
  <si>
    <t>E20A</t>
  </si>
  <si>
    <t>30/04/2026 13:54</t>
  </si>
  <si>
    <t>30/04/2026 15:04</t>
  </si>
  <si>
    <t>["Plant &amp; Work Equipment","Vehicles","Training &amp; Competency","Working at Height"]</t>
  </si>
  <si>
    <t>97.5</t>
  </si>
  <si>
    <t xml:space="preserve">SITE INDUCTION: N/A
NRMM COMPLIANCE: N/A
VIBRATION EXPOSURE MONITORING: N/A
EQUIPMENT CALIBRATION: N/A
SAFE WORKING PLATFORM: N/A
MEWP SAFETY MEASURES: N/A
FALL ARREST / RESTRAINT SYSTEMS IN PLACE: N/A
SCAFFOLD ERECTION: N/A
EDGE PROTECTION: N/A
FRAGILE SURFACES: N/A
</t>
  </si>
  <si>
    <t>["FAULT REPORTING"]</t>
  </si>
  <si>
    <t xml:space="preserve">Exec Summary:
Team showing great work methods and ethics. Safety is being considered in all tasks. 
New chipper and truck require wheel nut indicators which are on order
</t>
  </si>
  <si>
    <t>&lt;p&gt;&lt;a href="https&amp;#58;//apps.powerapps.com/play/2d567dc9-5d50-4629-a077-f7ccbff3e239?tenantId=3ef9f654-aa07-41b8-88ad-a411c62bd12c&amp;amp;Action=Open&amp;amp;Actionno=9110"&gt;Wheel nut indicators missing&lt;/a&gt;&lt;br&gt;&lt;a href="https&amp;#58;//apps.powerapps.com/play/2d567dc9-5d50-4629-a077-f7ccbff3e239?tenantId=3ef9f654-aa07-41b8-88ad-a411c62bd12c&amp;amp;Action=Open&amp;amp;Actionno=9111"&gt;Wheel nut indicators missing&lt;/a&gt;&lt;br&gt;&lt;a href="https&amp;#58;//apps.powerapps.com/play/2d567dc9-5d50-4629-a077-f7ccbff3e239?tenantId=3ef9f654-aa07-41b8-88ad-a411c62bd12c&amp;amp;Action=Open&amp;amp;Actionno=9112"&gt;Wheel Nut Indicator&lt;/a&gt;&lt;br&gt;&lt;/p&gt;</t>
  </si>
  <si>
    <t>1686</t>
  </si>
  <si>
    <t>Breydon ,Acre Road,, Carlton, Newmarket CB8 9LF, UK</t>
  </si>
  <si>
    <t>PARH E2</t>
  </si>
  <si>
    <t>30/04/2026 20:00</t>
  </si>
  <si>
    <t>30/04/2026 20:12</t>
  </si>
  <si>
    <t>["Risk Management","Working on Highways"]</t>
  </si>
  <si>
    <t xml:space="preserve">Exec Summary:
While carrying out SD work on highways at night we discussed the importance of hi viz, hazard warning lights, chapter eight and good comms 
</t>
  </si>
  <si>
    <t>1689</t>
  </si>
  <si>
    <t>The Clock House, Parkhouse Mews, Cholderton, Shipton Bellinger, Salisbury SP4 0ET, UK</t>
  </si>
  <si>
    <t>POLE RESULTS — PARSED QUALITY DATA</t>
  </si>
  <si>
    <t>Auto-generated from Data - Post-Cut Quality via Power Query. Each row = one pole assessed for one team. Refresh monthly: Data → Refresh All after pasting new quality data. Monthly Matrix quality scores draw directly from this sheet.</t>
  </si>
  <si>
    <t>⚠  DO NOT edit this sheet manually. All content below row 12 is overwritten every time the script runs. Any manual changes will be lost.</t>
  </si>
  <si>
    <t>NORMAL MONTHLY USE — ONE CLICK TO REFRESH</t>
  </si>
  <si>
    <t>After pasting new data into the Data - Post-Cut Quality tab:  click the Data ribbon at the top of Excel  →  click Refresh All.  This sheet updates automatically. No other action needed.</t>
  </si>
  <si>
    <t>FIRST-TIME SETUP — complete once only. Not needed for routine monthly use.</t>
  </si>
  <si>
    <t>Step 1</t>
  </si>
  <si>
    <t>In Excel click the Data ribbon → Get Data → Launch Power Query Editor. In the left-hand panel look for a query named "PoleResults". If it exists, setup is already done — close the editor and use Refresh All monthly.</t>
  </si>
  <si>
    <t>Step 2</t>
  </si>
  <si>
    <t>If no PoleResults query exists: in Power Query Editor click New Source → Blank Query. Then click Advanced Editor in the top ribbon. Delete all text in the editor.</t>
  </si>
  <si>
    <t>Step 3</t>
  </si>
  <si>
    <t>Go to the PQ_Code sheet in this workbook. Copy all text in cell A3. Paste it into the Advanced Editor. Click Done. Right-click the new query in the left panel and rename it "PoleResults".</t>
  </si>
  <si>
    <t>Step 4</t>
  </si>
  <si>
    <t>In the Power Query Home ribbon click Close &amp; Load To. Select Existing worksheet, navigate to this Pole Results tab, cell A13. Click Load. Setup is complete. Use Data → Refresh All each month from this point forward.</t>
  </si>
  <si>
    <t>DATA — auto-refreshed from Data - Post-Cut Quality tab via Power Query</t>
  </si>
  <si>
    <t>Inspection Date</t>
  </si>
  <si>
    <t>Pole Reference</t>
  </si>
  <si>
    <t>Result Detail</t>
  </si>
  <si>
    <t>Source Row</t>
  </si>
  <si>
    <t>311399-311402-311403-311404-311405-311406</t>
  </si>
  <si>
    <t>311669</t>
  </si>
  <si>
    <t>JDC12B</t>
  </si>
  <si>
    <t>Cut Not Compliant with BS3998</t>
  </si>
  <si>
    <t>Non-Compliant</t>
  </si>
  <si>
    <t>JDC11</t>
  </si>
  <si>
    <t>2119800175</t>
  </si>
  <si>
    <t>JDCA4</t>
  </si>
  <si>
    <t>JDCA5</t>
  </si>
  <si>
    <t>2121500060</t>
  </si>
  <si>
    <t>437805</t>
  </si>
  <si>
    <t>424378</t>
  </si>
  <si>
    <t>25 I-Green Ltd</t>
  </si>
  <si>
    <t>1234</t>
  </si>
  <si>
    <t>3212</t>
  </si>
  <si>
    <t>Not Cut to Consent</t>
  </si>
  <si>
    <t>9876</t>
  </si>
  <si>
    <t>Climbing Vegetation</t>
  </si>
  <si>
    <t>JDCE8</t>
  </si>
  <si>
    <t>Limited Cuts Recorded</t>
  </si>
  <si>
    <t>JDCE6</t>
  </si>
  <si>
    <t>JDCF11</t>
  </si>
  <si>
    <t>2127450030</t>
  </si>
  <si>
    <t>2127450060</t>
  </si>
  <si>
    <t>2127450070</t>
  </si>
  <si>
    <t>FIELD TEAM RISK MATRIX - HISTORICAL SCORE LOG</t>
  </si>
  <si>
    <t>At month end: copy Composite Score (col U) from Monthly Matrix rows 4-76. Paste as VALUES ONLY (not formulas) into the correct month column below — rows 5-77. Col W is a rank tiebreaker and must NOT be used here. Trend column (P) and 12-month average (O) update automatically.</t>
  </si>
  <si>
    <t>COMPOSITE RISK SCORE (1–5)  —  paste values from Monthly Matrix col U at month end</t>
  </si>
  <si>
    <t>SUMMARY</t>
  </si>
  <si>
    <t>Apr 2026</t>
  </si>
  <si>
    <t>May 2026</t>
  </si>
  <si>
    <t>Jun 2026</t>
  </si>
  <si>
    <t>Jul 2026</t>
  </si>
  <si>
    <t>Aug 2026</t>
  </si>
  <si>
    <t>Sep 2026</t>
  </si>
  <si>
    <t>Oct 2026</t>
  </si>
  <si>
    <t>Nov 2026</t>
  </si>
  <si>
    <t>Dec 2026</t>
  </si>
  <si>
    <t>Jan 2027</t>
  </si>
  <si>
    <t>Feb 2027</t>
  </si>
  <si>
    <t>Mar 2027</t>
  </si>
  <si>
    <t>12-Mo Avg</t>
  </si>
  <si>
    <t>Trend</t>
  </si>
  <si>
    <t>TOTAL</t>
  </si>
  <si>
    <t>Portfolio Total (all teams)</t>
  </si>
  <si>
    <t xml:space="preserve">-- </t>
  </si>
  <si>
    <t>IMPROVEMENT PLAN &amp; ACTION LOG 2026-27</t>
  </si>
  <si>
    <t>HIGH-risk teams auto-populate and rank by composite score. Complete manually: Root Cause / Issue | Action Required | Target Date | Date Closed. SLA: improvement plan entries within 5 working days of month end for all HIGH teams. Major event teams: immediate entry — do not wait for month end. PM site visits: 3x per week for HIGH teams until 4 consecutive months at LOW. Team drops to blank here when it exits HIGH — archive completed rows monthly.</t>
  </si>
  <si>
    <t>Ref</t>
  </si>
  <si>
    <t>Date Raised</t>
  </si>
  <si>
    <t>Trigger Month</t>
  </si>
  <si>
    <t>Major Event?</t>
  </si>
  <si>
    <t>Root Cause / Issue</t>
  </si>
  <si>
    <t>Action Required</t>
  </si>
  <si>
    <t>Target Date</t>
  </si>
  <si>
    <t>Date Closed</t>
  </si>
  <si>
    <t>4-wk LOW count</t>
  </si>
  <si>
    <t>Plan Closed?</t>
  </si>
  <si>
    <t>FIELD TEAM AUDIT &amp; VISIT SCHEDULE 2026-27</t>
  </si>
  <si>
    <t>HIGH and MEDIUM teams auto-populate ranked by composite score — HIGH teams first. Visit cadence: HIGH = 3x PM site visits per week | MEDIUM = weekly PM check-in | LOW = standard cadence. Complete manually: Planned Date | Actual Date | Conducted By | Findings | Status. Update Status to "Completed" once the visit is done — feeds Dashboard audit completion rate. Teams exit automatically when they drop below MEDIUM.</t>
  </si>
  <si>
    <t>Current RAG</t>
  </si>
  <si>
    <t>Visit Type</t>
  </si>
  <si>
    <t>Planned Date</t>
  </si>
  <si>
    <t>Actual Date</t>
  </si>
  <si>
    <t>Conducted By</t>
  </si>
  <si>
    <t>Findings</t>
  </si>
  <si>
    <t>FIELD TEAM REPRESENTATIVES - MEETING RECORD 2026</t>
  </si>
  <si>
    <t>2 meetings per year minimum. Actions distributed to all FT reps and wider Field Teams within 5 working days.</t>
  </si>
  <si>
    <t>MEETING 1 - 2026</t>
  </si>
  <si>
    <t>Date:</t>
  </si>
  <si>
    <t>Location / Format:</t>
  </si>
  <si>
    <t>Chair:</t>
  </si>
  <si>
    <t>Attendees:</t>
  </si>
  <si>
    <t>Apologies:</t>
  </si>
  <si>
    <t>ACTION LOG</t>
  </si>
  <si>
    <t>#</t>
  </si>
  <si>
    <t>Action</t>
  </si>
  <si>
    <t>Owner</t>
  </si>
  <si>
    <t>Due Date</t>
  </si>
  <si>
    <t>Shared?</t>
  </si>
  <si>
    <t>Open</t>
  </si>
  <si>
    <t>Distribute actions to all FT reps AND wider FT population within 5 working days. Update Shared? = YES once done.</t>
  </si>
  <si>
    <t>MEETING 2 - 2026</t>
  </si>
  <si>
    <t>MONTHLY DATA IMPORT GUIDE</t>
  </si>
  <si>
    <t>Complete in order at the start of each scoring month. All data tabs must be updated before the matrix is presented to SOMs. Target: complete by working day 5. Steps: (1) Paste Skillko — delete from row 5 first. (2) Append HSQE Events below last row. (3) Append Post-Cut Quality below last row. (4) Click Data → Refresh All — Pole Results updates automatically. (5) Set Dashboard date range: N1 = start, O1 = end. (6) Check Monthly Matrix — HIGH teams must have Action Log entries. (7) Month end only: copy col U rows 4-76 from Monthly Matrix, paste as VALUES into Historical Scores correct month column rows 5-77.</t>
  </si>
  <si>
    <t>DATA SOURCES OVERVIEW</t>
  </si>
  <si>
    <t>Where to get it</t>
  </si>
  <si>
    <t>Paste into tab</t>
  </si>
  <si>
    <t>Key columns</t>
  </si>
  <si>
    <t>Skillko operatives + compliance</t>
  </si>
  <si>
    <t>Skillko BI export - run twice: Utility Arboriculture + ESB</t>
  </si>
  <si>
    <t>Data - Skillko</t>
  </si>
  <si>
    <t>All columns as exported. Keep all rows including Total rows.</t>
  </si>
  <si>
    <t>HSQE Events (all Impact levels)</t>
  </si>
  <si>
    <t>HSQE Tracker 2 SharePoint list - export CSV filtered to current month + Utilities</t>
  </si>
  <si>
    <t>Data - HSQE Events</t>
  </si>
  <si>
    <t>DE/FT Name (col 22) | Impact (col 18) | Reported By (col 8) as fallback. Paste full 47-column export - do not reorder columns.</t>
  </si>
  <si>
    <t>Post-Cut Quality Fails</t>
  </si>
  <si>
    <t>Post-cut quality SharePoint list - export filtered to current month</t>
  </si>
  <si>
    <t>Data - Post-Cut Quality</t>
  </si>
  <si>
    <t>FT On Site (col E) | Pole Result (col F) - non-compliant values counted</t>
  </si>
  <si>
    <t>STEP 1 - UPDATE SCORING MONTH</t>
  </si>
  <si>
    <t>Go to Monthly Matrix tab. Click cell AC3. Change to 1st of the month being scored e.g. 01/05/2026</t>
  </si>
  <si>
    <t>All tab headers and historical score columns reference this date automatically</t>
  </si>
  <si>
    <t>STEP 2 - PASTE SKILLKO DATA</t>
  </si>
  <si>
    <t>2.1</t>
  </si>
  <si>
    <t>Export from Skillko BI filtered to Utility Arboriculture. Export again for ESB</t>
  </si>
  <si>
    <t>Go to Data - Skillko tab. Delete all data from row 5 downwards</t>
  </si>
  <si>
    <t>Paste both exports - Utility Arboriculture first, ESB below. Keep all rows including Total and course rows</t>
  </si>
  <si>
    <t>Operative counts and Skillko % in Monthly Matrix update automatically</t>
  </si>
  <si>
    <t>Check Field Teams tab col H - operative counts should refresh. Flag any teams showing 0 that should have operatives</t>
  </si>
  <si>
    <t>STEP 3 - PASTE HSQE EVENTS DATA</t>
  </si>
  <si>
    <t>3.1</t>
  </si>
  <si>
    <t>Go to HSQE Tracker 2 in SharePoint. Filter list to: current month + Utilities subdivisions</t>
  </si>
  <si>
    <t>Export as CSV. Open the CSV</t>
  </si>
  <si>
    <t>3.3</t>
  </si>
  <si>
    <t>Go to Data - HSQE Events tab. Find the first empty row in column A below all existing data. Click that cell. Paste. Do NOT delete previous months - this tab is a rolling annual log.</t>
  </si>
  <si>
    <t>3.4</t>
  </si>
  <si>
    <t>Paste the full CSV export without removing or reordering columns. The tab now accepts all 47 columns as exported from SharePoint. Do NOT paste just selected columns - the matrix uses col 22 (DE/FT Name) and col 18 (Impact).</t>
  </si>
  <si>
    <t>Monthly Matrix counts Opportunity (G1) | Minor (G2) | Moderate + Major (G3+) per team. Team matching uses CONTAINS logic - prefix numbers (e.g. '7186 Eastwoodbury...') are handled automatically. Where DE/FT Name is blank, Reported By column is used as fallback.</t>
  </si>
  <si>
    <t>3.6</t>
  </si>
  <si>
    <t>Any team with a Major impact event will show YES in col M of Monthly Matrix and be forced to HIGH automatically. Immediate escalation required - do not wait for month-end review.</t>
  </si>
  <si>
    <t>STEP 4 - PASTE POST-CUT QUALITY DATA</t>
  </si>
  <si>
    <t>4.1</t>
  </si>
  <si>
    <t>Export post-cut quality inspection list filtered to current month</t>
  </si>
  <si>
    <t>Go to Data - Post-Cut Quality tab. Delete all data from row 5 downwards</t>
  </si>
  <si>
    <t>4.3</t>
  </si>
  <si>
    <t>Paste export. Ensure FT On Site is in col E and Pole Result is in col F</t>
  </si>
  <si>
    <t>Matrix counts non-compliant Pole Result values per team using wildcard match on FT On Site</t>
  </si>
  <si>
    <t>4.5</t>
  </si>
  <si>
    <t>Non-compliant values counted: Not Cut to Consent | Cut Not Compliant with BS3998 | Limited Cuts Recorded | Climbing Vegetation</t>
  </si>
  <si>
    <t>Column structure to be confirmed once export format is available - update this guide when confirmed</t>
  </si>
  <si>
    <t>STEP 6 - REVIEW MATRIX AND DASHBOARD</t>
  </si>
  <si>
    <t>6.1</t>
  </si>
  <si>
    <t>Go to Monthly Matrix. Check col M - any YES in Major Event column requires immediate escalation</t>
  </si>
  <si>
    <t>In col Y (Prev Score): paste VALUES from last month's col W composite scores</t>
  </si>
  <si>
    <t>6.3</t>
  </si>
  <si>
    <t>Check col AB - YES entries require improvement plans in Action Log within 5 working days</t>
  </si>
  <si>
    <t>Go to Dashboard - check both alert banners at top. Share Dashboard with SOMs before monthly review meeting</t>
  </si>
  <si>
    <t>6.5</t>
  </si>
  <si>
    <t>For HIGH-risk teams: confirm improvement plans raised in Action Log and PM visit schedule activated</t>
  </si>
  <si>
    <t>STEP 7 - SAVE HISTORICAL RECORD</t>
  </si>
  <si>
    <t>7.1</t>
  </si>
  <si>
    <t>Go to Historical Scores tab. Copy col W from Monthly Matrix (composite scores)</t>
  </si>
  <si>
    <t>7.2</t>
  </si>
  <si>
    <t>Find correct month column e.g. May 2026. Paste as VALUES only - not formulas</t>
  </si>
  <si>
    <t>7.3</t>
  </si>
  <si>
    <t>Save dated archive copy: FT_Risk_Matrix_May2026.xlsx - this is your audit record</t>
  </si>
  <si>
    <t>7.4</t>
  </si>
  <si>
    <t>Overwrite live version as: FT_Risk_Matrix_Tracker_2026.xlsx</t>
  </si>
  <si>
    <t>SCORING METHODOLOGY - QUICK REFERENCE</t>
  </si>
  <si>
    <t>HOW THE COMPOSITE SCORE WORKS</t>
  </si>
  <si>
    <t>Four scored metrics: Amber Alerts (weight 18) + Red Alerts (weight 6) + Skillko Compliance (weight 8) + Post-Cut Quality defect rate (weight 7). Total weight = 39. Composite = weighted average (1–5). Two override rules apply regardless of composite: (1) Major event forces AUTO HIGH. (2) Amber score ≥8 (team submitting &lt;20% of monthly target) forces AUTO HIGH.</t>
  </si>
  <si>
    <t>Post-Cut Quality is scored as a defect rate from the Pole Results sheet: non-compliant poles / total poles assessed × 10, capped at 10. If no poles assessed in the period, quality score = 0 (no penalty for no data). Red Alert score = MAX(minor sub-score, moderate/major sub-score): each Minor = +0.8 above baseline 1, capped at 5, each Moderate/Major = 5pts, both capped at 10.</t>
  </si>
  <si>
    <t>METRIC SCORING DETAIL</t>
  </si>
  <si>
    <t>Grade 1 - Opportunity (proactive ambers)</t>
  </si>
  <si>
    <t>Target: operative count × 2 per month. Score = MAX(0,(target−actual)/target×10). Zero ambers raised = score 1.0 (1 star — team not reporting). Meeting target exactly = score 5.0 (5 stars). Weight 18 - highest weighted metric.</t>
  </si>
  <si>
    <t>Red Alerts (Minor)</t>
  </si>
  <si>
    <t>Target: 0. Each Minor event = 2 risk points, capped at 10. E.g. 4 Minor events = score 4.2. 5+ = score 5.0.</t>
  </si>
  <si>
    <t>Red Alerts (Moderate/Major)</t>
  </si>
  <si>
    <t>Target: 0. Each Moderate/Major event = 5 risk points, capped at 10. E.g. 2 Moderate events = score 10. Combined Red Alert Score = MAX(Minor sub-score, Mod/Maj sub-score).</t>
  </si>
  <si>
    <t>Any Major impact event forces the team to HIGH regardless of composite score. Appears as YES in Monthly Matrix col M. Immediate escalation - do not wait for month end.</t>
  </si>
  <si>
    <t>Target: 100%. Score = (1 − actual%) × 4 + 1, range 1–5. E.g. 70% compliance = score 2.2. Operative count and compliance % pull automatically from Data - Skillko tab.</t>
  </si>
  <si>
    <t>Close-out Rate (amber alerts) | Monthly Matrix col AG. Resolved ambers / total ambers × 100. Info only - not scored. Target 100%. Below 80% = SOM/CDM review not keeping pace.</t>
  </si>
  <si>
    <t>AMBER REPORTING TARGET</t>
  </si>
  <si>
    <t>How the target is calculated</t>
  </si>
  <si>
    <t>Amber target = operative count × 2. Operative count comes from Skillko - counted as person-level rows (Job Role = Total) excluding company-named entries. Updates automatically each month when Skillko data is pasted.</t>
  </si>
  <si>
    <t>LATENT RISK FLOOR RULE</t>
  </si>
  <si>
    <t>RISK BANDS</t>
  </si>
  <si>
    <t>LOW risk (3.25 – 5.0 ★★★ to ★★★★★)</t>
  </si>
  <si>
    <t>Standard PM cadence. No mandatory improvement plan.</t>
  </si>
  <si>
    <t>MEDIUM risk (2.75 – 3.24 ★★ to ★★★)</t>
  </si>
  <si>
    <t>Weekly PM check-in. Coaching to be initiated.</t>
  </si>
  <si>
    <t>HIGH risk (1.0 – 2.74 ★ to ★★)</t>
  </si>
  <si>
    <t>PM 3x per week. Improvement plan within 5 working days. Maintained until LOW for 4 consecutive months.</t>
  </si>
  <si>
    <t>Major override</t>
  </si>
  <si>
    <t>GOVERNANCE</t>
  </si>
  <si>
    <t>Monthly review</t>
  </si>
  <si>
    <t>SOM / CM meeting - all active teams scored, Dashboard presented.</t>
  </si>
  <si>
    <t>HIGH trigger</t>
  </si>
  <si>
    <t>Improvement plan within 5 working days. PM visits 3x per week.</t>
  </si>
  <si>
    <t>Step-down</t>
  </si>
  <si>
    <t>HIGH cadence maintained until LOW for 4 consecutive months.</t>
  </si>
  <si>
    <t>Major events</t>
  </si>
  <si>
    <t>Immediate escalation - do not wait for month-end review.</t>
  </si>
  <si>
    <t>New teams</t>
  </si>
  <si>
    <t>Add to Field Teams tab - appear in matrix automatically.</t>
  </si>
  <si>
    <t>Deactivated teams</t>
  </si>
  <si>
    <t>Set Status = Inactive in Field Teams tab - drop out immediately.</t>
  </si>
  <si>
    <t>FT Reps</t>
  </si>
  <si>
    <t>2 meetings per year. Actions shared with wider FT population within 5 working days.</t>
  </si>
  <si>
    <t>Area</t>
  </si>
  <si>
    <t>Finding / Fix</t>
  </si>
  <si>
    <t>Risk model</t>
  </si>
  <si>
    <t>Model uses four scored metrics: Amber Alert Count (weight 18), Red Alert Score (weight 6, Minor + Moderate/Major combined), Skillko Compliance (weight 8), Post-Cut Quality defect rate (weight 7). Total weight 39. HIGH threshold 5.5, MEDIUM threshold 4.5.</t>
  </si>
  <si>
    <t>Removed metrics</t>
  </si>
  <si>
    <t>Red Alerts (G2 Minor and G3+ Moderate/Major) were previously information-only with zero weight. Now combined into a single Red Alert Score (col R, weight 6). Major events still force AUTO HIGH via separate override. POWRA removed. Amber floor rule: score ≥8 forces AUTO HIGH.</t>
  </si>
  <si>
    <t>Quality logic</t>
  </si>
  <si>
    <t>Post-Cut Quality now parses pole-by-pole results from Summary of Works (col T) into the Pole Results sheet. Monthly Matrix counts compliant and non-compliant poles directly from Pole Results using SUMPRODUCT SEARCH. Legacy substring formulas in cols Y/Z/AA/AB are superseded and marked LEGACY.</t>
  </si>
  <si>
    <t>Quality context</t>
  </si>
  <si>
    <t>Monthly Matrix shows: P = non-compliant poles, AC = total poles assessed, AD = compliant poles, T = quality score (defect rate × 10). Multi-team inspections split into one row per team in Pole Results using longest-name-first matching against Field Teams register.</t>
  </si>
  <si>
    <t>Fix applied</t>
  </si>
  <si>
    <t>Why it matters</t>
  </si>
  <si>
    <t>Dashboard</t>
  </si>
  <si>
    <t>Top/bottom 10 tables now show Amber Count, Amber Target, Skillko %, Quality Fails, Poles Assessed, Compliant %, and Plan?</t>
  </si>
  <si>
    <t>Changed logic to look at RAG in V instead of rank score in X.</t>
  </si>
  <si>
    <t>HIGH teams now correctly show improvement plan requirement.</t>
  </si>
  <si>
    <t>Month selector</t>
  </si>
  <si>
    <t>Dashboard N1 is the editable scoring month; Monthly Matrix AB3 references Dashboard N1.</t>
  </si>
  <si>
    <t>Changed lookup from Monthly Matrix AB to AA.</t>
  </si>
  <si>
    <t>Top 10 table now shows the actual plan requirement.</t>
  </si>
  <si>
    <t>Targets</t>
  </si>
  <si>
    <t>Skillko and Post-Cut Quality compliant rate targets set to 95%.</t>
  </si>
  <si>
    <t>Changed AC3 to AB3.</t>
  </si>
  <si>
    <t>Prevents monthly update mistake. AC is used for poles assessed.</t>
  </si>
  <si>
    <t>Known parsing limitation - CLOSED</t>
  </si>
  <si>
    <t>For automatic calculation, the helper uses each "Quality of Works / Criteria of Failings:" entry as the assessed unit. Where multiple pole numbers are grouped under one compliant criterion, that grouped entry counts as one check unless the export provides a separate criterion per pole.</t>
  </si>
  <si>
    <t>Resolved by operational instruction: one SafetyCulture form per contractor per inspection. Multi-team forms will not occur in routine use.</t>
  </si>
  <si>
    <t>Closed 29 Apr 2026</t>
  </si>
  <si>
    <t>Amber target guidance said operative count is manual</t>
  </si>
  <si>
    <t>Settings!A23</t>
  </si>
  <si>
    <t>Updated wording to reflect Skillko auto-calculation.</t>
  </si>
  <si>
    <t>Avoids accidental manual overrides.</t>
  </si>
  <si>
    <t>New team checker had no formulas</t>
  </si>
  <si>
    <t>Field Teams!L6:N204</t>
  </si>
  <si>
    <t>Checked current Skillko paste against master list; no missing teams found. Left a clear status message instead of unsupported spill formulas.</t>
  </si>
  <si>
    <t>Avoids false formula/spill errors while still confirming current data is aligned.</t>
  </si>
  <si>
    <t>Still worth checking</t>
  </si>
  <si>
    <t>Where</t>
  </si>
  <si>
    <t>Comment</t>
  </si>
  <si>
    <t>Suggested next action</t>
  </si>
  <si>
    <t>Threshold mismatch</t>
  </si>
  <si>
    <t>Settings rows 17-18 vs D22:D23</t>
  </si>
  <si>
    <t>Risk guide says HIGH starts at 6.7 and MEDIUM at 3.4, but live thresholds are HIGH &gt;= 6 and MEDIUM &gt;= 4.5.</t>
  </si>
  <si>
    <t>Decide whether the scoring logic or written guide is the source of truth.</t>
  </si>
  <si>
    <t>Score weighting is currently narrow</t>
  </si>
  <si>
    <t>Settings D6:D12 / Monthly Matrix U</t>
  </si>
  <si>
    <t>Only Amber, Skillko and Quality are active. G2/G3/Major are info/override only.</t>
  </si>
  <si>
    <t>This may be intentional, but confirm before leadership use.</t>
  </si>
  <si>
    <t>Action Log is blank</t>
  </si>
  <si>
    <t>Action Log</t>
  </si>
  <si>
    <t>HIGH teams do not automatically populate improvement plan entries.</t>
  </si>
  <si>
    <t>Use Dashboard top 10 / Monthly Matrix HIGH list to manually seed actions or automate this next.</t>
  </si>
  <si>
    <t>Audit Schedule is blank</t>
  </si>
  <si>
    <t>Audit Schedule</t>
  </si>
  <si>
    <t>No visit schedule auto-populated from RAG.</t>
  </si>
  <si>
    <t>Generate schedule from Monthly Matrix once cadence rules are locked.</t>
  </si>
  <si>
    <t>Current snapshot</t>
  </si>
  <si>
    <t>Active teams</t>
  </si>
  <si>
    <t>LOW risk</t>
  </si>
  <si>
    <t>MEDIUM risk</t>
  </si>
  <si>
    <t>HIGH risk</t>
  </si>
  <si>
    <t>Quality scoring - rate conversion</t>
  </si>
  <si>
    <t>Quality Score (col T, Monthly Matrix) changed from count-based (each non-compliant pole = 2 pts) to rate-based: (non-compliant poles / total poles assessed) × 10. Eliminates workload bias where high-volume teams were penalised vs low-volume teams with the same defect rate.</t>
  </si>
  <si>
    <t>T4:T76 formula updated; Settings A12/B12/E12 updated; Scoring Guide A3/A4/B12 updated.</t>
  </si>
  <si>
    <t>29 Apr 2026</t>
  </si>
  <si>
    <t>Quality scoring - no-data handling</t>
  </si>
  <si>
    <t>If no post-cut quality inspections exist for a team in the scoring month (AC = 0), Quality Score returns 0 rather than penalising the team. Previously MAX(1,...) guard caused (1-0/1)*10 = 10 when no data present under old rate logic.</t>
  </si>
  <si>
    <t>IFERROR wrapper in T formula catches AC=0 division and returns 0.</t>
  </si>
  <si>
    <t>Threshold mismatch - RESOLVED</t>
  </si>
  <si>
    <t>Scoring Guide thresholds corrected to match live Settings/formula values: LOW 0.0-4.4, MEDIUM 4.5-5.9, HIGH 6.0+. Previously Scoring Guide stated LOW 0-3.3, MEDIUM 3.4-6.6, HIGH 6.7+ which did not match the live thresholds in Settings D22:D23.</t>
  </si>
  <si>
    <t>Scoring Guide A19:B21 updated.</t>
  </si>
  <si>
    <t>Dashboard col L label - RESOLVED</t>
  </si>
  <si>
    <t>Dashboard top 10 and bottom 10 tables col L header was labelled "Compliant %" but the formula returns a raw compliant check count (from Monthly Matrix col AD), not a percentage. Header corrected to "Compliant Checks".</t>
  </si>
  <si>
    <t>Dashboard L12 and L38 updated.</t>
  </si>
  <si>
    <t>Inactive team filtering - FIXED</t>
  </si>
  <si>
    <t>Monthly Matrix previously scored all 73 team rows regardless of Status. Inactive teams appeared in rankings, top/bottom 10 tables, and RAG counts. Fix: U (composite), V (RAG), W (rank high), X (rank low), Y (rank score), and AA (plan required) now check Field Teams Status before calculating. Inactive teams return blank score/RAG, -1 rank high, 999 rank low - excluded from all dashboard tables and COUNTIF RAG bands automatically.</t>
  </si>
  <si>
    <t>Monthly Matrix U4:U76, V4:V76, W4:W76, X4:X76, Y4:Y76, AA4:AA76 updated.</t>
  </si>
  <si>
    <t>Status dropdown - ADDED</t>
  </si>
  <si>
    <t>Field Teams col I (Status) had no data validation. Free-text entry meant typos (e.g. "active", "INACTIVE", "inactive ") silently broke the inactive filter. Dropdown validation added to I5:I204 restricting entry to Active or Inactive only.</t>
  </si>
  <si>
    <t>Data validation added: Field Teams I5:I204, list = Active | Inactive.</t>
  </si>
  <si>
    <t>Date filter changed to range - DONE</t>
  </si>
  <si>
    <t>Single-month filter (MONTH/YEAR match on Dashboard N1) replaced with date range. Dashboard N1 = range start (existing). Dashboard O1 = range end (new, default 30 Apr 2026). Monthly Matrix AE3 = Dashboard O1. HSQE Events J/K/L/M: filter changed to F &gt;= AB3 AND F &lt;= AE3 (datetime comparison). Post-Cut Quality P/AC/AD: text date in col L converted via DATE(y,m,d) and filtered &gt;= AB3 AND &lt;= AE3.</t>
  </si>
  <si>
    <t>Dashboard O1/O2 added; MM AE3 added; MM J4:M76, P4:P76, AC4:AC76, AD4:AD76 updated.</t>
  </si>
  <si>
    <t>G2/G3+ merged into Red Alert score - DONE</t>
  </si>
  <si>
    <t>G2 (Minor) and G3+ (Moderate/Major) were information-only with zero weight. Merged into a single Red Alert Score (col R). Scoring: Minor = 2pts/event capped at 10; Moderate/Major = 5pts/event capped at 10. Red Alert Score = MAX of the two sub-scores. Weight = 6. Major event AUTO HIGH override retained separately. Total composite weight increases from 30 to 36 (self-normalising). K col = Minor count, L col = Mod/Maj count (both retained for breakdown). S col cleared (G3+ score no longer a separate column).</t>
  </si>
  <si>
    <t>Settings A7/B7/C7/D7/E7/F7 updated; D8 set to 0; D13 updated to include D7. MM K3/L3/R3 headers updated; S3/S4:S76 cleared. R4:R76 formula updated. U4:U76 composite updated.</t>
  </si>
  <si>
    <t>Amber weight recalibrated - DONE</t>
  </si>
  <si>
    <t>Amber weight raised from 15 to 18 following addition of Red Alert weight (6). Adding Red Alert to denominator (30-&gt;36) diluted amber contribution, dropping zero-amber teams from MEDIUM to LOW and reducing bad-team composite below HIGH threshold. Weight 18 restores amber as dominant metric. New total weight = 39 (18+6+8+7). Zero ambers alone now scores 4.6 [MEDIUM]. Bad team (amber=8,red=6,skl=3,qual=3) correctly scores HIGH. D13 self-normalises via =D6+D7+D10+D12 - no formula changes required.</t>
  </si>
  <si>
    <t>Settings D6 updated to 18.</t>
  </si>
  <si>
    <t>HIGH threshold lowered to 5.5 - DONE</t>
  </si>
  <si>
    <t>HIGH threshold reduced from 6.0 to 5.5 in Settings D22. Restores correct RAG classification for teams with significant multi-metric failures. Bad team (amber=8, red=6, skillko=3, quality=3) now correctly scores HIGH (5.8). Zero ambers alone scores 4.6 [MEDIUM] - floor rule will elevate to HIGH for zero reporters. MEDIUM band narrows to 4.5-5.4. Settings B18/B19 and Scoring Guide A20/A21 updated.</t>
  </si>
  <si>
    <t>Settings D22=5.5, B18/B19 updated. Scoring Guide A20/A21 updated.</t>
  </si>
  <si>
    <t>Latent risk floor rule added - DONE</t>
  </si>
  <si>
    <t>RAG formula (col V) updated to include amber floor rule. Teams with amber score &gt;= 8 (submitting &lt; 20% of monthly target, including zero reporters) are automatically rated HIGH regardless of composite score. Floor threshold stored in Settings D25 = 8 (adjustable). Rule fires after Major event override and before composite threshold checks. Closes false-assurance gap where zero-amber teams scored MEDIUM via composite.</t>
  </si>
  <si>
    <t>Settings C25/D25/E25/A25 added. V4:V76 formula updated. Scoring Guide A16/B16 added.</t>
  </si>
  <si>
    <t>Close-out rate metric added - DONE</t>
  </si>
  <si>
    <t>New columns AF (Amber Close-out Count) and AG (Close-out Rate %) added to Monthly Matrix. AF = SUMPRODUCT matching team + date range + Impact=Opportunity + Resolved=Yes. AG = AF/J*100. Information only, not scored. Dashboard row 31 shows portfolio average, target 100%, warning at 80%. Settings row 14 documents metric. Mock data in HSQE Events rows 13-58 for testing.</t>
  </si>
  <si>
    <t>MM AF3:AF76, AG3:AG76 added. Settings A14-F14. Scoring Guide A13 updated. Dashboard B31-D31.</t>
  </si>
  <si>
    <t>Mock HSQE data inserted - REMOVE before production</t>
  </si>
  <si>
    <t>Mock amber and red alert events in HSQE Events rows 13-58. 8 teams with varied volumes and close-out profiles. FT-004 = zero ambers (floor rule test). FT-006 = near-zero, none resolved. Delete rows 13-58 before go-live and replace with real Tracker 2 export.</t>
  </si>
  <si>
    <t>HSQE Events rows 13:58</t>
  </si>
  <si>
    <t>29 Apr 2026 - TEST ONLY</t>
  </si>
  <si>
    <t>MM cols AF (resolved amber count) and AG (close-out rate %) added. AF: SUMPRODUCT team+date+Opportunity+Resolved=Yes. AG: AF/J*100. Info only, not scored. Dashboard row 31 portfolio avg. Settings row 14 documented.</t>
  </si>
  <si>
    <t>MM AF3:AF76, AG3:AG76. Settings row 14. Dashboard B31:D31.</t>
  </si>
  <si>
    <t>Mock HSQE data - REMOVE before production</t>
  </si>
  <si>
    <t>Test events in HSQE Events rows 13-58. Covers 8 teams, varied volumes and close-out profiles. FT-004 (Austin) = zero ambers. FT-006 (Eastwoodbury) = 1 amber, unresolved. Delete rows 13-58 before go-live.</t>
  </si>
  <si>
    <t>Action Log and Audit Schedule auto-populated - DONE</t>
  </si>
  <si>
    <t>Action Log rows 4-76 now formula-driven: pulls Team ID, Name, PM, CM, SOM, Trigger Month, RAG, Major flag from Monthly Matrix for HIGH teams ranked by score. Root Cause, Action Required, Target Date, Date Closed, 4wk LOW count remain manual. Audit Schedule rows 4-76 now formula-driven: pulls HIGH then MEDIUM teams ranked by score. Visit Type auto-set from RAG. Planned/Actual Date, Findings, Status remain manual. Helper rank columns AH (HIGH only) and AI (HIGH+MEDIUM) added to Monthly Matrix. Close-out rate columns AF/AG removed - wrong metric. Dashboard row 31 changed to audit completion rate.</t>
  </si>
  <si>
    <t>MM AH3:AH76, AI3:AI76 added; AF/AG cleared. Action Log rows 4-76 rebuilt. Audit Schedule rows 4-76 rebuilt. Dashboard B31:D31 updated.</t>
  </si>
  <si>
    <t>Historical Scores populated + trend column added - DONE</t>
  </si>
  <si>
    <t>Historical Scores col C (Apr 2026) populated with mock composite scores for all 73 teams. Instruction text corrected: was "col W" (rank tiebreaker), now correctly states "col U" (composite score). Monthly Matrix col AJ added: Trend vs Prev Month, pulls last non-blank historical score per team using LOOKUP(2,1/(range&lt;&gt;""),range) and compares to current U score. Shows Worsening / Improving / Stable / New. Dashboard row 32 shows portfolio average composite score. Mock scores follow realistic distribution: ~15% HIGH, ~25% MEDIUM, ~60% LOW.</t>
  </si>
  <si>
    <t>Historical Scores C5:C77 populated (mock - replace with real values). HS row 2 instruction corrected. HS row 78 O/P formulas added. MM AJ3:AJ76 trend column added. Dashboard row 32 added.</t>
  </si>
  <si>
    <t>Mock historical scores - REPLACE with real values</t>
  </si>
  <si>
    <t>Historical Scores col C (Apr 2026) contains generated scores for testing. At month end, overwrite col C rows 5-77 with actual composite scores from Monthly Matrix col U (copy col U rows 4-76, paste as VALUES ONLY into Historical Scores col C rows 5-77).</t>
  </si>
  <si>
    <t>Historical Scores C5:C77</t>
  </si>
  <si>
    <t>29 Apr 2026 - MOCK DATA</t>
  </si>
  <si>
    <t>Pole Results sheet created - quality parsing fixed - DONE</t>
  </si>
  <si>
    <t>New sheet "Pole Results" created. Parses col T (Summary of Works) from Data - Post-Cut Quality row by row, exploding each pole into its own row with: FT On Site, Inspection Date, Pole Reference, Result Detail, Compliance. Monthly Matrix P (non-compliant count), AC (total poles), AD (compliant count) rewritten to SUMPRODUCT SEARCH against Pole Results cols A/B/E. Eliminates fragile substring counting in legacy cols Y/Z/AA/AB. New Leaf Arb verified: 11 poles parsed, 3 non-compliant, 8 compliant (72.7%). Pole Results must be regenerated by re-running the parse script after each data paste.</t>
  </si>
  <si>
    <t>New sheet: Pole Results (cols A-F). MM P4:P76, AC4:AC76, AD4:AD76 rewritten. Data - Post-Cut Quality cols Y/Z/AA/AB headers marked LEGACY.</t>
  </si>
  <si>
    <t>Pole Results - multi-team split fixed - DONE</t>
  </si>
  <si>
    <t>Pole Results parser updated to handle concatenated FT On Site strings. Where multiple teams appear in one inspection (e.g. "7800 MAC...7186 Eastwoodbury..."), each team name is matched against the Field Teams register and the pole rows are duplicated once per team. Uses longest-name-first matching to prevent partial collisions. This will be resolved at source once one-form-per-contractor instruction is enforced. Pole Results sheet regenerated with corrected split logic.</t>
  </si>
  <si>
    <t>Pole Results rows 3+ regenerated. Parser split logic updated.</t>
  </si>
  <si>
    <t>Pole Results - layman instructions added - DONE</t>
  </si>
  <si>
    <t>Pole Results sheet restructured with 6-step layman instructions for refreshing the parse script via Claude.ai. Data shifted from row 3 to row 13. Warning box, step-by-step guide, and separator added above data. Monthly Matrix P/AC/AD formulas updated to reference new data start row 13.</t>
  </si>
  <si>
    <t>Pole Results rows 1-12 restructured. MM P4:P76, AC4:AC76, AD4:AD76 updated to row 13+.</t>
  </si>
  <si>
    <t>Pole Results - Power Query implemented - DONE</t>
  </si>
  <si>
    <t>AI/script approach replaced with Excel Power Query. Users refresh by clicking Data → Refresh All after each quality data paste. M code stored in PQ_Code sheet. First-time setup instructions in Pole Results rows 6-10. Monthly Import Guide step 4 updated to Refresh All.</t>
  </si>
  <si>
    <t>Pole Results rows 4-11 rebuilt. PQ_Code sheet added. Import Guide row 2 updated.</t>
  </si>
  <si>
    <t>POWER QUERY M CODE — POLE RESULTS</t>
  </si>
  <si>
    <t>Copy ALL text from cell A3 and paste into the Power Query Advanced Editor. See the Pole Results tab for setup instructions.</t>
  </si>
  <si>
    <t>let
    // LOAD Post-Cut Quality data
    Source     = Excel.CurrentWorkbook(),
    RawTable   = Source{[Name="tbl_PostCutQuality"]}[Content],
    // LOAD Field Teams register — longest names first to prevent partial match collisions
    FTTable    = Source{[Name="tbl_FieldTeams"]}[Content],
    TeamNames  = List.Sort(
                     List.Select(Table.Column(FTTable, "Field Team Name"),
                                 each _ &lt;&gt; null and _ &lt;&gt; ""),
                     Order.Descending),
    // FILTER to real inspection rows only
    Filtered   = Table.SelectRows(RawTable,
                     each [Report Type] = "Post Cut Quality Inspection"
                       and [FT On Site] &lt;&gt; null
                       and [Summary of Works] &lt;&gt; null),
    // KEEP key columns
    Trimmed    = Table.SelectColumns(Filtered,
                     {"FT On Site", "Completed", "Summary of Works"}),
    // PARSE inspection date from text format dd/mm/yyyy hh:mm
    WithDate   = Table.AddColumn(Trimmed, "Inspection Date", each
                     try Date.FromText(Text.Start([Completed], 10), [Format="dd/MM/yyyy"])
                     otherwise null, type date),
    // SPLIT multi-team FT On Site string into one row per team
    WithTeams  = Table.AddColumn(WithDate, "Teams", each
                     let ftStr   = [FT On Site],
                         matched = List.Select(TeamNames, each Text.Contains(ftStr, _))
                     in  if List.Count(matched) = 0 then {ftStr} else matched),
    ExpTeams   = Table.ExpandListColumn(WithTeams, "Teams"),
    // PARSE pole blocks from Summary of Works
    // Format: Pole Number:XXX#Quality of Works / Criteria of Failings:RESULT~#
    WithPoles  = Table.AddColumn(ExpTeams, "PoleList", each
                     let raw    = [Summary of Works],
                         blocks = List.Select(Text.Split(raw, "#"), each Text.Trim(_) &lt;&gt; ""),
                         count  = List.Count(blocks),
                         parsed = List.Generate(
                                      () =&gt; [i=0, pole=null, rows={}],
                                      each [i] &lt; count,
                                      each let blk     = Text.Trim(blocks{[i]}),
                                               isPole  = Text.StartsWith(blk, "Pole Number:"),
                                               isCrit  = Text.Contains(blk, "Quality of Works / Criteria of Failings:"),
                                               newPole = if isPole then Text.AfterDelimiter(blk, "Pole Number:") else [pole],
                                               result  = if isCrit and [pole] &lt;&gt; null
                                                         then Text.BeforeDelimiter(
                                                                  Text.AfterDelimiter(blk, "Quality of Works / Criteria of Failings:"), "~")
                                                         else null,
                                               newRows = if result &lt;&gt; null
                                                         then List.Combine([[rows], {[PoleRef=newPole, Result=result]}])
                                                         else [rows]
                                           in  [i=[i]+1, pole=if isPole then newPole else [pole], rows=newRows],
                                      each [rows]),
                         allRows = List.Last(parsed)
                     in  allRows),
    ExpPoles   = Table.ExpandListColumn(WithPoles, "PoleList"),
    ExpRecs    = Table.ExpandRecordColumn(ExpPoles, "PoleList",
                     {"PoleRef","Result"}, {"Pole Reference","Result Detail"}),
    // REMOVE null rows
    Cleaned    = Table.SelectRows(ExpRecs,
                     each [Pole Reference] &lt;&gt; null and [Result Detail] &lt;&gt; null),
    // ADD Compliance flag
    WithComp   = Table.AddColumn(Cleaned, "Compliance", each
                     if Text.Lower(Text.Start([Result Detail], 9)) = "compliant"
                     then "Compliant" else "Non-Compliant", type text),
    // FINAL columns and sort
    Final      = Table.SelectColumns(WithComp,
                     {"Teams","Inspection Date","Pole Reference","Result Detail","Compliance"}),
    Renamed    = Table.RenameColumns(Final, {{"Teams","FT On Site"}}),
    Sorted     = Table.Sort(Renamed, {{"Inspection Date", Order.Descending},
                                      {"FT On Site",      Order.Ascending}})
in  Sorted</t>
  </si>
  <si>
    <t>900012/0001 TRUSTHORPE 33 11kV S STN</t>
  </si>
  <si>
    <t>["3199 : 1745 James Wootton","3199 : 1747 Daniel Wootton","3199 : 1748 Ryan Wootton","3199 : 1753 Colin Spindley","3199 : 1754 Stewart Hobson","3199 : 53392 Shaun Alan Harvey","3199 : 53522 Max Pursey","3199 : 56841 Noel Beal",":3199 : 1745 James Wootton~3199 : 1747 Daniel Wootton~3199 : 1748 Ryan Wootton~3199 : 1753 Colin Spindley~3199 : 1754 Stewart Hobson~3199 : 53392 Shaun Alan Harvey~3199 : 53522 Max Pursey~3199 : 56841 Noel Beal~"]</t>
  </si>
  <si>
    <t>29 Apr 2026 / Richard Moses / GCREP003961 / 3308 : National Grid Electricity Distribution plc / 900012/0001 TRUSTHORPE 33 11kV S STN / Post Cut Quality Inspection</t>
  </si>
  <si>
    <t>Turfside
Mablethorpe England LN12 2QE
United Kingdom3 Barnsdale Way, Leicester LE19 1SN, UK
(52.5967832, -1.192656)Lullingstone Castle Gatehouse, Dartford DA4 0JA, UK
(51.3578736, 0.194998)2G87+3J Robertsbridge, UK
(51.0151638, 0.5140888)Mucklow Hill, Halesowen B62 8EP, UK
(52.4560139, -2.0377087)3CP4+MM Tunbridge Wells, UK
(51.0867406, 0.4066809)Polka Rd, Wells-next-the-Sea NR23 1JG, UK
(52.9525569, 0.8566682)Stanton St Bernard, Marlborough SN8 4LT, UK
(51.3402368, -1.8758285)1 Sutton Road
Mablethorpe England LN12 2PT
United KingdomNewbury RG14 5HT, UK
(51.401293, -1.3281693)63 Main Street
Mablethorpe England LN12 2QE
United Kingdom</t>
  </si>
  <si>
    <t>Pole Number:TSC6#Quality of Works / Criteria of Failings:Compliant~#Pole Number:TSC4#Quality of Works / Criteria of Failings:Compliant~#Pole Number:TSC2#Quality of Works / Criteria of Failings:Compliant~#Pole Number:TSC12#Quality of Works / Criteria of Failings:Compliant~#</t>
  </si>
  <si>
    <t>900833 WHITE ROW LANE TRUSTHORPE (900012/0001 TRUSTHORPE 33 11kV S STN)</t>
  </si>
  <si>
    <t>["3199 : 1745 James Wootton","3199 : 1747 Daniel Wootton","3199 : 1748 Ryan Wootton",":3199 : 1745 James Wootton~3199 : 1747 Daniel Wootton~3199 : 1748 Ryan Wootton~"]</t>
  </si>
  <si>
    <t>29 Apr 2026 / Richard Moses / GCREP003965 / 3308 : National Grid Electricity Distribution plc / NGED / Post Cut Quality Inspection</t>
  </si>
  <si>
    <t>Turfside
Mablethorpe England LN12 2QE
United Kingdom3 Barnsdale Way, Leicester LE19 1SN, UK
(52.5967832, -1.192656)Lullingstone Castle Gatehouse, Dartford DA4 0JA, UK
(51.3578736, 0.194998)2G87+3J Robertsbridge, UK
(51.0151638, 0.5140888)Mucklow Hill, Halesowen B62 8EP, UK
(52.4560139, -2.0377087)3CP4+MM Tunbridge Wells, UK
(51.0867406, 0.4066809)Polka Rd, Wells-next-the-Sea NR23 1JG, UK
(52.9525569, 0.8566682)Stanton St Bernard, Marlborough SN8 4LT, UK
(51.3402368, -1.8758285)1 Sutton Road
Mablethorpe England LN12 2PT
United Kingdom</t>
  </si>
  <si>
    <t>Pole Number:2121100010#Quality of Works / Criteria of Failings:Compliant~#Pole Number:2121100030#Quality of Works / Criteria of Failings:Compliant~#</t>
  </si>
  <si>
    <t>900832 TRUSTHORPE VILLAGE (900012 Trusthorpe 0003)</t>
  </si>
  <si>
    <t>29 Apr 2026 / Richard Moses / GCREP003974 / 3308 : National Grid Electricity Distribution plc / NGED / Post Cut Quality Inspection</t>
  </si>
  <si>
    <t>Turfside
Mablethorpe England LN12 2QE
United Kingdom</t>
  </si>
  <si>
    <t>Pole Number:2121090110#Quality of Works / Criteria of Failings:Compliant~Special Conditions Identified~#</t>
  </si>
  <si>
    <t>880023/0006</t>
  </si>
  <si>
    <t>7611 East Midlands Arb Ltd</t>
  </si>
  <si>
    <t>["7611 : 58503 Connor Mahoney","7611 : 57718 Callis Allen",":7611 : 58503 Connor Mahoney~7611 : 57718 Callis Allen~"]</t>
  </si>
  <si>
    <t xml:space="preserve">Quality of Works / Criteria of Failings: DOD Signs~Climbing Vegetation~
Quality of Works / Criteria of Failings: Climbing Vegetation~DOD Signs~
Quality of Works / Criteria of Failings: DOD Signs~Climbing Vegetation~
Quality of Works / Criteria of Failings: DOD Signs~
Quality of Works / Criteria of Failings: Non-Compliant Clearances~Poor Site Conditions~Cut Not Compliant with BS3998~
Quality of Works / Criteria of Failings: Not Cut to Consent~Non-Compliant Clearances~
</t>
  </si>
  <si>
    <t>28 Apr 2026 / Richard Moses / GCREP003940 / 3308 : National Grid Electricity Distribution plc / 880023/0006 / Post Cut Quality Inspection</t>
  </si>
  <si>
    <t>Parkway Ave, Sheffield S9 4WD, UK
(53.384558, -1.432505)Queen St, Barnstaple EX32 8HG, UK
(51.079834, -4.0570479)Norham Road-Coast Road, North Shields NE29 7UJ, UKKeelings Rd, Southminster CM0, UKHumphrey P O, Moor Ln, Gotham, Nottingham NG11 0LH, UK</t>
  </si>
  <si>
    <t>Pole Number:EAFA4#Quality of Works / Criteria of Failings:DOD Signs~Climbing Vegetation~#Remark from failing(s):Remark from failing(s):
Ivy present on pole and staywires, DOD obscured
#Pole Number:EAFA3#Quality of Works / Criteria of Failings:Climbing Vegetation~DOD Signs~#Remark from failing(s):Remark from failing(s):
Ive no pole and DOD obscured
#Pole Number:EAFA2#Quality of Works / Criteria of Failings:Special Conditions Identified~#Remark from failing(s):Remark from failing(s):
EAFA2 would affect stockproofing of field
#Pole Number:EAFA1#Quality of Works / Criteria of Failings:DOD Signs~Climbing Vegetation~#Remark from failing(s):Remark from failing(s):
Ivy affecting pile and low level apparatus
#Pole Number:EAF14#Quality of Works / Criteria of Failings:DOD Signs~#Remark from failing(s):Remark from failing(s):
DoD slightly obscured, srf states to clear stay, which would lead to stock proofing issues
#Pole Number:EAF9#Quality of Works / Criteria of Failings:Non-Compliant Clearances~Poor Site Conditions~Cut Not Compliant with BS3998~#Remark from failing(s):Remark from failing(s):
4.0 not achieved
Poor pruning with rods
#Pole Number:EAF11#Quality of Works / Criteria of Failings:Not Cut to Consent~Non-Compliant Clearances~#Remark from failing(s):Remark from failing(s):
Not cut to annotation, stays still affected, a couple of small cuts applied
RP sheet stats full clearance and no deviation. 
#</t>
  </si>
  <si>
    <t>&lt;p&gt;&lt;a href="https&amp;#58;//apps.powerapps.com/play/2d567dc9-5d50-4629-a077-f7ccbff3e239?tenantId=3ef9f654-aa07-41b8-88ad-a411c62bd12c&amp;amp;Action=Open&amp;amp;Actionno=8991"&gt;review and rectify&lt;/a&gt;&lt;br&gt;&lt;a href="https&amp;#58;//apps.powerapps.com/play/2d567dc9-5d50-4629-a077-f7ccbff3e239?tenantId=3ef9f654-aa07-41b8-88ad-a411c62bd12c&amp;amp;Action=Open&amp;amp;Actionno=8992"&gt;review and rectify&lt;/a&gt;&lt;br&gt;&lt;a href="https&amp;#58;//apps.powerapps.com/play/2d567dc9-5d50-4629-a077-f7ccbff3e239?tenantId=3ef9f654-aa07-41b8-88ad-a411c62bd12c&amp;amp;Action=Open&amp;amp;Actionno=8993"&gt;review and rectify&lt;/a&gt;&lt;br&gt;&lt;a href="https&amp;#58;//apps.powerapps.com/play/2d567dc9-5d50-4629-a077-f7ccbff3e239?tenantId=3ef9f654-aa07-41b8-88ad-a411c62bd12c&amp;amp;Action=Open&amp;amp;Actionno=8994"&gt;review and rectify&lt;/a&gt;&lt;br&gt;&lt;a href="https&amp;#58;//apps.powerapps.com/play/2d567dc9-5d50-4629-a077-f7ccbff3e239?tenantId=3ef9f654-aa07-41b8-88ad-a411c62bd12c&amp;amp;Action=Open&amp;amp;Actionno=8995"&gt;rvview and rectify&lt;/a&gt;&lt;br&gt;&lt;a href="https&amp;#58;//apps.powerapps.com/play/2d567dc9-5d50-4629-a077-f7ccbff3e239?tenantId=3ef9f654-aa07-41b8-88ad-a411c62bd12c&amp;amp;Action=Open&amp;amp;Actionno=8996"&gt;review and rectify&lt;/a&gt;&lt;br&gt;&lt;a href="https&amp;#58;//apps.powerapps.com/play/2d567dc9-5d50-4629-a077-f7ccbff3e239?tenantId=3ef9f654-aa07-41b8-88ad-a411c62bd12c&amp;amp;Action=Open&amp;amp;Actionno=8997"&gt;EAF11&lt;/a&gt;&lt;br&gt;&lt;a href="https&amp;#58;//apps.powerapps.com/play/2d567dc9-5d50-4629-a077-f7ccbff3e239?tenantId=3ef9f654-aa07-41b8-88ad-a411c62bd12c&amp;amp;Action=Open&amp;amp;Actionno=8998"&gt;EAF9&lt;/a&gt;&lt;br&gt;&lt;a href="https&amp;#58;//apps.powerapps.com/play/2d567dc9-5d50-4629-a077-f7ccbff3e239?tenantId=3ef9f654-aa07-41b8-88ad-a411c62bd12c&amp;amp;Action=Open&amp;amp;Actionno=8999"&gt;EAF14 DOD slightly obscured, if others wasnt as prominent jt would be unlikley be an issue. stay wife runs centre of hedge&lt;/a&gt;&lt;br&gt;&lt;a href="https&amp;#58;//apps.powerapps.com/play/2d567dc9-5d50-4629-a077-f7ccbff3e239?tenantId=3ef9f654-aa07-41b8-88ad-a411c62bd12c&amp;amp;Action=Open&amp;amp;Actionno=9000"&gt;eafa4 climbing vegetation&lt;/a&gt;&lt;br&gt;&lt;a href="https&amp;#58;//apps.powerapps.com/play/2d567dc9-5d50-4629-a077-f7ccbff3e239?tenantId=3ef9f654-aa07-41b8-88ad-a411c62bd12c&amp;amp;Action=Open&amp;amp;Actionno=9001"&gt;EAFA1&lt;/a&gt;&lt;br&gt;&lt;a href="https&amp;#58;//apps.powerapps.com/play/2d567dc9-5d50-4629-a077-f7ccbff3e239?tenantId=3ef9f654-aa07-41b8-88ad-a411c62bd12c&amp;amp;Action=Open&amp;amp;Actionno=9002"&gt;DOD obscured EAFA2&lt;/a&gt;&lt;br&gt;&lt;a href="https&amp;#58;//apps.powerapps.com/play/2d567dc9-5d50-4629-a077-f7ccbff3e239?tenantId=3ef9f654-aa07-41b8-88ad-a411c62bd12c&amp;amp;Action=Open&amp;amp;Actionno=9003"&gt;EAFA3&lt;/a&gt;&lt;br&gt;&lt;a href="https&amp;#58;//apps.powerapps.com/play/2d567dc9-5d50-4629-a077-f7ccbff3e239?tenantId=3ef9f654-aa07-41b8-88ad-a411c62bd12c&amp;amp;Action=Open&amp;amp;Actionno=9004"&gt;review and rectify&lt;/a&gt;&lt;br&gt;&lt;a href="https&amp;#58;//apps.powerapps.com/play/2d567dc9-5d50-4629-a077-f7ccbff3e239?tenantId=3ef9f654-aa07-41b8-88ad-a411c62bd12c&amp;amp;Action=Open&amp;amp;Actionno=9005"&gt;review and rectify&lt;/a&gt;&lt;br&gt;&lt;a href="https&amp;#58;//apps.powerapps.com/play/2d567dc9-5d50-4629-a077-f7ccbff3e239?tenantId=3ef9f654-aa07-41b8-88ad-a411c62bd12c&amp;amp;Action=Open&amp;amp;Actionno=9006"&gt;review and rectify&lt;/a&gt;&lt;br&gt;&lt;a href="https&amp;#58;//apps.powerapps.com/play/2d567dc9-5d50-4629-a077-f7ccbff3e239?tenantId=3ef9f654-aa07-41b8-88ad-a411c62bd12c&amp;amp;Action=Open&amp;amp;Actionno=9007"&gt;review and rectify&lt;/a&gt;&lt;br&gt;&lt;a href="https&amp;#58;//apps.powerapps.com/play/2d567dc9-5d50-4629-a077-f7ccbff3e239?tenantId=3ef9f654-aa07-41b8-88ad-a411c62bd12c&amp;amp;Action=Open&amp;amp;Actionno=9008"&gt;review and rectify&lt;/a&gt;&lt;br&gt;&lt;a href="https&amp;#58;//apps.powerapps.com/play/2d567dc9-5d50-4629-a077-f7ccbff3e239?tenantId=3ef9f654-aa07-41b8-88ad-a411c62bd12c&amp;amp;Action=Open&amp;amp;Actionno=9009"&gt;rvview and rectify&lt;/a&gt;&lt;br&gt;&lt;a href="https&amp;#58;//apps.powerapps.com/play/2d567dc9-5d50-4629-a077-f7ccbff3e239?tenantId=3ef9f654-aa07-41b8-88ad-a411c62bd12c&amp;amp;Action=Open&amp;amp;Actionno=9010"&gt;review and rectify&lt;/a&gt;&lt;br&gt;&lt;a href="https&amp;#58;//apps.powerapps.com/play/2d567dc9-5d50-4629-a077-f7ccbff3e239?tenantId=3ef9f654-aa07-41b8-88ad-a411c62bd12c&amp;amp;Action=Open&amp;amp;Actionno=9011"&gt;EAF11&lt;/a&gt;&lt;br&gt;&lt;a href="https&amp;#58;//apps.powerapps.com/play/2d567dc9-5d50-4629-a077-f7ccbff3e239?tenantId=3ef9f654-aa07-41b8-88ad-a411c62bd12c&amp;amp;Action=Open&amp;amp;Actionno=9012"&gt;EAF9&lt;/a&gt;&lt;br&gt;&lt;a href="https&amp;#58;//apps.powerapps.com/play/2d567dc9-5d50-4629-a077-f7ccbff3e239?tenantId=3ef9f654-aa07-41b8-88ad-a411c62bd12c&amp;amp;Action=Open&amp;amp;Actionno=9013"&gt;EAF14 DOD slightly obscured, if others wasnt as prominent jt would be unlikley be an issue. stay wife runs centre of hedge&lt;/a&gt;&lt;br&gt;&lt;a href="https&amp;#58;//apps.powerapps.com/play/2d567dc9-5d50-4629-a077-f7ccbff3e239?tenantId=3ef9f654-aa07-41b8-88ad-a411c62bd12c&amp;amp;Action=Open&amp;amp;Actionno=9014"&gt;eafa4 climbing vegetation&lt;/a&gt;&lt;br&gt;&lt;a href="https&amp;#58;//apps.powerapps.com/play/2d567dc9-5d50-4629-a077-f7ccbff3e239?tenantId=3ef9f654-aa07-41b8-88ad-a411c62bd12c&amp;amp;Action=Open&amp;amp;Actionno=9015"&gt;EAFA1&lt;/a&gt;&lt;br&gt;&lt;a href="https&amp;#58;//apps.powerapps.com/play/2d567dc9-5d50-4629-a077-f7ccbff3e239?tenantId=3ef9f654-aa07-41b8-88ad-a411c62bd12c&amp;amp;Action=Open&amp;amp;Actionno=9016"&gt;DOD obscured EAFA2&lt;/a&gt;&lt;br&gt;&lt;a href="https&amp;#58;//apps.powerapps.com/play/2d567dc9-5d50-4629-a077-f7ccbff3e239?tenantId=3ef9f654-aa07-41b8-88ad-a411c62bd12c&amp;amp;Action=Open&amp;amp;Actionno=9017"&gt;EAFA3&lt;/a&gt;&lt;br&gt;&lt;a href="https&amp;#58;//apps.powerapps.com/play/2d567dc9-5d50-4629-a077-f7ccbff3e239?tenantId=3ef9f654-aa07-41b8-88ad-a411c62bd12c&amp;amp;Action=Open&amp;amp;Actionno=9018"&gt;review and rectify&lt;/a&gt;&lt;br&gt;&lt;a href="https&amp;#58;//apps.powerapps.com/play/2d567dc9-5d50-4629-a077-f7ccbff3e239?tenantId=3ef9f654-aa07-41b8-88ad-a411c62bd12c&amp;amp;Action=Open&amp;amp;Actionno=9019"&gt;review and rectify&lt;/a&gt;&lt;br&gt;&lt;a href="https&amp;#58;//apps.powerapps.com/play/2d567dc9-5d50-4629-a077-f7ccbff3e239?tenantId=3ef9f654-aa07-41b8-88ad-a411c62bd12c&amp;amp;Action=Open&amp;amp;Actionno=9020"&gt;review and rectify&lt;/a&gt;&lt;br&gt;&lt;a href="https&amp;#58;//apps.powerapps.com/play/2d567dc9-5d50-4629-a077-f7ccbff3e239?tenantId=3ef9f654-aa07-41b8-88ad-a411c62bd12c&amp;amp;Action=Open&amp;amp;Actionno=9021"&gt;review and rectify&lt;/a&gt;&lt;br&gt;&lt;a href="https&amp;#58;//apps.powerapps.com/play/2d567dc9-5d50-4629-a077-f7ccbff3e239?tenantId=3ef9f654-aa07-41b8-88ad-a411c62bd12c&amp;amp;Action=Open&amp;amp;Actionno=9022"&gt;review and rectify&lt;/a&gt;&lt;br&gt;&lt;a href="https&amp;#58;//apps.powerapps.com/play/2d567dc9-5d50-4629-a077-f7ccbff3e239?tenantId=3ef9f654-aa07-41b8-88ad-a411c62bd12c&amp;amp;Action=Open&amp;amp;Actionno=9023"&gt;rvview and rectify&lt;/a&gt;&lt;br&gt;&lt;a href="https&amp;#58;//apps.powerapps.com/play/2d567dc9-5d50-4629-a077-f7ccbff3e239?tenantId=3ef9f654-aa07-41b8-88ad-a411c62bd12c&amp;amp;Action=Open&amp;amp;Actionno=9024"&gt;review and rectify&lt;/a&gt;&lt;br&gt;&lt;a href="https&amp;#58;//apps.powerapps.com/play/2d567dc9-5d50-4629-a077-f7ccbff3e239?tenantId=3ef9f654-aa07-41b8-88ad-a411c62bd12c&amp;amp;Action=Open&amp;amp;Actionno=9025"&gt;EAF11&lt;/a&gt;&lt;br&gt;&lt;a href="https&amp;#58;//apps.powerapps.com/play/2d567dc9-5d50-4629-a077-f7ccbff3e239?tenantId=3ef9f654-aa07-41b8-88ad-a411c62bd12c&amp;amp;Action=Open&amp;amp;Actionno=9026"&gt;EAF9&lt;/a&gt;&lt;br&gt;&lt;a href="https&amp;#58;//apps.powerapps.com/play/2d567dc9-5d50-4629-a077-f7ccbff3e239?tenantId=3ef9f654-aa07-41b8-88ad-a411c62bd12c&amp;amp;Action=Open&amp;amp;Actionno=9027"&gt;EAF14 DOD slightly obscured, if others wasnt as prominent jt would be unlikley be an issue. stay wife runs centre of hedge&lt;/a&gt;&lt;br&gt;&lt;a href="https&amp;#58;//apps.powerapps.com/play/2d567dc9-5d50-4629-a077-f7ccbff3e239?tenantId=3ef9f654-aa07-41b8-88ad-a411c62bd12c&amp;amp;Action=Open&amp;amp;Actionno=9028"&gt;eafa4 climbing vegetation&lt;/a&gt;&lt;br&gt;&lt;a href="https&amp;#58;//apps.powerapps.com/play/2d567dc9-5d50-4629-a077-f7ccbff3e239?tenantId=3ef9f654-aa07-41b8-88ad-a411c62bd12c&amp;amp;Action=Open&amp;amp;Actionno=9029"&gt;EAFA1&lt;/a&gt;&lt;br&gt;&lt;a href="https&amp;#58;//apps.powerapps.com/play/2d567dc9-5d50-4629-a077-f7ccbff3e239?tenantId=3ef9f654-aa07-41b8-88ad-a411c62bd12c&amp;amp;Action=Open&amp;amp;Actionno=9030"&gt;DOD obscured EAFA2&lt;/a&gt;&lt;br&gt;&lt;a href="https&amp;#58;//apps.powerapps.com/play/2d567dc9-5d50-4629-a077-f7ccbff3e239?tenantId=3ef9f654-aa07-41b8-88ad-a411c62bd12c&amp;amp;Action=Open&amp;amp;Actionno=9031"&gt;EAFA3&lt;/a&gt;&lt;br&gt;&lt;a href="https&amp;#58;//apps.powerapps.com/play/2d567dc9-5d50-4629-a077-f7ccbff3e239?tenantId=3ef9f654-aa07-41b8-88ad-a411c62bd12c&amp;amp;Action=Open&amp;amp;Actionno=9032"&gt;review and rectify&lt;/a&gt;&lt;br&gt;&lt;a href="https&amp;#58;//apps.powerapps.com/play/2d567dc9-5d50-4629-a077-f7ccbff3e239?tenantId=3ef9f654-aa07-41b8-88ad-a411c62bd12c&amp;amp;Action=Open&amp;amp;Actionno=9033"&gt;review and rectify&lt;/a&gt;&lt;br&gt;&lt;a href="https&amp;#58;//apps.powerapps.com/play/2d567dc9-5d50-4629-a077-f7ccbff3e239?tenantId=3ef9f654-aa07-41b8-88ad-a411c62bd12c&amp;amp;Action=Open&amp;amp;Actionno=9034"&gt;review and rectify&lt;/a&gt;&lt;br&gt;&lt;a href="https&amp;#58;//apps.powerapps.com/play/2d567dc9-5d50-4629-a077-f7ccbff3e239?tenantId=3ef9f654-aa07-41b8-88ad-a411c62bd12c&amp;amp;Action=Open&amp;amp;Actionno=9035"&gt;review and rectify&lt;/a&gt;&lt;br&gt;&lt;a href="https&amp;#58;//apps.powerapps.com/play/2d567dc9-5d50-4629-a077-f7ccbff3e239?tenantId=3ef9f654-aa07-41b8-88ad-a411c62bd12c&amp;amp;Action=Open&amp;amp;Actionno=9036"&gt;review and rectify&lt;/a&gt;&lt;br&gt;&lt;a href="https&amp;#58;//apps.powerapps.com/play/2d567dc9-5d50-4629-a077-f7ccbff3e239?tenantId=3ef9f654-aa07-41b8-88ad-a411c62bd12c&amp;amp;Action=Open&amp;amp;Actionno=9037"&gt;rvview and rectify&lt;/a&gt;&lt;br&gt;&lt;a href="https&amp;#58;//apps.powerapps.com/play/2d567dc9-5d50-4629-a077-f7ccbff3e239?tenantId=3ef9f654-aa07-41b8-88ad-a411c62bd12c&amp;amp;Action=Open&amp;amp;Actionno=9038"&gt;review and rectify&lt;/a&gt;&lt;br&gt;&lt;a href="https&amp;#58;//apps.powerapps.com/play/2d567dc9-5d50-4629-a077-f7ccbff3e239?tenantId=3ef9f654-aa07-41b8-88ad-a411c62bd12c&amp;amp;Action=Open&amp;amp;Actionno=9039"&gt;EAF11&lt;/a&gt;&lt;br&gt;&lt;a href="https&amp;#58;//apps.powerapps.com/play/2d567dc9-5d50-4629-a077-f7ccbff3e239?tenantId=3ef9f654-aa07-41b8-88ad-a411c62bd12c&amp;amp;Action=Open&amp;amp;Actionno=9040"&gt;EAF9&lt;/a&gt;&lt;br&gt;&lt;a href="https&amp;#58;//apps.powerapps.com/play/2d567dc9-5d50-4629-a077-f7ccbff3e239?tenantId=3ef9f654-aa07-41b8-88ad-a411c62bd12c&amp;amp;Action=Open&amp;amp;Actionno=9041"&gt;EAF14 DOD slightly obscured, if others wasnt as prominent jt would be unlikley be an issue. stay wife runs centre of hedge&lt;/a&gt;&lt;br&gt;&lt;a href="https&amp;#58;//apps.powerapps.com/play/2d567dc9-5d50-4629-a077-f7ccbff3e239?tenantId=3ef9f654-aa07-41b8-88ad-a411c62bd12c&amp;amp;Action=Open&amp;amp;Actionno=9042"&gt;eafa4 climbing vegetation&lt;/a&gt;&lt;br&gt;&lt;a href="https&amp;#58;//apps.powerapps.com/play/2d567dc9-5d50-4629-a077-f7ccbff3e239?tenantId=3ef9f654-aa07-41b8-88ad-a411c62bd12c&amp;amp;Action=Open&amp;amp;Actionno=9043"&gt;EAFA1&lt;/a&gt;&lt;br&gt;&lt;a href="https&amp;#58;//apps.powerapps.com/play/2d567dc9-5d50-4629-a077-f7ccbff3e239?tenantId=3ef9f654-aa07-41b8-88ad-a411c62bd12c&amp;amp;Action=Open&amp;amp;Actionno=9044"&gt;DOD obscured EAFA2&lt;/a&gt;&lt;br&gt;&lt;a href="https&amp;#58;//apps.powerapps.com/play/2d567dc9-5d50-4629-a077-f7ccbff3e239?tenantId=3ef9f654-aa07-41b8-88ad-a411c62bd12c&amp;amp;Action=Open&amp;amp;Actionno=9045"&gt;EAFA3&lt;/a&gt;&lt;br&gt;&lt;a href="https&amp;#58;//apps.powerapps.com/play/2d567dc9-5d50-4629-a077-f7ccbff3e239?tenantId=3ef9f654-aa07-41b8-88ad-a411c62bd12c&amp;amp;Action=Open&amp;amp;Actionno=9046"&gt;review and rectify&lt;/a&gt;&lt;br&gt;&lt;a href="https&amp;#58;//apps.powerapps.com/play/2d567dc9-5d50-4629-a077-f7ccbff3e239?tenantId=3ef9f654-aa07-41b8-88ad-a411c62bd12c&amp;amp;Action=Open&amp;amp;Actionno=9047"&gt;review and rectify&lt;/a&gt;&lt;br&gt;&lt;a href="https&amp;#58;//apps.powerapps.com/play/2d567dc9-5d50-4629-a077-f7ccbff3e239?tenantId=3ef9f654-aa07-41b8-88ad-a411c62bd12c&amp;amp;Action=Open&amp;amp;Actionno=9048"&gt;review and rectify&lt;/a&gt;&lt;br&gt;&lt;a href="https&amp;#58;//apps.powerapps.com/play/2d567dc9-5d50-4629-a077-f7ccbff3e239?tenantId=3ef9f654-aa07-41b8-88ad-a411c62bd12c&amp;amp;Action=Open&amp;amp;Actionno=9049"&gt;review and rectify&lt;/a&gt;&lt;br&gt;&lt;a href="https&amp;#58;//apps.powerapps.com/play/2d567dc9-5d50-4629-a077-f7ccbff3e239?tenantId=3ef9f654-aa07-41b8-88ad-a411c62bd12c&amp;amp;Action=Open&amp;amp;Actionno=9050"&gt;review and rectify&lt;/a&gt;&lt;br&gt;&lt;a href="https&amp;#58;//apps.powerapps.com/play/2d567dc9-5d50-4629-a077-f7ccbff3e239?tenantId=3ef9f654-aa07-41b8-88ad-a411c62bd12c&amp;amp;Action=Open&amp;amp;Actionno=9051"&gt;rvview and rectify&lt;/a&gt;&lt;br&gt;&lt;a href="https&amp;#58;//apps.powerapps.com/play/2d567dc9-5d50-4629-a077-f7ccbff3e239?tenantId=3ef9f654-aa07-41b8-88ad-a411c62bd12c&amp;amp;Action=Open&amp;amp;Actionno=9052"&gt;review and rectify&lt;/a&gt;&lt;br&gt;&lt;a href="https&amp;#58;//apps.powerapps.com/play/2d567dc9-5d50-4629-a077-f7ccbff3e239?tenantId=3ef9f654-aa07-41b8-88ad-a411c62bd12c&amp;amp;Action=Open&amp;amp;Actionno=9053"&gt;EAF11&lt;/a&gt;&lt;br&gt;&lt;a href="https&amp;#58;//apps.powerapps.com/play/2d567dc9-5d50-4629-a077-f7ccbff3e239?tenantId=3ef9f654-aa07-41b8-88ad-a411c62bd12c&amp;amp;Action=Open&amp;amp;Actionno=9054"&gt;EAF9&lt;/a&gt;&lt;br&gt;&lt;a href="https&amp;#58;//apps.powerapps.com/play/2d567dc9-5d50-4629-a077-f7ccbff3e239?tenantId=3ef9f654-aa07-41b8-88ad-a411c62bd12c&amp;amp;Action=Open&amp;amp;Actionno=9055"&gt;EAF14 DOD slightly obscured, if others wasnt as prominent jt would be unlikley be an issue. stay wife runs centre of hedge&lt;/a&gt;&lt;br&gt;&lt;a href="https&amp;#58;//apps.powerapps.com/play/2d567dc9-5d50-4629-a077-f7ccbff3e239?tenantId=3ef9f654-aa07-41b8-88ad-a411c62bd12c&amp;amp;Action=Open&amp;amp;Actionno=9056"&gt;eafa4 climbing vegetation&lt;/a&gt;&lt;br&gt;&lt;a href="https&amp;#58;//apps.powerapps.com/play/2d567dc9-5d50-4629-a077-f7ccbff3e239?tenantId=3ef9f654-aa07-41b8-88ad-a411c62bd12c&amp;amp;Action=Open&amp;amp;Actionno=9057"&gt;EAFA1&lt;/a&gt;&lt;br&gt;&lt;a href="https&amp;#58;//apps.powerapps.com/play/2d567dc9-5d50-4629-a077-f7ccbff3e239?tenantId=3ef9f654-aa07-41b8-88ad-a411c62bd12c&amp;amp;Action=Open&amp;amp;Actionno=9058"&gt;DOD obscured EAFA2&lt;/a&gt;&lt;br&gt;&lt;a href="https&amp;#58;//apps.powerapps.com/play/2d567dc9-5d50-4629-a077-f7ccbff3e239?tenantId=3ef9f654-aa07-41b8-88ad-a411c62bd12c&amp;amp;Action=Open&amp;amp;Actionno=9059"&gt;EAFA3&lt;/a&gt;&lt;br&gt;&lt;a href="https&amp;#58;//apps.powerapps.com/play/2d567dc9-5d50-4629-a077-f7ccbff3e239?tenantId=3ef9f654-aa07-41b8-88ad-a411c62bd12c&amp;amp;Action=Open&amp;amp;Actionno=9060"&gt;review and rectify&lt;/a&gt;&lt;br&gt;&lt;a href="https&amp;#58;//apps.powerapps.com/play/2d567dc9-5d50-4629-a077-f7ccbff3e239?tenantId=3ef9f654-aa07-41b8-88ad-a411c62bd12c&amp;amp;Action=Open&amp;amp;Actionno=9061"&gt;review and rectify&lt;/a&gt;&lt;br&gt;&lt;a href="https&amp;#58;//apps.powerapps.com/play/2d567dc9-5d50-4629-a077-f7ccbff3e239?tenantId=3ef9f654-aa07-41b8-88ad-a411c62bd12c&amp;amp;Action=Open&amp;amp;Actionno=9062"&gt;review and rectify&lt;/a&gt;&lt;br&gt;&lt;a href="https&amp;#58;//apps.powerapps.com/play/2d567dc9-5d50-4629-a077-f7ccbff3e239?tenantId=3ef9f654-aa07-41b8-88ad-a411c62bd12c&amp;amp;Action=Open&amp;amp;Actionno=9063"&gt;review and rectify&lt;/a&gt;&lt;br&gt;&lt;a href="https&amp;#58;//apps.powerapps.com/play/2d567dc9-5d50-4629-a077-f7ccbff3e239?tenantId=3ef9f654-aa07-41b8-88ad-a411c62bd12c&amp;amp;Action=Open&amp;amp;Actionno=9064"&gt;review and rectify&lt;/a&gt;&lt;br&gt;&lt;a href="https&amp;#58;//apps.powerapps.com/play/2d567dc9-5d50-4629-a077-f7ccbff3e239?tenantId=3ef9f654-aa07-41b8-88ad-a411c62bd12c&amp;amp;Action=Open&amp;amp;Actionno=9065"&gt;rvview and rectify&lt;/a&gt;&lt;br&gt;&lt;a href="https&amp;#58;//apps.powerapps.com/play/2d567dc9-5d50-4629-a077-f7ccbff3e239?tenantId=3ef9f654-aa07-41b8-88ad-a411c62bd12c&amp;amp;Action=Open&amp;amp;Actionno=9066"&gt;review and rectify&lt;/a&gt;&lt;br&gt;&lt;a href="https&amp;#58;//apps.powerapps.com/play/2d567dc9-5d50-4629-a077-f7ccbff3e239?tenantId=3ef9f654-aa07-41b8-88ad-a411c62bd12c&amp;amp;Action=Open&amp;amp;Actionno=9067"&gt;EAF11&lt;/a&gt;&lt;br&gt;&lt;a href="https&amp;#58;//apps.powerapps.com/play/2d567dc9-5d50-4629-a077-f7ccbff3e239?tenantId=3ef9f654-aa07-41b8-88ad-a411c62bd12c&amp;amp;Action=Open&amp;amp;Actionno=9068"&gt;EAF9&lt;/a&gt;&lt;br&gt;&lt;a href="https&amp;#58;//apps.powerapps.com/play/2d567dc9-5d50-4629-a077-f7ccbff3e239?tenantId=3ef9f654-aa07-41b8-88ad-a411c62bd12c&amp;amp;Action=Open&amp;amp;Actionno=9069"&gt;EAF14 DOD slightly obscured, if others wasnt as prominent jt would be unlikley be an issue. stay wife runs centre of hedge&lt;/a&gt;&lt;br&gt;&lt;a href="https&amp;#58;//apps.powerapps.com/play/2d567dc9-5d50-4629-a077-f7ccbff3e239?tenantId=3ef9f654-aa07-41b8-88ad-a411c62bd12c&amp;amp;Action=Open&amp;amp;Actionno=9070"&gt;eafa4 climbing vegetation&lt;/a&gt;&lt;br&gt;&lt;a href="https&amp;#58;//apps.powerapps.com/play/2d567dc9-5d50-4629-a077-f7ccbff3e239?tenantId=3ef9f654-aa07-41b8-88ad-a411c62bd12c&amp;amp;Action=Open&amp;amp;Actionno=9071"&gt;EAFA1&lt;/a&gt;&lt;br&gt;&lt;a href="https&amp;#58;//apps.powerapps.com/play/2d567dc9-5d50-4629-a077-f7ccbff3e239?tenantId=3ef9f654-aa07-41b8-88ad-a411c62bd12c&amp;amp;Action=Open&amp;amp;Actionno=9072"&gt;DOD obscured EAFA2&lt;/a&gt;&lt;br&gt;&lt;a href="https&amp;#58;//apps.powerapps.com/play/2d567dc9-5d50-4629-a077-f7ccbff3e239?tenantId=3ef9f654-aa07-41b8-88ad-a411c62bd12c&amp;amp;Action=Open&amp;amp;Actionno=9073"&gt;EAFA3&lt;/a&gt;&lt;br&gt;&lt;a href="https&amp;#58;//apps.powerapps.com/play/2d567dc9-5d50-4629-a077-f7ccbff3e239?tenantId=3ef9f654-aa07-41b8-88ad-a411c62bd12c&amp;amp;Action=Open&amp;amp;Actionno=9074"&gt;review and rectify&lt;/a&gt;&lt;br&gt;&lt;a href="https&amp;#58;//apps.powerapps.com/play/2d567dc9-5d50-4629-a077-f7ccbff3e239?tenantId=3ef9f654-aa07-41b8-88ad-a411c62bd12c&amp;amp;Action=Open&amp;amp;Actionno=9075"&gt;review and rectify&lt;/a&gt;&lt;br&gt;&lt;a href="https&amp;#58;//apps.powerapps.com/play/2d567dc9-5d50-4629-a077-f7ccbff3e239?tenantId=3ef9f654-aa07-41b8-88ad-a411c62bd12c&amp;amp;Action=Open&amp;amp;Actionno=9076"&gt;review and rectify&lt;/a&gt;&lt;br&gt;&lt;a href="https&amp;#58;//apps.powerapps.com/play/2d567dc9-5d50-4629-a077-f7ccbff3e239?tenantId=3ef9f654-aa07-41b8-88ad-a411c62bd12c&amp;amp;Action=Open&amp;amp;Actionno=9077"&gt;review and rectify&lt;/a&gt;&lt;br&gt;&lt;a href="https&amp;#58;//apps.powerapps.com/play/2d567dc9-5d50-4629-a077-f7ccbff3e239?tenantId=3ef9f654-aa07-41b8-88ad-a411c62bd12c&amp;amp;Action=Open&amp;amp;Actionno=9078"&gt;review and rectify&lt;/a&gt;&lt;br&gt;&lt;a href="https&amp;#58;//apps.powerapps.com/play/2d567dc9-5d50-4629-a077-f7ccbff3e239?tenantId=3ef9f654-aa07-41b8-88ad-a411c62bd12c&amp;amp;Action=Open&amp;amp;Actionno=9079"&gt;rvview and rectify&lt;/a&gt;&lt;br&gt;&lt;a href="https&amp;#58;//apps.powerapps.com/play/2d567dc9-5d50-4629-a077-f7ccbff3e239?tenantId=3ef9f654-aa07-41b8-88ad-a411c62bd12c&amp;amp;Action=Open&amp;amp;Actionno=9080"&gt;review and rectify&lt;/a&gt;&lt;br&gt;&lt;a href="https&amp;#58;//apps.powerapps.com/play/2d567dc9-5d50-4629-a077-f7ccbff3e239?tenantId=3ef9f654-aa07-41b8-88ad-a411c62bd12c&amp;amp;Action=Open&amp;amp;Actionno=9081"&gt;EAF11&lt;/a&gt;&lt;br&gt;&lt;a href="https&amp;#58;//apps.powerapps.com/play/2d567dc9-5d50-4629-a077-f7ccbff3e239?tenantId=3ef9f654-aa07-41b8-88ad-a411c62bd12c&amp;amp;Action=Open&amp;amp;Actionno=9082"&gt;EAF9&lt;/a&gt;&lt;br&gt;&lt;a href="https&amp;#58;//apps.powerapps.com/play/2d567dc9-5d50-4629-a077-f7ccbff3e239?tenantId=3ef9f654-aa07-41b8-88ad-a411c62bd12c&amp;amp;Action=Open&amp;amp;Actionno=9083"&gt;EAF14 DOD slightly obscured, if others wasnt as prominent jt would be unlikley be an issue. stay wife runs centre of hedge&lt;/a&gt;&lt;br&gt;&lt;a href="https&amp;#58;//apps.powerapps.com/play/2d567dc9-5d50-4629-a077-f7ccbff3e239?tenantId=3ef9f654-aa07-41b8-88ad-a411c62bd12c&amp;amp;Action=Open&amp;amp;Actionno=9084"&gt;eafa4 climbing vegetation&lt;/a&gt;&lt;br&gt;&lt;a href="https&amp;#58;//apps.powerapps.com/play/2d567dc9-5d50-4629-a077-f7ccbff3e239?tenantId=3ef9f654-aa07-41b8-88ad-a411c62bd12c&amp;amp;Action=Open&amp;amp;Actionno=9085"&gt;EAFA1&lt;/a&gt;&lt;br&gt;&lt;a href="https&amp;#58;//apps.powerapps.com/play/2d567dc9-5d50-4629-a077-f7ccbff3e239?tenantId=3ef9f654-aa07-41b8-88ad-a411c62bd12c&amp;amp;Action=Open&amp;amp;Actionno=9086"&gt;DOD obscured EAFA2&lt;/a&gt;&lt;br&gt;&lt;a href="https&amp;#58;//apps.powerapps.com/play/2d567dc9-5d50-4629-a077-f7ccbff3e239?tenantId=3ef9f654-aa07-41b8-88ad-a411c62bd12c&amp;amp;Action=Open&amp;amp;Actionno=9087"&gt;EAFA3&lt;/a&gt;&lt;br&gt;&lt;a href="https&amp;#58;//apps.powerapps.com/play/2d567dc9-5d50-4629-a077-f7ccbff3e239?tenantId=3ef9f654-aa07-41b8-88ad-a411c62bd12c&amp;amp;Action=Open&amp;amp;Actionno=9088"&gt;review and rectify&lt;/a&gt;&lt;br&gt;&lt;/p&gt;</t>
  </si>
  <si>
    <t>Pole Number:JDCE8#Quality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#Pole Number:JDCE6#Quality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#Pole Number:JDCE4#Quality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#Pole Number:JDCE3#Quality of Works / Criteria of Failings:Limited Cuts Recorded~#Remark from failing(s):Remark from failing(s):
Survey and SRF only records Hawthorn for this length of vegetation, Broadleafs present but not recorded. RP sheet suggests that a restriction was given due to planning, also suggests farmer will flail hedge.
#</t>
  </si>
  <si>
    <t>&lt;p&gt;&lt;a href="https&amp;#58;//apps.powerapps.com/play/2d567dc9-5d50-4629-a077-f7ccbff3e239?tenantId=3ef9f654-aa07-41b8-88ad-a411c62bd12c&amp;amp;Action=Open&amp;amp;Actionno=8974"&gt;jDCE3 a to jdce8&lt;/a&gt;&lt;br&gt;&lt;a href="https&amp;#58;//apps.powerapps.com/play/2d567dc9-5d50-4629-a077-f7ccbff3e239?tenantId=3ef9f654-aa07-41b8-88ad-a411c62bd12c&amp;amp;Action=Open&amp;amp;Actionno=8975"&gt;jDCE3 a to jdce8&lt;/a&gt;&lt;br&gt;&lt;a href="https&amp;#58;//apps.powerapps.com/play/2d567dc9-5d50-4629-a077-f7ccbff3e239?tenantId=3ef9f654-aa07-41b8-88ad-a411c62bd12c&amp;amp;Action=Open&amp;amp;Actionno=8976"&gt;jDCE3 a to jdce8&lt;/a&gt;&lt;br&gt;&lt;a href="https&amp;#58;//apps.powerapps.com/play/2d567dc9-5d50-4629-a077-f7ccbff3e239?tenantId=3ef9f654-aa07-41b8-88ad-a411c62bd12c&amp;amp;Action=Open&amp;amp;Actionno=8977"&gt;Chapel&lt;/a&gt;&lt;br&gt;&lt;a href="https&amp;#58;//apps.powerapps.com/play/2d567dc9-5d50-4629-a077-f7ccbff3e239?tenantId=3ef9f654-aa07-41b8-88ad-a411c62bd12c&amp;amp;Action=Open&amp;amp;Actionno=8978"&gt;jDCE3 a to jdce8&lt;/a&gt;&lt;br&gt;&lt;a href="https&amp;#58;//apps.powerapps.com/play/2d567dc9-5d50-4629-a077-f7ccbff3e239?tenantId=3ef9f654-aa07-41b8-88ad-a411c62bd12c&amp;amp;Action=Open&amp;amp;Actionno=8979"&gt;jDCE3 a to jdce8&lt;/a&gt;&lt;br&gt;&lt;a href="https&amp;#58;//apps.powerapps.com/play/2d567dc9-5d50-4629-a077-f7ccbff3e239?tenantId=3ef9f654-aa07-41b8-88ad-a411c62bd12c&amp;amp;Action=Open&amp;amp;Actionno=8980"&gt;jDCE3 a to jdce8&lt;/a&gt;&lt;br&gt;&lt;a href="https&amp;#58;//apps.powerapps.com/play/2d567dc9-5d50-4629-a077-f7ccbff3e239?tenantId=3ef9f654-aa07-41b8-88ad-a411c62bd12c&amp;amp;Action=Open&amp;amp;Actionno=8981"&gt;Chapel&lt;/a&gt;&lt;br&gt;&lt;a href="https&amp;#58;//apps.powerapps.com/play/2d567dc9-5d50-4629-a077-f7ccbff3e239?tenantId=3ef9f654-aa07-41b8-88ad-a411c62bd12c&amp;amp;Action=Open&amp;amp;Actionno=8982"&gt;jDCE3 a to jdce8&lt;/a&gt;&lt;br&gt;&lt;a href="https&amp;#58;//apps.powerapps.com/play/2d567dc9-5d50-4629-a077-f7ccbff3e239?tenantId=3ef9f654-aa07-41b8-88ad-a411c62bd12c&amp;amp;Action=Open&amp;amp;Actionno=8983"&gt;jDCE3 a to jdce8&lt;/a&gt;&lt;br&gt;&lt;a href="https&amp;#58;//apps.powerapps.com/play/2d567dc9-5d50-4629-a077-f7ccbff3e239?tenantId=3ef9f654-aa07-41b8-88ad-a411c62bd12c&amp;amp;Action=Open&amp;amp;Actionno=8984"&gt;jDCE3 a to jdce8&lt;/a&gt;&lt;br&gt;&lt;a href="https&amp;#58;//apps.powerapps.com/play/2d567dc9-5d50-4629-a077-f7ccbff3e239?tenantId=3ef9f654-aa07-41b8-88ad-a411c62bd12c&amp;amp;Action=Open&amp;amp;Actionno=8985"&gt;Chapel&lt;/a&gt;&lt;br&gt;&lt;a href="https&amp;#58;//apps.powerapps.com/play/2d567dc9-5d50-4629-a077-f7ccbff3e239?tenantId=3ef9f654-aa07-41b8-88ad-a411c62bd12c&amp;amp;Action=Open&amp;amp;Actionno=8986"&gt;jDCE3 a to jdce8&lt;/a&gt;&lt;br&gt;&lt;a href="https&amp;#58;//apps.powerapps.com/play/2d567dc9-5d50-4629-a077-f7ccbff3e239?tenantId=3ef9f654-aa07-41b8-88ad-a411c62bd12c&amp;amp;Action=Open&amp;amp;Actionno=8987"&gt;jDCE3 a to jdce8&lt;/a&gt;&lt;br&gt;&lt;a href="https&amp;#58;//apps.powerapps.com/play/2d567dc9-5d50-4629-a077-f7ccbff3e239?tenantId=3ef9f654-aa07-41b8-88ad-a411c62bd12c&amp;amp;Action=Open&amp;amp;Actionno=8988"&gt;jDCE3 a to jdce8&lt;/a&gt;&lt;br&gt;&lt;a href="https&amp;#58;//apps.powerapps.com/play/2d567dc9-5d50-4629-a077-f7ccbff3e239?tenantId=3ef9f654-aa07-41b8-88ad-a411c62bd12c&amp;amp;Action=Open&amp;amp;Actionno=8989"&gt;Chapel&lt;/a&gt;&lt;br&gt;&lt;/p&gt;</t>
  </si>
  <si>
    <t>&lt;p&gt;&lt;a href="https&amp;#58;//apps.powerapps.com/play/2d567dc9-5d50-4629-a077-f7ccbff3e239?tenantId=3ef9f654-aa07-41b8-88ad-a411c62bd12c&amp;amp;Action=Open&amp;amp;Actionno=8970"&gt;please review srf, it may be my side as wont let me access but it appears detail missing&lt;/a&gt;&lt;br&gt;&lt;a href="https&amp;#58;//apps.powerapps.com/play/2d567dc9-5d50-4629-a077-f7ccbff3e239?tenantId=3ef9f654-aa07-41b8-88ad-a411c62bd12c&amp;amp;Action=Open&amp;amp;Actionno=8971"&gt;please review srf, it may be my side as wont let me access but it appears detail missing&lt;/a&gt;&lt;br&gt;&lt;a href="https&amp;#58;//apps.powerapps.com/play/2d567dc9-5d50-4629-a077-f7ccbff3e239?tenantId=3ef9f654-aa07-41b8-88ad-a411c62bd12c&amp;amp;Action=Open&amp;amp;Actionno=8972"&gt;please review srf, it may be my side as wont let me access but it appears detail missing&lt;/a&gt;&lt;br&gt;&lt;a href="https&amp;#58;//apps.powerapps.com/play/2d567dc9-5d50-4629-a077-f7ccbff3e239?tenantId=3ef9f654-aa07-41b8-88ad-a411c62bd12c&amp;amp;Action=Open&amp;amp;Actionno=8973"&gt;please review srf, it may be my side as wont let me access but it appears detail missing&lt;/a&gt;&lt;br&gt;&lt;/p&gt;</t>
  </si>
  <si>
    <t>Spencers Ln, Horley RH6 0EB, UK
(51.1678238, -0.2128501)Spencers Ln, Horley RH6 0EB, UK
(51.167832, -0.2128569)8 Newyears Green Lane
Uxbridge England UB9 6LX
United Kingdom
(51.58032476998258, -0.46076473114059857)8 Newyears Green Lane
Uxbridge England UB9 6LX
United Kingdom
(51.58032564104036, -0.46075900283272103)Pill Road
Axbridge England BS26
United Kingdom
(51.25436330054319, -2.899512580643343)98 New Romney Cres, Leicester LE5 1NH, UK
(52.648595699999994, -1.0505469)Weston-super-Mare England BS24
United Kingdom
(51.35066372341007, -2.839853061648066)Haggetts Lane
Highbridge England TA9
United Kingdom
(51.19591499771593, -2.930760662922513)76PP+PV Cambridge, UK
(52.2868321, 0.2371465)2 Green Ln, Swineshead, Bedford MK44 2AF, UK
(52.28086580000001, -0.4552482)</t>
  </si>
  <si>
    <t>Spencers Ln, Horley RH6 0EB, UK
(51.1678238, -0.2128501)Spencers Ln, Horley RH6 0EB, UK
(51.167832, -0.2128569)8 Newyears Green Lane
Uxbridge England UB9 6LX
United Kingdom
(51.58032476998258, -0.46076473114059857)8 Newyears Green Lane
Uxbridge England UB9 6LX
United Kingdom
(51.58032564104036, -0.46075900283272103)Pill Road
Axbridge England BS26
United Kingdom
(51.25436330054319, -2.899512580643343)98 New Romney Cres, Leicester LE5 1NH, UK
(52.648595699999994, -1.0505469)Weston-super-Mare England BS24
United Kingdom
(51.35066372341007, -2.839853061648066)Haggetts Lane
Highbridge England TA9
United Kingdom
(51.19591499771593, -2.930760662922513)76PP+PV Cambridge, UK
(52.2868321, 0.2371465)</t>
  </si>
  <si>
    <t>Pole Number:JDC12B#Quality of Works / Criteria of Failings:Cut Not Compliant with BS3998~#Remark from failing(s):Remark from failing(s):
Number of poor pruning cuts on willow
#Pole Number:JDC11#Quality of Works / Criteria of Failings:Compliant~#Pole Number:2119800175#Quality of Works / Criteria of Failings:Compliant~#Pole Number:JDCA4#Quality of Works / Criteria of Failings:Compliant~#Pole Number:JDCA5#Quality of Works / Criteria of Failings:Compliant~#Pole Number:2119830030#Quality of Works / Criteria of Failings:Compliant~#Pole Number:2119830170#Quality of Works / Criteria of Failings:Compliant~#Pole Number:21198330060#Quality of Works / Criteria of Failings:Compliant~#Pole Number:2119830090#Quality of Works / Criteria of Failings:Compliant~#</t>
  </si>
  <si>
    <t>&lt;p&gt;&lt;a href="https&amp;#58;//apps.powerapps.com/play/2d567dc9-5d50-4629-a077-f7ccbff3e239?tenantId=3ef9f654-aa07-41b8-88ad-a411c62bd12c&amp;amp;Action=Open&amp;amp;Actionno=8876"&gt;Rectification, span cut to spec and well. Although with willow I advise a 3 year revisit&lt;/a&gt;&lt;br&gt;&lt;a href="https&amp;#58;//apps.powerapps.com/play/2d567dc9-5d50-4629-a077-f7ccbff3e239?tenantId=3ef9f654-aa07-41b8-88ad-a411c62bd12c&amp;amp;Action=Open&amp;amp;Actionno=8877"&gt;Pruning Cuts&lt;/a&gt;&lt;br&gt;&lt;a href="https&amp;#58;//apps.powerapps.com/play/2d567dc9-5d50-4629-a077-f7ccbff3e239?tenantId=3ef9f654-aa07-41b8-88ad-a411c62bd12c&amp;amp;Action=Open&amp;amp;Actionno=8878"&gt;Rectification, span cut to spec and well. Although with willow I advise a 3 year revisit&lt;/a&gt;&lt;br&gt;&lt;a href="https&amp;#58;//apps.powerapps.com/play/2d567dc9-5d50-4629-a077-f7ccbff3e239?tenantId=3ef9f654-aa07-41b8-88ad-a411c62bd12c&amp;amp;Action=Open&amp;amp;Actionno=8879"&gt;Rectification, span cut to spec and well. Although with willow I advise a 3 year revisit&lt;/a&gt;&lt;br&gt;&lt;a href="https&amp;#58;//apps.powerapps.com/play/2d567dc9-5d50-4629-a077-f7ccbff3e239?tenantId=3ef9f654-aa07-41b8-88ad-a411c62bd12c&amp;amp;Action=Open&amp;amp;Actionno=8880"&gt;Rectification, span cut to spec and well. Although with willow I advise a 3 year revisit&lt;/a&gt;&lt;br&gt;&lt;a href="https&amp;#58;//apps.powerapps.com/play/2d567dc9-5d50-4629-a077-f7ccbff3e239?tenantId=3ef9f654-aa07-41b8-88ad-a411c62bd12c&amp;amp;Action=Open&amp;amp;Actionno=8881"&gt;Rectification, span cut to spec and well. Although with willow I advise a 3 year revisit&lt;/a&gt;&lt;br&gt;&lt;a href="https&amp;#58;//apps.powerapps.com/play/2d567dc9-5d50-4629-a077-f7ccbff3e239?tenantId=3ef9f654-aa07-41b8-88ad-a411c62bd12c&amp;amp;Action=Open&amp;amp;Actionno=8882"&gt;Rectification, span cut to spec and well. Although with willow I advise a 3 year revisit&lt;/a&gt;&lt;br&gt;&lt;a href="https&amp;#58;//apps.powerapps.com/play/2d567dc9-5d50-4629-a077-f7ccbff3e239?tenantId=3ef9f654-aa07-41b8-88ad-a411c62bd12c&amp;amp;Action=Open&amp;amp;Actionno=8883"&gt;Rectification, span cut to spec and well. Although with willow I advise a 3 year revisit&lt;/a&gt;&lt;br&gt;&lt;a href="https&amp;#58;//apps.powerapps.com/play/2d567dc9-5d50-4629-a077-f7ccbff3e239?tenantId=3ef9f654-aa07-41b8-88ad-a411c62bd12c&amp;amp;Action=Open&amp;amp;Actionno=8884"&gt;Rectification, span cut to spec and well. Although with willow I advise a 3 year revisit&lt;/a&gt;&lt;br&gt;&lt;a href="https&amp;#58;//apps.powerapps.com/play/2d567dc9-5d50-4629-a077-f7ccbff3e239?tenantId=3ef9f654-aa07-41b8-88ad-a411c62bd12c&amp;amp;Action=Open&amp;amp;Actionno=8885"&gt;Rectification, span cut to spec and well. Although with willow I advise a 3 year revisit&lt;/a&gt;&lt;br&gt;&lt;/p&gt;</t>
  </si>
  <si>
    <t>(53.2263909, -1.1860777)10 Abbey Ln, United Kingdom
(53.406227, -1.191854)16 Belvedere Cl, North Anston, Sheffield S25 4GU, UK
(53.3501456, -1.2094612)Hillside Farm, Woolavington Rd, Bridgwater TA7 8AA, UK
(51.1667188, -2.9517216)Berryhill Farm, Marshfield, Newport NP10 8UD, UK
(51.552527999999995, -3.057477)Orchard Farm
Clevedon England BS21 6TT
United Kingdom
(51.40759233215787, -2.84379098535496)Hillside Farm, Woolavington Rd, Bridgwater TA7 8AA, UK
(51.1667188, -2.9517216)Pumping Station House, Shirebrook, Mansfield NG20 8EJ, UK
(53.1967891, -1.243304)Units C5-C6, Sneyd Hill Industrial Estate, Burslem, Stoke On Trent, ST6 2EBPumping Station House, Shirebrook, Mansfield NG20 8EJ, UK
(53.1967891, -1.243304)Pumping Station House, Shirebrook, Mansfield NG20 8EJ, UK
(53.1967891, -1.243304)Copper Beech, Mansfield NG20 9JQ, UK
(53.2276854, -1.1856166)(53.2267626, -1.1861487)Mareham Ln, Sleaford NG34 7JP, UK
(52.9947947, -0.4072993)Craggs Cottage, Crags Rd, Creswell, Worksop S80 4AG, UK
(53.260984099999995, -1.2057331)Barncoose Industrial Estate, Wilson Way, Redruth TR15 3DW, UK
(50.2273867, -5.253342)Pit Ln &amp; Jamage Rd, Talke Pits, Stoke-on-Trent ST7 1UH, UK
(53.0679276, -2.260058)Millash Ln, Worksop S80, UK
(53.274983738416466, -1.194850607585874)Martlands Farm, Woolavington, Bridgwater TA7 8ED, UK
(51.169165799999995, -2.9439551)Millash Ln, Worksop S80, UK
(53.274983738416466, -1.194850607585874)Millash Ln, Worksop S80, UK
(53.274983738416466, -1.194850607585874)Millash Ln, Worksop S80, UK
(53.274983738416466, -1.194850607585874)Lea Rd, Gainsborough DN21 1AF, UK
(53.3877849, -0.7703995)17 Stoneland Ave, Biggleswade SG18 0EA, UK
(52.094516899999995, -0.2582857)</t>
  </si>
  <si>
    <t>216 Braunstone Ave, Leicester LE3 1EG, UK
(52.6214424, -1.1703553)Braunstone Park Pond, 191 Cort Cres, Leicester LE3 1QN, UK
(52.621678, -1.177998)20 Seagrave Rd., Thrussington, Leicester LE7 4UG, UK
(52.73768399999999, -1.0424804)5662+G8 Newark, UK
(53.161292, -0.7992045)X46P+XV Nottingham, UK
(52.9623988, -0.8628178999999999)Team Valley Retail Park Unit 6, Team Valley, Gateshead NE11 0BD, UK
(54.923753, -1.6208156999999999)Ashes Road Oldbury 17 Stoneland Ave, Biggleswade SG18 0EA, UK
(52.094516899999995, -0.2582857)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</si>
</sst>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0.0"/>
    <numFmt numFmtId="166" formatCode="0.0%"/>
    <numFmt numFmtId="167" formatCode="yyyy\-mm\-dd\ h:mm:ss"/>
  </numFmts>
  <fonts count="59" x14ac:knownFonts="1">
    <font>
      <sz val="10"/>
      <name val="Arial"/>
      <family val="2"/>
    </font>
    <font>
      <sz val="11"/>
      <color theme="1"/>
      <name val="Calibri"/>
      <family val="2"/>
    </font>
    <font>
      <b/>
      <sz val="13"/>
      <color rgb="FFFFFFFF"/>
      <name val="Arial"/>
      <family val="2"/>
    </font>
    <font>
      <b/>
      <sz val="11"/>
      <name val="Cambria"/>
      <family val="1"/>
    </font>
    <font>
      <sz val="10"/>
      <color rgb="FF1F3864"/>
      <name val="Calibri"/>
      <family val="2"/>
    </font>
    <font>
      <i/>
      <sz val="8"/>
      <color rgb="FF595959"/>
      <name val="Calibri"/>
      <family val="2"/>
    </font>
    <font>
      <b/>
      <sz val="10"/>
      <color rgb="FFFFFFFF"/>
      <name val="Arial"/>
      <family val="2"/>
    </font>
    <font>
      <b/>
      <sz val="9"/>
      <color rgb="FFFFFFFF"/>
      <name val="Arial"/>
      <family val="2"/>
    </font>
    <font>
      <b/>
      <sz val="24"/>
      <color rgb="FF2D6A4F"/>
      <name val="Arial"/>
      <family val="2"/>
    </font>
    <font>
      <b/>
      <sz val="24"/>
      <color rgb="FF1E8449"/>
      <name val="Arial"/>
      <family val="2"/>
    </font>
    <font>
      <b/>
      <sz val="24"/>
      <color rgb="FF7D6608"/>
      <name val="Arial"/>
      <family val="2"/>
    </font>
    <font>
      <b/>
      <sz val="24"/>
      <color rgb="FF922B21"/>
      <name val="Arial"/>
      <family val="2"/>
    </font>
    <font>
      <b/>
      <sz val="10"/>
      <color rgb="FF922B21"/>
      <name val="Arial"/>
      <family val="2"/>
    </font>
    <font>
      <b/>
      <sz val="9"/>
      <color rgb="FF1A3A2A"/>
      <name val="Arial"/>
      <family val="2"/>
    </font>
    <font>
      <b/>
      <sz val="11"/>
      <color rgb="FFFFFFFF"/>
      <name val="Cambria"/>
      <family val="1"/>
    </font>
    <font>
      <sz val="9"/>
      <color rgb="FF000000"/>
      <name val="Arial"/>
      <family val="2"/>
    </font>
    <font>
      <b/>
      <sz val="9"/>
      <color rgb="FF000000"/>
      <name val="Arial"/>
      <family val="2"/>
    </font>
    <font>
      <sz val="10"/>
      <name val="Calibri"/>
      <family val="2"/>
    </font>
    <font>
      <sz val="9"/>
      <color rgb="FF1A3A2A"/>
      <name val="Arial"/>
      <family val="2"/>
    </font>
    <font>
      <b/>
      <sz val="11"/>
      <color rgb="FFFFFFFF"/>
      <name val="Calibri"/>
      <family val="2"/>
    </font>
    <font>
      <b/>
      <sz val="9"/>
      <color rgb="FFFFFFFF"/>
      <name val="Calibri"/>
      <family val="2"/>
    </font>
    <font>
      <sz val="10"/>
      <color rgb="FF1F1F1F"/>
      <name val="Calibri"/>
      <family val="2"/>
    </font>
    <font>
      <b/>
      <sz val="11"/>
      <color rgb="FFFFFFFF"/>
      <name val="Arial"/>
      <family val="2"/>
    </font>
    <font>
      <sz val="9"/>
      <color rgb="FF1F1F1F"/>
      <name val="Arial"/>
      <family val="2"/>
    </font>
    <font>
      <sz val="9"/>
      <color rgb="FF595959"/>
      <name val="Arial"/>
      <family val="2"/>
    </font>
    <font>
      <sz val="9"/>
      <color rgb="FF7F3F00"/>
      <name val="Arial"/>
      <family val="2"/>
    </font>
    <font>
      <b/>
      <sz val="10"/>
      <name val="Calibri"/>
      <family val="2"/>
    </font>
    <font>
      <b/>
      <sz val="11"/>
      <color rgb="FF1E8449"/>
      <name val="Arial"/>
      <family val="2"/>
    </font>
    <font>
      <b/>
      <sz val="10"/>
      <color rgb="FFFFFFFF"/>
      <name val="Calibri"/>
      <family val="2"/>
    </font>
    <font>
      <sz val="9"/>
      <color rgb="FF595959"/>
      <name val="Calibri"/>
      <family val="2"/>
    </font>
    <font>
      <b/>
      <sz val="12"/>
      <color rgb="FFFFFFFF"/>
      <name val="Calibri"/>
      <family val="2"/>
    </font>
    <font>
      <sz val="9"/>
      <color rgb="FF1F1F1F"/>
      <name val="Calibri"/>
      <family val="2"/>
    </font>
    <font>
      <sz val="9"/>
      <name val="Calibri"/>
      <family val="2"/>
    </font>
    <font>
      <sz val="9"/>
      <color rgb="FF7F3F00"/>
      <name val="Calibri"/>
      <family val="2"/>
    </font>
    <font>
      <b/>
      <sz val="13"/>
      <color rgb="FFFFFFFF"/>
      <name val="Calibri"/>
      <family val="2"/>
    </font>
    <font>
      <sz val="11"/>
      <name val="Cambria"/>
      <family val="1"/>
    </font>
    <font>
      <b/>
      <sz val="10"/>
      <color rgb="FFFFFFFF"/>
      <name val="Arial"/>
      <family val="2"/>
    </font>
    <font>
      <sz val="10"/>
      <name val="Arial"/>
      <family val="2"/>
    </font>
    <font>
      <b/>
      <sz val="13"/>
      <color rgb="FFFFFFFF"/>
      <name val="Arial"/>
      <family val="2"/>
    </font>
    <font>
      <i/>
      <sz val="10"/>
      <name val="Arial"/>
      <family val="2"/>
    </font>
    <font>
      <b/>
      <sz val="10"/>
      <color rgb="FF7F6000"/>
      <name val="Arial"/>
      <family val="2"/>
    </font>
    <font>
      <b/>
      <sz val="11"/>
      <color rgb="FFFFFFFF"/>
      <name val="Arial"/>
      <family val="2"/>
    </font>
    <font>
      <b/>
      <sz val="10"/>
      <color rgb="FF1F3864"/>
      <name val="Arial"/>
      <family val="2"/>
    </font>
    <font>
      <sz val="10"/>
      <name val="Arial"/>
      <family val="2"/>
    </font>
    <font>
      <i/>
      <sz val="9"/>
      <color rgb="FFFFFFFF"/>
      <name val="Arial"/>
      <family val="2"/>
    </font>
    <font>
      <b/>
      <sz val="11"/>
      <color rgb="FF375623"/>
      <name val="Arial"/>
      <family val="2"/>
    </font>
    <font>
      <b/>
      <sz val="10"/>
      <color rgb="FFFFFFFF"/>
      <name val="Arial"/>
      <family val="2"/>
    </font>
    <font>
      <sz val="9"/>
      <name val="Courier New"/>
      <family val="1"/>
    </font>
    <font>
      <i/>
      <sz val="8"/>
      <color rgb="FF808080"/>
      <name val="Arial"/>
      <family val="2"/>
    </font>
    <font>
      <b/>
      <sz val="9"/>
      <color rgb="FF7F6000"/>
      <name val="Arial"/>
      <family val="2"/>
    </font>
    <font>
      <b/>
      <sz val="10"/>
      <color rgb="FFB2D235"/>
      <name val="Arial"/>
      <family val="2"/>
    </font>
    <font>
      <b/>
      <sz val="9"/>
      <color rgb="FFFFFFFF"/>
      <name val="Arial"/>
      <family val="2"/>
    </font>
    <font>
      <i/>
      <sz val="8"/>
      <color rgb="FF595959"/>
      <name val="Arial"/>
      <family val="2"/>
    </font>
    <font>
      <i/>
      <sz val="8"/>
      <color rgb="FFF57821"/>
      <name val="Arial"/>
      <family val="2"/>
    </font>
    <font>
      <b/>
      <sz val="8"/>
      <color rgb="FFFFFFFF"/>
      <name val="Arial"/>
      <family val="2"/>
    </font>
    <font>
      <b/>
      <sz val="8"/>
      <color rgb="FF294238"/>
      <name val="Arial"/>
      <family val="2"/>
    </font>
    <font>
      <sz val="9"/>
      <name val="Arial"/>
      <family val="2"/>
    </font>
    <font>
      <b/>
      <sz val="10"/>
      <color rgb="FFF57821"/>
      <name val="Arial"/>
      <family val="2"/>
    </font>
    <font>
      <sz val="12"/>
      <name val="Arial"/>
      <family val="2"/>
    </font>
  </fonts>
  <fills count="41">
    <fill>
      <patternFill patternType="none"/>
    </fill>
    <fill>
      <patternFill patternType="gray125"/>
    </fill>
    <fill>
      <patternFill patternType="solid">
        <fgColor rgb="FF1A3A2A"/>
        <bgColor rgb="FF1C2833"/>
      </patternFill>
    </fill>
    <fill>
      <patternFill patternType="solid">
        <fgColor rgb="FFFFF2CC"/>
        <bgColor rgb="FFFEF3CD"/>
      </patternFill>
    </fill>
    <fill>
      <patternFill patternType="solid">
        <fgColor rgb="FFD9E2DC"/>
        <bgColor rgb="FFD9D9D9"/>
      </patternFill>
    </fill>
    <fill>
      <patternFill patternType="solid">
        <fgColor rgb="FF2D6A4F"/>
        <bgColor rgb="FF1E8449"/>
      </patternFill>
    </fill>
    <fill>
      <patternFill patternType="solid">
        <fgColor rgb="FF1E8449"/>
        <bgColor rgb="FF2D6A4F"/>
      </patternFill>
    </fill>
    <fill>
      <patternFill patternType="solid">
        <fgColor rgb="FF7D6608"/>
        <bgColor rgb="FF7F3F00"/>
      </patternFill>
    </fill>
    <fill>
      <patternFill patternType="solid">
        <fgColor rgb="FF922B21"/>
        <bgColor rgb="FF7F3F00"/>
      </patternFill>
    </fill>
    <fill>
      <patternFill patternType="solid">
        <fgColor rgb="FFFFFFFF"/>
        <bgColor rgb="FFF7F9F7"/>
      </patternFill>
    </fill>
    <fill>
      <patternFill patternType="solid">
        <fgColor rgb="FFFADBD8"/>
        <bgColor rgb="FFD9D9D9"/>
      </patternFill>
    </fill>
    <fill>
      <patternFill patternType="solid">
        <fgColor rgb="FF1C2833"/>
        <bgColor rgb="FF1F1F1F"/>
      </patternFill>
    </fill>
    <fill>
      <patternFill patternType="solid">
        <fgColor rgb="FF95D5B2"/>
        <bgColor rgb="FFB8B8B8"/>
      </patternFill>
    </fill>
    <fill>
      <patternFill patternType="solid">
        <fgColor rgb="FF1F4E78"/>
        <bgColor rgb="FF1F3864"/>
      </patternFill>
    </fill>
    <fill>
      <patternFill patternType="solid">
        <fgColor rgb="FFF7F9F7"/>
        <bgColor rgb="FFF2F2F2"/>
      </patternFill>
    </fill>
    <fill>
      <patternFill patternType="solid">
        <fgColor rgb="FF375623"/>
        <bgColor rgb="FF404040"/>
      </patternFill>
    </fill>
    <fill>
      <patternFill patternType="solid">
        <fgColor rgb="FF2E75B6"/>
        <bgColor rgb="FF2980B9"/>
      </patternFill>
    </fill>
    <fill>
      <patternFill patternType="solid">
        <fgColor rgb="FF1F3864"/>
        <bgColor rgb="FF1F4E78"/>
      </patternFill>
    </fill>
    <fill>
      <patternFill patternType="solid">
        <fgColor rgb="FFE2EFDA"/>
        <bgColor rgb="FFD5F5E3"/>
      </patternFill>
    </fill>
    <fill>
      <patternFill patternType="solid">
        <fgColor rgb="FFF2F2F2"/>
        <bgColor rgb="FFF7F9F7"/>
      </patternFill>
    </fill>
    <fill>
      <patternFill patternType="solid">
        <fgColor rgb="FFFFF9C4"/>
        <bgColor rgb="FFFEF3CD"/>
      </patternFill>
    </fill>
    <fill>
      <patternFill patternType="solid">
        <fgColor rgb="FFD5F5E3"/>
        <bgColor rgb="FFE2EFDA"/>
      </patternFill>
    </fill>
    <fill>
      <patternFill patternType="solid">
        <fgColor rgb="FFFEF3CD"/>
        <bgColor rgb="FFFFF2CC"/>
      </patternFill>
    </fill>
    <fill>
      <patternFill patternType="solid">
        <fgColor rgb="FFD9E1F2"/>
        <bgColor rgb="FFD9E2DC"/>
      </patternFill>
    </fill>
    <fill>
      <patternFill patternType="solid">
        <fgColor rgb="FFC00000"/>
        <bgColor rgb="FF800000"/>
      </patternFill>
    </fill>
    <fill>
      <patternFill patternType="solid">
        <fgColor rgb="FFFFC000"/>
        <bgColor rgb="FFF4A100"/>
      </patternFill>
    </fill>
    <fill>
      <patternFill patternType="solid">
        <fgColor rgb="FF1F3864"/>
      </patternFill>
    </fill>
    <fill>
      <patternFill patternType="solid">
        <fgColor rgb="FFCCFFCC"/>
      </patternFill>
    </fill>
    <fill>
      <patternFill patternType="solid">
        <fgColor rgb="FFFFCCCC"/>
      </patternFill>
    </fill>
    <fill>
      <patternFill patternType="solid">
        <fgColor rgb="FFDEEAF1"/>
      </patternFill>
    </fill>
    <fill>
      <patternFill patternType="solid">
        <fgColor rgb="FFFFF2CC"/>
      </patternFill>
    </fill>
    <fill>
      <patternFill patternType="solid">
        <fgColor rgb="FF2E75B6"/>
      </patternFill>
    </fill>
    <fill>
      <patternFill patternType="solid">
        <fgColor rgb="FFEBF3FB"/>
      </patternFill>
    </fill>
    <fill>
      <patternFill patternType="solid">
        <fgColor rgb="FFD6E4F0"/>
      </patternFill>
    </fill>
    <fill>
      <patternFill patternType="solid">
        <fgColor rgb="FFE2EFDA"/>
      </patternFill>
    </fill>
    <fill>
      <patternFill patternType="solid">
        <fgColor rgb="FF7F7F7F"/>
      </patternFill>
    </fill>
    <fill>
      <patternFill patternType="solid">
        <fgColor rgb="FFD9D9D9"/>
        <bgColor rgb="FFD9D9D9"/>
      </patternFill>
    </fill>
    <fill>
      <patternFill patternType="solid">
        <fgColor rgb="FFFFF2CC"/>
        <bgColor rgb="FFFFF2CC"/>
      </patternFill>
    </fill>
    <fill>
      <patternFill patternType="solid">
        <fgColor rgb="FF294238"/>
        <bgColor rgb="FF294238"/>
      </patternFill>
    </fill>
    <fill>
      <patternFill patternType="solid">
        <fgColor rgb="FFB2D235"/>
        <bgColor rgb="FFB2D235"/>
      </patternFill>
    </fill>
    <fill>
      <patternFill patternType="solid">
        <fgColor rgb="FFE6EBE3"/>
        <bgColor rgb="FFE6EBE3"/>
      </patternFill>
    </fill>
  </fills>
  <borders count="15">
    <border>
      <left/>
      <right/>
      <top/>
      <bottom/>
      <diagonal/>
    </border>
    <border>
      <left style="medium">
        <color rgb="FF1F3864"/>
      </left>
      <right style="medium">
        <color rgb="FF1F3864"/>
      </right>
      <top style="medium">
        <color rgb="FF1F3864"/>
      </top>
      <bottom style="medium">
        <color rgb="FF1F3864"/>
      </bottom>
      <diagonal/>
    </border>
    <border>
      <left style="medium">
        <color auto="1"/>
      </left>
      <right style="medium">
        <color auto="1"/>
      </right>
      <top style="medium">
        <color auto="1"/>
      </top>
      <bottom style="medium">
        <color auto="1"/>
      </bottom>
      <diagonal/>
    </border>
    <border>
      <left style="medium">
        <color rgb="FF1A3A2A"/>
      </left>
      <right/>
      <top style="medium">
        <color rgb="FF1A3A2A"/>
      </top>
      <bottom style="medium">
        <color rgb="FF1A3A2A"/>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diagonal/>
    </border>
    <border>
      <left style="thin">
        <color rgb="FFD9D9D9"/>
      </left>
      <right style="thin">
        <color rgb="FFD9D9D9"/>
      </right>
      <top style="thin">
        <color rgb="FFD9D9D9"/>
      </top>
      <bottom style="thin">
        <color rgb="FFD9D9D9"/>
      </bottom>
      <diagonal/>
    </border>
    <border>
      <left style="medium">
        <color rgb="FF404040"/>
      </left>
      <right style="medium">
        <color rgb="FF404040"/>
      </right>
      <top style="medium">
        <color rgb="FF404040"/>
      </top>
      <bottom style="medium">
        <color rgb="FF404040"/>
      </bottom>
      <diagonal/>
    </border>
    <border>
      <left style="thin">
        <color rgb="FFB8B8B8"/>
      </left>
      <right style="thin">
        <color rgb="FFB8B8B8"/>
      </right>
      <top style="thin">
        <color rgb="FFB8B8B8"/>
      </top>
      <bottom style="thin">
        <color rgb="FFB8B8B8"/>
      </bottom>
      <diagonal/>
    </border>
    <border>
      <left/>
      <right/>
      <top style="medium">
        <color rgb="FF1A3A2A"/>
      </top>
      <bottom style="medium">
        <color rgb="FF1A3A2A"/>
      </bottom>
      <diagonal/>
    </border>
    <border>
      <left/>
      <right/>
      <top style="thin">
        <color rgb="FFAAAAAA"/>
      </top>
      <bottom/>
      <diagonal/>
    </border>
    <border>
      <left/>
      <right/>
      <top style="thin">
        <color rgb="FFAAAAAA"/>
      </top>
      <bottom style="thin">
        <color rgb="FFAAAAAA"/>
      </bottom>
      <diagonal/>
    </border>
    <border>
      <left style="thin">
        <color rgb="FFAAAAAA"/>
      </left>
      <right/>
      <top/>
      <bottom/>
      <diagonal/>
    </border>
    <border>
      <left/>
      <right style="thin">
        <color rgb="FFAAAAAA"/>
      </right>
      <top style="thin">
        <color rgb="FFAAAAAA"/>
      </top>
      <bottom style="thin">
        <color rgb="FFAAAAAA"/>
      </bottom>
      <diagonal/>
    </border>
  </borders>
  <cellStyleXfs count="1">
    <xf numFmtId="0" fontId="0" fillId="0" borderId="0"/>
  </cellStyleXfs>
  <cellXfs count="189">
    <xf numFmtId="0" fontId="0" fillId="0" borderId="0" xfId="0"/>
    <xf numFmtId="0" fontId="1" fillId="0" borderId="0" xfId="0" applyFont="1"/>
    <xf numFmtId="164" fontId="5" fillId="0" borderId="2" xfId="0" applyNumberFormat="1" applyFont="1" applyBorder="1" applyAlignment="1">
      <alignment horizontal="center" vertical="center"/>
    </xf>
    <xf numFmtId="0" fontId="6" fillId="5" borderId="0" xfId="0" applyFont="1" applyFill="1" applyAlignment="1">
      <alignment horizontal="center" vertical="center"/>
    </xf>
    <xf numFmtId="0" fontId="14" fillId="13"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left" vertical="center" wrapText="1"/>
    </xf>
    <xf numFmtId="165" fontId="15" fillId="0" borderId="5" xfId="0" applyNumberFormat="1" applyFont="1" applyBorder="1" applyAlignment="1">
      <alignment horizontal="center" vertical="center"/>
    </xf>
    <xf numFmtId="166" fontId="15" fillId="0" borderId="5" xfId="0" applyNumberFormat="1" applyFont="1" applyBorder="1" applyAlignment="1">
      <alignment horizontal="center" vertical="center"/>
    </xf>
    <xf numFmtId="0" fontId="15" fillId="14" borderId="5" xfId="0" applyFont="1" applyFill="1" applyBorder="1" applyAlignment="1">
      <alignment horizontal="center" vertical="center"/>
    </xf>
    <xf numFmtId="0" fontId="15" fillId="14" borderId="5" xfId="0" applyFont="1" applyFill="1" applyBorder="1" applyAlignment="1">
      <alignment horizontal="left" vertical="center" wrapText="1"/>
    </xf>
    <xf numFmtId="165" fontId="15" fillId="14" borderId="5" xfId="0" applyNumberFormat="1" applyFont="1" applyFill="1" applyBorder="1" applyAlignment="1">
      <alignment horizontal="center" vertical="center"/>
    </xf>
    <xf numFmtId="166" fontId="15" fillId="14" borderId="5" xfId="0" applyNumberFormat="1" applyFont="1" applyFill="1" applyBorder="1" applyAlignment="1">
      <alignment horizontal="center" vertical="center"/>
    </xf>
    <xf numFmtId="0" fontId="16" fillId="14" borderId="5" xfId="0" applyFont="1" applyFill="1" applyBorder="1" applyAlignment="1">
      <alignment horizontal="left" vertical="center"/>
    </xf>
    <xf numFmtId="165"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0" fontId="16" fillId="9" borderId="5" xfId="0" applyFont="1" applyFill="1" applyBorder="1" applyAlignment="1">
      <alignment horizontal="left" vertical="center"/>
    </xf>
    <xf numFmtId="0" fontId="17" fillId="14" borderId="5" xfId="0" applyFont="1" applyFill="1" applyBorder="1" applyAlignment="1">
      <alignment horizontal="left" vertical="center"/>
    </xf>
    <xf numFmtId="165" fontId="17" fillId="0" borderId="5" xfId="0" applyNumberFormat="1" applyFont="1" applyBorder="1" applyAlignment="1">
      <alignment horizontal="center" vertical="center"/>
    </xf>
    <xf numFmtId="0" fontId="17" fillId="0" borderId="5" xfId="0" applyFont="1" applyBorder="1" applyAlignment="1">
      <alignment horizontal="center" vertical="center"/>
    </xf>
    <xf numFmtId="0" fontId="14" fillId="13" borderId="7" xfId="0" applyFont="1" applyFill="1" applyBorder="1" applyAlignment="1">
      <alignment horizontal="center" vertical="center" wrapText="1"/>
    </xf>
    <xf numFmtId="0" fontId="20" fillId="16" borderId="7" xfId="0" applyFont="1" applyFill="1" applyBorder="1" applyAlignment="1">
      <alignment horizontal="center" vertical="center"/>
    </xf>
    <xf numFmtId="0" fontId="21" fillId="0" borderId="0" xfId="0" applyFont="1" applyAlignment="1">
      <alignment horizontal="center" vertical="center"/>
    </xf>
    <xf numFmtId="0" fontId="21" fillId="0" borderId="7" xfId="0" applyFont="1" applyBorder="1" applyAlignment="1">
      <alignment horizontal="left" vertical="center"/>
    </xf>
    <xf numFmtId="165" fontId="21" fillId="0" borderId="7" xfId="0" applyNumberFormat="1" applyFont="1" applyBorder="1" applyAlignment="1">
      <alignment horizontal="left" vertical="center"/>
    </xf>
    <xf numFmtId="166" fontId="21" fillId="0" borderId="7" xfId="0" applyNumberFormat="1" applyFont="1" applyBorder="1" applyAlignment="1">
      <alignment horizontal="left" vertical="center"/>
    </xf>
    <xf numFmtId="0" fontId="6" fillId="16" borderId="8" xfId="0" applyFont="1" applyFill="1" applyBorder="1" applyAlignment="1">
      <alignment horizontal="center" vertical="center" wrapText="1"/>
    </xf>
    <xf numFmtId="0" fontId="15" fillId="0" borderId="5" xfId="0" applyFont="1" applyBorder="1" applyAlignment="1">
      <alignment horizontal="left" vertical="center"/>
    </xf>
    <xf numFmtId="0" fontId="15" fillId="20" borderId="5" xfId="0" applyFont="1" applyFill="1" applyBorder="1" applyAlignment="1">
      <alignment horizontal="center" vertical="center"/>
    </xf>
    <xf numFmtId="0" fontId="15" fillId="14" borderId="5" xfId="0" applyFont="1" applyFill="1" applyBorder="1" applyAlignment="1">
      <alignment horizontal="left" vertical="center"/>
    </xf>
    <xf numFmtId="0" fontId="15" fillId="4" borderId="5" xfId="0" applyFont="1" applyFill="1" applyBorder="1" applyAlignment="1">
      <alignment horizontal="center" vertical="center"/>
    </xf>
    <xf numFmtId="0" fontId="16" fillId="14" borderId="5" xfId="0" applyFont="1" applyFill="1" applyBorder="1" applyAlignment="1">
      <alignment horizontal="left" vertical="center" wrapText="1"/>
    </xf>
    <xf numFmtId="0" fontId="16" fillId="20" borderId="5" xfId="0" applyFont="1" applyFill="1" applyBorder="1" applyAlignment="1">
      <alignment horizontal="center" vertical="center"/>
    </xf>
    <xf numFmtId="0" fontId="16" fillId="0" borderId="5" xfId="0" applyFont="1" applyBorder="1" applyAlignment="1">
      <alignment horizontal="left" vertical="center" wrapText="1"/>
    </xf>
    <xf numFmtId="0" fontId="16" fillId="4" borderId="5" xfId="0" applyFont="1" applyFill="1" applyBorder="1" applyAlignment="1">
      <alignment horizontal="center" vertical="center"/>
    </xf>
    <xf numFmtId="0" fontId="16" fillId="0" borderId="4" xfId="0" applyFont="1" applyBorder="1" applyAlignment="1">
      <alignment horizontal="left" vertical="center" wrapText="1"/>
    </xf>
    <xf numFmtId="0" fontId="13" fillId="12" borderId="5" xfId="0" applyFont="1" applyFill="1" applyBorder="1" applyAlignment="1">
      <alignment horizontal="center" vertical="center"/>
    </xf>
    <xf numFmtId="0" fontId="1" fillId="0" borderId="5" xfId="0" applyFont="1" applyBorder="1"/>
    <xf numFmtId="0" fontId="15" fillId="21" borderId="5" xfId="0" applyFont="1" applyFill="1" applyBorder="1" applyAlignment="1">
      <alignment horizontal="center" vertical="center"/>
    </xf>
    <xf numFmtId="0" fontId="15" fillId="22" borderId="5" xfId="0" applyFont="1" applyFill="1" applyBorder="1" applyAlignment="1">
      <alignment horizontal="center" vertical="center"/>
    </xf>
    <xf numFmtId="0" fontId="15" fillId="10" borderId="5" xfId="0" applyFont="1" applyFill="1" applyBorder="1" applyAlignment="1">
      <alignment horizontal="center" vertical="center"/>
    </xf>
    <xf numFmtId="0" fontId="7" fillId="11" borderId="4" xfId="0" applyFont="1" applyFill="1" applyBorder="1" applyAlignment="1">
      <alignment horizontal="left" vertical="center" wrapText="1"/>
    </xf>
    <xf numFmtId="0" fontId="18" fillId="12" borderId="4" xfId="0" applyFont="1" applyFill="1" applyBorder="1" applyAlignment="1">
      <alignment horizontal="left" vertical="center" wrapText="1"/>
    </xf>
    <xf numFmtId="0" fontId="17" fillId="0" borderId="0" xfId="0" applyFont="1"/>
    <xf numFmtId="0" fontId="26" fillId="0" borderId="0" xfId="0" applyFont="1"/>
    <xf numFmtId="0" fontId="1" fillId="0" borderId="0" xfId="0" applyFont="1" applyAlignment="1">
      <alignment wrapText="1"/>
    </xf>
    <xf numFmtId="0" fontId="20" fillId="16" borderId="0" xfId="0" applyFont="1" applyFill="1" applyAlignment="1">
      <alignment horizontal="center" vertical="center" wrapText="1"/>
    </xf>
    <xf numFmtId="0" fontId="20" fillId="15" borderId="0" xfId="0" applyFont="1" applyFill="1" applyAlignment="1">
      <alignment horizontal="center" vertical="center" wrapText="1"/>
    </xf>
    <xf numFmtId="0" fontId="17" fillId="0" borderId="0" xfId="0" applyFont="1" applyAlignment="1">
      <alignment horizontal="center" vertical="center"/>
    </xf>
    <xf numFmtId="0" fontId="7" fillId="5" borderId="5" xfId="0" applyFont="1" applyFill="1" applyBorder="1" applyAlignment="1">
      <alignment horizontal="center" vertical="center"/>
    </xf>
    <xf numFmtId="0" fontId="27" fillId="0" borderId="5" xfId="0" applyFont="1" applyBorder="1" applyAlignment="1">
      <alignment horizontal="center" vertical="center"/>
    </xf>
    <xf numFmtId="0" fontId="28" fillId="15" borderId="0" xfId="0" applyFont="1" applyFill="1"/>
    <xf numFmtId="0" fontId="15" fillId="0" borderId="0" xfId="0" applyFont="1" applyAlignment="1">
      <alignment horizontal="left" vertical="center"/>
    </xf>
    <xf numFmtId="166" fontId="15" fillId="0" borderId="0" xfId="0" applyNumberFormat="1" applyFont="1" applyAlignment="1">
      <alignment horizontal="center" vertical="center"/>
    </xf>
    <xf numFmtId="0" fontId="15" fillId="0" borderId="0" xfId="0" applyFont="1" applyAlignment="1">
      <alignment horizontal="center" vertical="center"/>
    </xf>
    <xf numFmtId="167" fontId="15" fillId="0" borderId="0" xfId="0" applyNumberFormat="1" applyFont="1" applyAlignment="1">
      <alignment horizontal="center" vertical="center"/>
    </xf>
    <xf numFmtId="167" fontId="1" fillId="0" borderId="0" xfId="0" applyNumberFormat="1" applyFont="1"/>
    <xf numFmtId="0" fontId="29" fillId="0" borderId="0" xfId="0" applyFont="1"/>
    <xf numFmtId="0" fontId="20" fillId="16" borderId="9" xfId="0" applyFont="1" applyFill="1" applyBorder="1" applyAlignment="1">
      <alignment horizontal="center" vertical="center" wrapText="1"/>
    </xf>
    <xf numFmtId="0" fontId="20" fillId="15" borderId="9" xfId="0" applyFont="1" applyFill="1" applyBorder="1" applyAlignment="1">
      <alignment horizontal="center" vertical="center" wrapText="1"/>
    </xf>
    <xf numFmtId="0" fontId="20" fillId="16" borderId="9" xfId="0" applyFont="1" applyFill="1" applyBorder="1" applyAlignment="1">
      <alignment horizontal="center" vertical="center"/>
    </xf>
    <xf numFmtId="0" fontId="20" fillId="15" borderId="9" xfId="0" applyFont="1" applyFill="1" applyBorder="1" applyAlignment="1">
      <alignment horizontal="center" vertical="center"/>
    </xf>
    <xf numFmtId="0" fontId="20" fillId="24" borderId="0" xfId="0" applyFont="1" applyFill="1" applyAlignment="1">
      <alignment horizontal="center" vertical="center" wrapText="1"/>
    </xf>
    <xf numFmtId="0" fontId="26" fillId="25" borderId="9" xfId="0" applyFont="1" applyFill="1" applyBorder="1" applyAlignment="1">
      <alignment horizontal="center" vertical="center"/>
    </xf>
    <xf numFmtId="0" fontId="26" fillId="0" borderId="9" xfId="0" applyFont="1" applyBorder="1" applyAlignment="1">
      <alignment horizontal="center" vertical="center"/>
    </xf>
    <xf numFmtId="0" fontId="17" fillId="0" borderId="9" xfId="0" applyFont="1" applyBorder="1" applyAlignment="1">
      <alignment horizontal="center" vertical="center"/>
    </xf>
    <xf numFmtId="0" fontId="20" fillId="17" borderId="0" xfId="0" applyFont="1" applyFill="1" applyAlignment="1">
      <alignment horizontal="center" vertical="center"/>
    </xf>
    <xf numFmtId="0" fontId="17" fillId="0" borderId="5" xfId="0" applyFont="1" applyBorder="1" applyAlignment="1">
      <alignment horizontal="left" vertical="center"/>
    </xf>
    <xf numFmtId="165" fontId="15" fillId="20" borderId="5" xfId="0" applyNumberFormat="1" applyFont="1" applyFill="1" applyBorder="1" applyAlignment="1">
      <alignment horizontal="center" vertical="center"/>
    </xf>
    <xf numFmtId="0" fontId="17" fillId="14" borderId="5" xfId="0" applyFont="1" applyFill="1" applyBorder="1" applyAlignment="1">
      <alignment horizontal="center" vertical="center"/>
    </xf>
    <xf numFmtId="165" fontId="17" fillId="14" borderId="5" xfId="0" applyNumberFormat="1" applyFont="1" applyFill="1" applyBorder="1" applyAlignment="1">
      <alignment horizontal="center" vertical="center"/>
    </xf>
    <xf numFmtId="0" fontId="17" fillId="0" borderId="0" xfId="0" applyFont="1" applyAlignment="1">
      <alignment horizontal="left" vertical="center"/>
    </xf>
    <xf numFmtId="0" fontId="28" fillId="17" borderId="0" xfId="0" applyFont="1" applyFill="1" applyAlignment="1">
      <alignment horizontal="center" vertical="center"/>
    </xf>
    <xf numFmtId="0" fontId="28" fillId="16" borderId="0" xfId="0" applyFont="1" applyFill="1" applyAlignment="1">
      <alignment horizontal="center" vertical="center"/>
    </xf>
    <xf numFmtId="0" fontId="16" fillId="4" borderId="5" xfId="0" applyFont="1" applyFill="1" applyBorder="1"/>
    <xf numFmtId="0" fontId="7" fillId="5" borderId="5" xfId="0" applyFont="1" applyFill="1" applyBorder="1" applyAlignment="1">
      <alignment horizontal="center" vertical="center" wrapText="1"/>
    </xf>
    <xf numFmtId="0" fontId="16" fillId="9" borderId="5" xfId="0" applyFont="1" applyFill="1" applyBorder="1" applyAlignment="1">
      <alignment horizontal="left" vertical="center" wrapText="1"/>
    </xf>
    <xf numFmtId="0" fontId="15" fillId="9" borderId="5" xfId="0" applyFont="1" applyFill="1" applyBorder="1" applyAlignment="1">
      <alignment horizontal="left" vertical="center" wrapText="1"/>
    </xf>
    <xf numFmtId="0" fontId="35" fillId="0" borderId="5" xfId="0" applyFont="1" applyBorder="1" applyAlignment="1">
      <alignment horizontal="left" vertical="center" wrapText="1"/>
    </xf>
    <xf numFmtId="0" fontId="35" fillId="0" borderId="0" xfId="0" applyFont="1"/>
    <xf numFmtId="0" fontId="13" fillId="4" borderId="5" xfId="0" applyFont="1" applyFill="1" applyBorder="1" applyAlignment="1">
      <alignment horizontal="center" vertical="center"/>
    </xf>
    <xf numFmtId="0" fontId="15" fillId="14" borderId="4" xfId="0" applyFont="1" applyFill="1" applyBorder="1" applyAlignment="1">
      <alignment horizontal="left" vertical="center" wrapText="1"/>
    </xf>
    <xf numFmtId="0" fontId="35" fillId="0" borderId="4" xfId="0" applyFont="1" applyBorder="1" applyAlignment="1">
      <alignment horizontal="left" vertical="center"/>
    </xf>
    <xf numFmtId="0" fontId="35" fillId="0" borderId="5" xfId="0" applyFont="1" applyBorder="1" applyAlignment="1">
      <alignment horizontal="center" vertical="center"/>
    </xf>
    <xf numFmtId="0" fontId="35" fillId="0" borderId="4" xfId="0" applyFont="1" applyBorder="1" applyAlignment="1">
      <alignment horizontal="left" vertical="center" wrapText="1"/>
    </xf>
    <xf numFmtId="0" fontId="6" fillId="5" borderId="4" xfId="0" applyFont="1" applyFill="1" applyBorder="1" applyAlignment="1">
      <alignment horizontal="left" vertical="center" wrapText="1"/>
    </xf>
    <xf numFmtId="0" fontId="16" fillId="4" borderId="5" xfId="0" applyFont="1" applyFill="1" applyBorder="1" applyAlignment="1">
      <alignment horizontal="left" vertical="center" wrapText="1"/>
    </xf>
    <xf numFmtId="0" fontId="16" fillId="21" borderId="5" xfId="0" applyFont="1" applyFill="1" applyBorder="1" applyAlignment="1">
      <alignment horizontal="left" vertical="center" wrapText="1"/>
    </xf>
    <xf numFmtId="0" fontId="16" fillId="22" borderId="5" xfId="0" applyFont="1" applyFill="1" applyBorder="1" applyAlignment="1">
      <alignment horizontal="left" vertical="center" wrapText="1"/>
    </xf>
    <xf numFmtId="0" fontId="16" fillId="10" borderId="5" xfId="0" applyFont="1" applyFill="1" applyBorder="1" applyAlignment="1">
      <alignment horizontal="left" vertical="center" wrapText="1"/>
    </xf>
    <xf numFmtId="0" fontId="14" fillId="13" borderId="0" xfId="0" applyFont="1" applyFill="1"/>
    <xf numFmtId="0" fontId="1" fillId="0" borderId="0" xfId="0" applyFont="1" applyAlignment="1">
      <alignment vertical="top" wrapText="1"/>
    </xf>
    <xf numFmtId="0" fontId="0" fillId="0" borderId="12" xfId="0" applyBorder="1"/>
    <xf numFmtId="14" fontId="3" fillId="3" borderId="1" xfId="0" applyNumberFormat="1" applyFont="1" applyFill="1" applyBorder="1" applyAlignment="1">
      <alignment horizontal="center"/>
    </xf>
    <xf numFmtId="14" fontId="0" fillId="0" borderId="0" xfId="0" applyNumberFormat="1"/>
    <xf numFmtId="0" fontId="42" fillId="32" borderId="0" xfId="0" applyFont="1" applyFill="1" applyAlignment="1">
      <alignment horizontal="center" vertical="top" wrapText="1"/>
    </xf>
    <xf numFmtId="0" fontId="36" fillId="26" borderId="0" xfId="0" applyFont="1" applyFill="1" applyAlignment="1">
      <alignment horizontal="center" vertical="center" wrapText="1"/>
    </xf>
    <xf numFmtId="14" fontId="36" fillId="26" borderId="0" xfId="0" applyNumberFormat="1" applyFont="1" applyFill="1" applyAlignment="1">
      <alignment horizontal="center" vertical="center" wrapText="1"/>
    </xf>
    <xf numFmtId="0" fontId="37" fillId="0" borderId="0" xfId="0" applyFont="1"/>
    <xf numFmtId="14" fontId="37" fillId="0" borderId="0" xfId="0" applyNumberFormat="1" applyFont="1"/>
    <xf numFmtId="0" fontId="37" fillId="27" borderId="0" xfId="0" applyFont="1" applyFill="1"/>
    <xf numFmtId="0" fontId="37" fillId="28" borderId="0" xfId="0" applyFont="1" applyFill="1"/>
    <xf numFmtId="0" fontId="47" fillId="0" borderId="0" xfId="0" applyFont="1" applyAlignment="1">
      <alignment vertical="top" wrapText="1"/>
    </xf>
    <xf numFmtId="164" fontId="48" fillId="36" borderId="5" xfId="0" applyNumberFormat="1" applyFont="1" applyFill="1" applyBorder="1" applyAlignment="1">
      <alignment horizontal="center" vertical="center"/>
    </xf>
    <xf numFmtId="0" fontId="48" fillId="36" borderId="0" xfId="0" applyFont="1" applyFill="1"/>
    <xf numFmtId="0" fontId="48" fillId="0" borderId="0" xfId="0" applyFont="1"/>
    <xf numFmtId="0" fontId="49" fillId="37" borderId="9" xfId="0" applyFont="1" applyFill="1" applyBorder="1" applyAlignment="1">
      <alignment horizontal="center" vertical="center" wrapText="1"/>
    </xf>
    <xf numFmtId="0" fontId="56" fillId="0" borderId="0" xfId="0" applyFont="1"/>
    <xf numFmtId="0" fontId="50" fillId="38" borderId="0" xfId="0" applyFont="1" applyFill="1" applyAlignment="1">
      <alignment horizontal="center" vertical="center" wrapText="1"/>
    </xf>
    <xf numFmtId="0" fontId="57" fillId="38" borderId="0" xfId="0" applyFont="1" applyFill="1" applyAlignment="1">
      <alignment horizontal="center" vertical="center" wrapText="1"/>
    </xf>
    <xf numFmtId="0" fontId="52" fillId="40" borderId="0" xfId="0" applyFont="1" applyFill="1" applyAlignment="1">
      <alignment horizontal="center" vertical="center" wrapText="1"/>
    </xf>
    <xf numFmtId="0" fontId="54" fillId="38" borderId="0" xfId="0" applyFont="1" applyFill="1" applyAlignment="1">
      <alignment horizontal="center" vertical="center" wrapText="1"/>
    </xf>
    <xf numFmtId="0" fontId="55" fillId="39" borderId="0" xfId="0" applyFont="1" applyFill="1" applyAlignment="1">
      <alignment horizontal="center" vertical="center" wrapText="1"/>
    </xf>
    <xf numFmtId="0" fontId="55" fillId="40" borderId="0" xfId="0" applyFont="1" applyFill="1" applyAlignment="1">
      <alignment horizontal="center" vertical="center" wrapText="1"/>
    </xf>
    <xf numFmtId="0" fontId="58" fillId="0" borderId="0" xfId="0" applyFont="1" applyAlignment="1">
      <alignment horizontal="center" vertical="center"/>
    </xf>
    <xf numFmtId="0" fontId="0" fillId="0" borderId="0" xfId="0" applyAlignment="1">
      <alignment horizontal="center" vertical="center"/>
    </xf>
    <xf numFmtId="0" fontId="55" fillId="40" borderId="0" xfId="0" applyFont="1" applyFill="1" applyAlignment="1">
      <alignment horizontal="center" vertical="center"/>
    </xf>
    <xf numFmtId="0" fontId="13" fillId="12" borderId="4" xfId="0" applyFont="1" applyFill="1" applyBorder="1" applyAlignment="1">
      <alignment horizontal="center" vertical="center"/>
    </xf>
    <xf numFmtId="0" fontId="0" fillId="0" borderId="12" xfId="0" applyBorder="1"/>
    <xf numFmtId="0" fontId="6" fillId="11" borderId="4" xfId="0" applyFont="1" applyFill="1" applyBorder="1" applyAlignment="1">
      <alignment horizontal="center" vertical="center"/>
    </xf>
    <xf numFmtId="0" fontId="2" fillId="2" borderId="0" xfId="0" applyFont="1" applyFill="1" applyAlignment="1">
      <alignment horizontal="center" vertical="center"/>
    </xf>
    <xf numFmtId="0" fontId="1" fillId="0" borderId="0" xfId="0" applyFont="1"/>
    <xf numFmtId="0" fontId="7" fillId="6" borderId="0" xfId="0" applyFont="1" applyFill="1" applyAlignment="1">
      <alignment horizontal="center" vertical="center"/>
    </xf>
    <xf numFmtId="0" fontId="7" fillId="5" borderId="0" xfId="0" applyFont="1" applyFill="1" applyAlignment="1">
      <alignment horizontal="center" vertical="center"/>
    </xf>
    <xf numFmtId="0" fontId="6" fillId="5" borderId="0" xfId="0" applyFont="1" applyFill="1" applyAlignment="1">
      <alignment horizontal="center" vertical="center"/>
    </xf>
    <xf numFmtId="0" fontId="7" fillId="7" borderId="0" xfId="0" applyFont="1" applyFill="1" applyAlignment="1">
      <alignment horizontal="center" vertical="center"/>
    </xf>
    <xf numFmtId="0" fontId="7" fillId="8" borderId="0" xfId="0" applyFont="1" applyFill="1" applyAlignment="1">
      <alignment horizontal="center" vertical="center"/>
    </xf>
    <xf numFmtId="0" fontId="8" fillId="9" borderId="3" xfId="0" applyFont="1" applyFill="1" applyBorder="1" applyAlignment="1">
      <alignment horizontal="center" vertical="center"/>
    </xf>
    <xf numFmtId="0" fontId="0" fillId="0" borderId="10" xfId="0" applyBorder="1"/>
    <xf numFmtId="0" fontId="12" fillId="10" borderId="4" xfId="0" applyFont="1" applyFill="1" applyBorder="1" applyAlignment="1">
      <alignment horizontal="center" vertical="center"/>
    </xf>
    <xf numFmtId="0" fontId="18" fillId="12" borderId="6" xfId="0" applyFont="1" applyFill="1" applyBorder="1" applyAlignment="1">
      <alignment horizontal="left" vertical="center" wrapText="1"/>
    </xf>
    <xf numFmtId="0" fontId="0" fillId="0" borderId="11" xfId="0" applyBorder="1"/>
    <xf numFmtId="0" fontId="0" fillId="0" borderId="13" xfId="0" applyBorder="1"/>
    <xf numFmtId="0" fontId="9" fillId="9" borderId="3" xfId="0" applyFont="1" applyFill="1" applyBorder="1" applyAlignment="1">
      <alignment horizontal="center" vertical="center"/>
    </xf>
    <xf numFmtId="0" fontId="19" fillId="15" borderId="0" xfId="0" applyFont="1" applyFill="1" applyAlignment="1">
      <alignment horizontal="center" vertical="center"/>
    </xf>
    <xf numFmtId="0" fontId="11" fillId="9" borderId="3" xfId="0" applyFont="1" applyFill="1" applyBorder="1" applyAlignment="1">
      <alignment horizontal="center" vertical="center"/>
    </xf>
    <xf numFmtId="0" fontId="4" fillId="4" borderId="0" xfId="0" applyFont="1" applyFill="1" applyAlignment="1">
      <alignment horizontal="left" vertical="center"/>
    </xf>
    <xf numFmtId="0" fontId="10" fillId="9" borderId="3" xfId="0" applyFont="1" applyFill="1" applyBorder="1" applyAlignment="1">
      <alignment horizontal="center" vertical="center"/>
    </xf>
    <xf numFmtId="0" fontId="22" fillId="17" borderId="0" xfId="0" applyFont="1" applyFill="1" applyAlignment="1">
      <alignment horizontal="center" vertical="center"/>
    </xf>
    <xf numFmtId="0" fontId="18" fillId="12" borderId="0" xfId="0" applyFont="1" applyFill="1" applyAlignment="1">
      <alignment horizontal="left" vertical="center" wrapText="1"/>
    </xf>
    <xf numFmtId="0" fontId="25" fillId="3" borderId="0" xfId="0" applyFont="1" applyFill="1" applyAlignment="1">
      <alignment horizontal="left" vertical="center" wrapText="1"/>
    </xf>
    <xf numFmtId="0" fontId="18" fillId="4" borderId="0" xfId="0" applyFont="1" applyFill="1" applyAlignment="1">
      <alignment horizontal="left" vertical="center" wrapText="1"/>
    </xf>
    <xf numFmtId="0" fontId="23" fillId="18" borderId="0" xfId="0" applyFont="1" applyFill="1" applyAlignment="1">
      <alignment horizontal="left" vertical="center" wrapText="1"/>
    </xf>
    <xf numFmtId="0" fontId="24" fillId="19" borderId="0" xfId="0" applyFont="1" applyFill="1" applyAlignment="1">
      <alignment horizontal="left" vertical="center" wrapText="1"/>
    </xf>
    <xf numFmtId="0" fontId="56" fillId="0" borderId="0" xfId="0" applyFont="1"/>
    <xf numFmtId="0" fontId="0" fillId="0" borderId="0" xfId="0"/>
    <xf numFmtId="0" fontId="2" fillId="5" borderId="0" xfId="0" applyFont="1" applyFill="1" applyAlignment="1">
      <alignment horizontal="center" vertical="center"/>
    </xf>
    <xf numFmtId="0" fontId="31" fillId="23" borderId="0" xfId="0" applyFont="1" applyFill="1" applyAlignment="1">
      <alignment horizontal="left" vertical="center" wrapText="1"/>
    </xf>
    <xf numFmtId="0" fontId="31" fillId="18" borderId="0" xfId="0" applyFont="1" applyFill="1" applyAlignment="1">
      <alignment horizontal="left" vertical="center" wrapText="1"/>
    </xf>
    <xf numFmtId="0" fontId="30" fillId="17" borderId="0" xfId="0" applyFont="1" applyFill="1" applyAlignment="1">
      <alignment horizontal="center" vertical="center"/>
    </xf>
    <xf numFmtId="0" fontId="31" fillId="3" borderId="5" xfId="0" applyFont="1" applyFill="1" applyBorder="1" applyAlignment="1">
      <alignment horizontal="left" vertical="center" wrapText="1"/>
    </xf>
    <xf numFmtId="0" fontId="0" fillId="0" borderId="14" xfId="0" applyBorder="1"/>
    <xf numFmtId="0" fontId="32" fillId="23" borderId="0" xfId="0" applyFont="1" applyFill="1" applyAlignment="1">
      <alignment horizontal="left" vertical="center" wrapText="1"/>
    </xf>
    <xf numFmtId="0" fontId="33" fillId="3" borderId="0" xfId="0" applyFont="1" applyFill="1" applyAlignment="1">
      <alignment horizontal="left" vertical="center" wrapText="1"/>
    </xf>
    <xf numFmtId="0" fontId="52" fillId="0" borderId="0" xfId="0" applyFont="1"/>
    <xf numFmtId="0" fontId="51" fillId="38" borderId="0" xfId="0" applyFont="1" applyFill="1"/>
    <xf numFmtId="0" fontId="53" fillId="37" borderId="0" xfId="0" applyFont="1" applyFill="1"/>
    <xf numFmtId="0" fontId="39" fillId="29" borderId="0" xfId="0" applyFont="1" applyFill="1" applyAlignment="1">
      <alignment vertical="top" wrapText="1"/>
    </xf>
    <xf numFmtId="0" fontId="44" fillId="33" borderId="0" xfId="0" applyFont="1" applyFill="1" applyAlignment="1">
      <alignment horizontal="center" vertical="center"/>
    </xf>
    <xf numFmtId="14" fontId="43" fillId="32" borderId="0" xfId="0" applyNumberFormat="1" applyFont="1" applyFill="1" applyAlignment="1">
      <alignment vertical="top" wrapText="1"/>
    </xf>
    <xf numFmtId="0" fontId="38" fillId="26" borderId="0" xfId="0" applyFont="1" applyFill="1" applyAlignment="1">
      <alignment horizontal="center" vertical="center"/>
    </xf>
    <xf numFmtId="0" fontId="45" fillId="34" borderId="0" xfId="0" applyFont="1" applyFill="1" applyAlignment="1">
      <alignment horizontal="center" vertical="center" wrapText="1"/>
    </xf>
    <xf numFmtId="0" fontId="46" fillId="35" borderId="0" xfId="0" applyFont="1" applyFill="1" applyAlignment="1">
      <alignment horizontal="center" vertical="center"/>
    </xf>
    <xf numFmtId="0" fontId="41" fillId="31" borderId="0" xfId="0" applyFont="1" applyFill="1" applyAlignment="1">
      <alignment horizontal="center" vertical="center"/>
    </xf>
    <xf numFmtId="0" fontId="40" fillId="30" borderId="0" xfId="0" applyFont="1" applyFill="1" applyAlignment="1">
      <alignment horizontal="center" vertical="center" wrapText="1"/>
    </xf>
    <xf numFmtId="0" fontId="20" fillId="17" borderId="5" xfId="0" applyFont="1" applyFill="1" applyBorder="1" applyAlignment="1">
      <alignment horizontal="center" vertical="center"/>
    </xf>
    <xf numFmtId="0" fontId="34" fillId="17" borderId="0" xfId="0" applyFont="1" applyFill="1" applyAlignment="1">
      <alignment horizontal="center" vertical="center"/>
    </xf>
    <xf numFmtId="0" fontId="20" fillId="16" borderId="5" xfId="0" applyFont="1" applyFill="1" applyBorder="1" applyAlignment="1">
      <alignment horizontal="center" vertical="center"/>
    </xf>
    <xf numFmtId="0" fontId="22" fillId="5" borderId="0" xfId="0" applyFont="1" applyFill="1" applyAlignment="1">
      <alignment horizontal="center" vertical="center"/>
    </xf>
    <xf numFmtId="0" fontId="1" fillId="20" borderId="4" xfId="0" applyFont="1" applyFill="1" applyBorder="1" applyAlignment="1">
      <alignment horizontal="left" vertical="center" wrapText="1"/>
    </xf>
    <xf numFmtId="0" fontId="18" fillId="4" borderId="4" xfId="0" applyFont="1" applyFill="1" applyBorder="1" applyAlignment="1">
      <alignment horizontal="left" vertical="center" wrapText="1"/>
    </xf>
    <xf numFmtId="0" fontId="6" fillId="2" borderId="0" xfId="0" applyFont="1" applyFill="1" applyAlignment="1">
      <alignment horizontal="center" vertical="center"/>
    </xf>
    <xf numFmtId="0" fontId="6" fillId="5" borderId="4" xfId="0" applyFont="1" applyFill="1" applyBorder="1" applyAlignment="1">
      <alignment horizontal="left" vertical="center"/>
    </xf>
    <xf numFmtId="0" fontId="15" fillId="14" borderId="4" xfId="0" applyFont="1" applyFill="1" applyBorder="1" applyAlignment="1">
      <alignment horizontal="left" vertical="center" wrapText="1"/>
    </xf>
    <xf numFmtId="0" fontId="15" fillId="9" borderId="4" xfId="0" applyFont="1" applyFill="1" applyBorder="1" applyAlignment="1">
      <alignment horizontal="left" vertical="center" wrapText="1"/>
    </xf>
    <xf numFmtId="0" fontId="1" fillId="9" borderId="4" xfId="0" applyFont="1" applyFill="1" applyBorder="1" applyAlignment="1">
      <alignment horizontal="left" vertical="center" wrapText="1"/>
    </xf>
    <xf numFmtId="0" fontId="15" fillId="21" borderId="4"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15" fillId="12" borderId="4" xfId="0" applyFont="1" applyFill="1" applyBorder="1" applyAlignment="1">
      <alignment horizontal="left" vertical="center" wrapText="1"/>
    </xf>
    <xf numFmtId="0" fontId="6" fillId="5" borderId="4" xfId="0" applyFont="1" applyFill="1" applyBorder="1" applyAlignment="1">
      <alignment horizontal="left" vertical="center" wrapText="1"/>
    </xf>
    <xf numFmtId="0" fontId="35" fillId="0" borderId="4" xfId="0" applyFont="1" applyBorder="1" applyAlignment="1">
      <alignment horizontal="left" vertical="center" wrapText="1"/>
    </xf>
    <xf numFmtId="0" fontId="15" fillId="22" borderId="4" xfId="0" applyFont="1" applyFill="1" applyBorder="1" applyAlignment="1">
      <alignment horizontal="left" vertical="center" wrapText="1"/>
    </xf>
    <xf numFmtId="0" fontId="16" fillId="10" borderId="5" xfId="0" applyFont="1" applyFill="1" applyBorder="1" applyAlignment="1">
      <alignment horizontal="left" vertical="center" wrapText="1"/>
    </xf>
    <xf numFmtId="0" fontId="16" fillId="4" borderId="5" xfId="0" applyFont="1" applyFill="1" applyBorder="1" applyAlignment="1">
      <alignment horizontal="left" vertical="center" wrapText="1"/>
    </xf>
    <xf numFmtId="0" fontId="39" fillId="29" borderId="0" xfId="0" applyFont="1" applyFill="1"/>
    <xf numFmtId="0" fontId="38" fillId="26" borderId="0" xfId="0" applyFont="1" applyFill="1"/>
    <xf numFmtId="22" fontId="0" fillId="0" borderId="0" xfId="0" applyNumberFormat="1"/>
    <xf numFmtId="0" fontId="0" fillId="0" borderId="0" xfId="0" applyAlignment="1">
      <alignment wrapText="1"/>
    </xf>
  </cellXfs>
  <cellStyles count="1">
    <cellStyle name="Normal" xfId="0" builtinId="0"/>
  </cellStyles>
  <dxfs count="29">
    <dxf>
      <font>
        <b/>
        <color rgb="FF1E8449"/>
      </font>
      <fill>
        <patternFill>
          <bgColor rgb="FFD5F5E3"/>
        </patternFill>
      </fill>
    </dxf>
    <dxf>
      <font>
        <b/>
        <color rgb="FF922B21"/>
      </font>
      <fill>
        <patternFill>
          <bgColor rgb="FFFADBD8"/>
        </patternFill>
      </fill>
    </dxf>
    <dxf>
      <font>
        <b/>
        <color rgb="FF7D6608"/>
      </font>
      <fill>
        <patternFill>
          <bgColor rgb="FFFEF3CD"/>
        </patternFill>
      </fill>
    </dxf>
    <dxf>
      <font>
        <b/>
        <color rgb="FF922B21"/>
      </font>
      <fill>
        <patternFill>
          <bgColor rgb="FFFADBD8"/>
        </patternFill>
      </fill>
    </dxf>
    <dxf>
      <font>
        <b/>
        <color rgb="FF1E8449"/>
      </font>
      <fill>
        <patternFill>
          <bgColor rgb="FFD5F5E3"/>
        </patternFill>
      </fill>
    </dxf>
    <dxf>
      <font>
        <b/>
        <color rgb="FF922B21"/>
      </font>
      <fill>
        <patternFill>
          <bgColor rgb="FFFADBD8"/>
        </patternFill>
      </fill>
    </dxf>
    <dxf>
      <font>
        <b/>
        <color rgb="FF922B21"/>
      </font>
      <fill>
        <patternFill>
          <bgColor rgb="FFFADBD8"/>
        </patternFill>
      </fill>
    </dxf>
    <dxf>
      <font>
        <b/>
        <color rgb="FF1E8449"/>
      </font>
      <fill>
        <patternFill>
          <bgColor rgb="FFD5F5E3"/>
        </patternFill>
      </fill>
    </dxf>
    <dxf>
      <font>
        <b/>
        <color rgb="FF922B21"/>
      </font>
      <fill>
        <patternFill>
          <bgColor rgb="FFFADBD8"/>
        </patternFill>
      </fill>
    </dxf>
    <dxf>
      <font>
        <b/>
        <color rgb="FF1E8449"/>
      </font>
      <fill>
        <patternFill>
          <bgColor rgb="FFD5F5E3"/>
        </patternFill>
      </fill>
    </dxf>
    <dxf>
      <font>
        <b/>
        <color rgb="FF922B21"/>
      </font>
      <fill>
        <patternFill>
          <bgColor rgb="FFFADBD8"/>
        </patternFill>
      </fill>
    </dxf>
    <dxf>
      <font>
        <b/>
        <color rgb="FF922B21"/>
      </font>
      <fill>
        <patternFill>
          <bgColor rgb="FFFADBD8"/>
        </patternFill>
      </fill>
    </dxf>
    <dxf>
      <font>
        <b/>
        <color rgb="FF922B21"/>
      </font>
      <fill>
        <patternFill>
          <bgColor rgb="FFFADBD8"/>
        </patternFill>
      </fill>
    </dxf>
    <dxf>
      <font>
        <b/>
        <color rgb="FF922B21"/>
      </font>
      <fill>
        <patternFill>
          <bgColor rgb="FFFADBD8"/>
        </patternFill>
      </fill>
    </dxf>
    <dxf>
      <font>
        <b/>
        <color rgb="FF1E8449"/>
      </font>
      <fill>
        <patternFill>
          <bgColor rgb="FFD5F5E3"/>
        </patternFill>
      </fill>
    </dxf>
    <dxf>
      <font>
        <color rgb="FF7D6608"/>
      </font>
      <fill>
        <patternFill>
          <bgColor rgb="FFFEF3CD"/>
        </patternFill>
      </fill>
    </dxf>
    <dxf>
      <font>
        <b/>
        <color rgb="FF7D6608"/>
      </font>
      <fill>
        <patternFill>
          <bgColor rgb="FFFEF3CD"/>
        </patternFill>
      </fill>
    </dxf>
    <dxf>
      <font>
        <b/>
        <color rgb="FF922B21"/>
      </font>
      <fill>
        <patternFill>
          <bgColor rgb="FFFADBD8"/>
        </patternFill>
      </fill>
    </dxf>
    <dxf>
      <font>
        <b/>
        <color rgb="FF922B21"/>
      </font>
      <fill>
        <patternFill>
          <bgColor rgb="FFFADBD8"/>
        </patternFill>
      </fill>
    </dxf>
    <dxf>
      <font>
        <b/>
        <color rgb="FF1E8449"/>
      </font>
      <fill>
        <patternFill>
          <bgColor rgb="FFD5F5E3"/>
        </patternFill>
      </fill>
    </dxf>
    <dxf>
      <font>
        <b/>
        <color rgb="FF7D6608"/>
      </font>
      <fill>
        <patternFill>
          <bgColor rgb="FFFEF3CD"/>
        </patternFill>
      </fill>
    </dxf>
    <dxf>
      <font>
        <b/>
        <color rgb="FF922B21"/>
      </font>
      <fill>
        <patternFill>
          <bgColor rgb="FFFADBD8"/>
        </patternFill>
      </fill>
    </dxf>
    <dxf>
      <font>
        <b/>
        <color rgb="FF922B21"/>
      </font>
      <fill>
        <patternFill>
          <bgColor rgb="FFFADBD8"/>
        </patternFill>
      </fill>
    </dxf>
    <dxf>
      <font>
        <b/>
        <color rgb="FF922B21"/>
      </font>
      <fill>
        <patternFill>
          <bgColor rgb="FFFADBD8"/>
        </patternFill>
      </fill>
    </dxf>
    <dxf>
      <font>
        <b/>
        <color rgb="FF922B21"/>
      </font>
      <fill>
        <patternFill>
          <bgColor rgb="FFFADBD8"/>
        </patternFill>
      </fill>
    </dxf>
    <dxf>
      <font>
        <b/>
        <color rgb="FF7D6608"/>
      </font>
      <fill>
        <patternFill>
          <bgColor rgb="FFFEF3CD"/>
        </patternFill>
      </fill>
    </dxf>
    <dxf>
      <font>
        <b/>
        <color rgb="FF922B21"/>
      </font>
      <fill>
        <patternFill>
          <bgColor rgb="FFFADBD8"/>
        </patternFill>
      </fill>
    </dxf>
    <dxf>
      <font>
        <b/>
        <color rgb="FF922B21"/>
      </font>
      <fill>
        <patternFill>
          <bgColor rgb="FFFADBD8"/>
        </patternFill>
      </fill>
    </dxf>
    <dxf>
      <font>
        <b/>
        <color rgb="FF1E8449"/>
      </font>
      <fill>
        <patternFill>
          <bgColor rgb="FFD5F5E3"/>
        </patternFill>
      </fill>
    </dxf>
  </dxf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7F3F00"/>
      <rgbColor rgb="FF375623"/>
      <rgbColor rgb="FF1F1F1F"/>
      <rgbColor rgb="FF7D6608"/>
      <rgbColor rgb="FF800080"/>
      <rgbColor rgb="FF2980B9"/>
      <rgbColor rgb="FFB8B8B8"/>
      <rgbColor rgb="FF808080"/>
      <rgbColor rgb="FF9999FF"/>
      <rgbColor rgb="FF6C3483"/>
      <rgbColor rgb="FFFFF9C4"/>
      <rgbColor rgb="FFE2EFDA"/>
      <rgbColor rgb="FF660066"/>
      <rgbColor rgb="FFFF8080"/>
      <rgbColor rgb="FF0066CC"/>
      <rgbColor rgb="FFD9D9D9"/>
      <rgbColor rgb="FF000080"/>
      <rgbColor rgb="FFFF00FF"/>
      <rgbColor rgb="FFF7F9F7"/>
      <rgbColor rgb="FF00FFFF"/>
      <rgbColor rgb="FF800080"/>
      <rgbColor rgb="FF800000"/>
      <rgbColor rgb="FF2D6A4F"/>
      <rgbColor rgb="FF0000FF"/>
      <rgbColor rgb="FF00CCFF"/>
      <rgbColor rgb="FFF2F2F2"/>
      <rgbColor rgb="FFD5F5E3"/>
      <rgbColor rgb="FFFEF3CD"/>
      <rgbColor rgb="FF95D5B2"/>
      <rgbColor rgb="FFD9E2DC"/>
      <rgbColor rgb="FFD9E1F2"/>
      <rgbColor rgb="FFFADBD8"/>
      <rgbColor rgb="FF2E75B6"/>
      <rgbColor rgb="FF33CCCC"/>
      <rgbColor rgb="FF99CC00"/>
      <rgbColor rgb="FFFFC000"/>
      <rgbColor rgb="FFF4A100"/>
      <rgbColor rgb="FFFF6600"/>
      <rgbColor rgb="FF595959"/>
      <rgbColor rgb="FFAAAAAA"/>
      <rgbColor rgb="FF1F3864"/>
      <rgbColor rgb="FF1E8449"/>
      <rgbColor rgb="FF1C2833"/>
      <rgbColor rgb="FF1A3A2A"/>
      <rgbColor rgb="FF922B21"/>
      <rgbColor rgb="FFC0392B"/>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A2A"/>
  </sheetPr>
  <dimension ref="A1:O48"/>
  <sheetViews>
    <sheetView showGridLines="0" zoomScaleNormal="100" workbookViewId="0">
      <selection sqref="A1:M1"/>
    </sheetView>
  </sheetViews>
  <sheetFormatPr baseColWidth="10" defaultColWidth="8.6640625" defaultRowHeight="15" customHeight="1" x14ac:dyDescent="0.2"/>
  <cols>
    <col min="1" max="1" width="6" style="1" customWidth="1"/>
    <col min="2" max="2" width="26" style="1" customWidth="1"/>
    <col min="3" max="3" width="20" style="1" customWidth="1"/>
    <col min="4" max="4" width="18" style="1" customWidth="1"/>
    <col min="5" max="7" width="9" style="1" customWidth="1"/>
    <col min="8" max="12" width="12" style="1" customWidth="1"/>
    <col min="13" max="14" width="22" style="1" customWidth="1"/>
  </cols>
  <sheetData>
    <row r="1" spans="1:15" ht="36" customHeight="1" x14ac:dyDescent="0.2">
      <c r="A1" s="121" t="s">
        <v>0</v>
      </c>
      <c r="B1" s="122"/>
      <c r="C1" s="122"/>
      <c r="D1" s="122"/>
      <c r="E1" s="122"/>
      <c r="F1" s="122"/>
      <c r="G1" s="122"/>
      <c r="H1" s="122"/>
      <c r="I1" s="122"/>
      <c r="J1" s="122"/>
      <c r="K1" s="122"/>
      <c r="L1" s="122"/>
      <c r="M1" s="122"/>
      <c r="N1" s="94">
        <v>46113</v>
      </c>
      <c r="O1" s="95">
        <v>46142</v>
      </c>
    </row>
    <row r="2" spans="1:15" ht="27.75" customHeight="1" x14ac:dyDescent="0.2">
      <c r="A2" s="137" t="s">
        <v>1</v>
      </c>
      <c r="B2" s="122"/>
      <c r="C2" s="122"/>
      <c r="D2" s="122"/>
      <c r="E2" s="122"/>
      <c r="F2" s="122"/>
      <c r="G2" s="122"/>
      <c r="H2" s="122"/>
      <c r="I2" s="122"/>
      <c r="J2" s="122"/>
      <c r="K2" s="122"/>
      <c r="L2" s="122"/>
      <c r="M2" s="122"/>
      <c r="N2" s="2" t="s">
        <v>2</v>
      </c>
      <c r="O2" t="s">
        <v>3</v>
      </c>
    </row>
    <row r="4" spans="1:15" ht="25.5" customHeight="1" x14ac:dyDescent="0.2">
      <c r="A4" s="125" t="s">
        <v>4</v>
      </c>
      <c r="B4" s="122"/>
      <c r="C4" s="122"/>
      <c r="D4" s="122"/>
      <c r="E4" s="122"/>
      <c r="F4" s="122"/>
      <c r="G4" s="122"/>
      <c r="H4" s="122"/>
      <c r="I4" s="122"/>
      <c r="J4" s="122"/>
      <c r="K4" s="122"/>
      <c r="L4" s="122"/>
      <c r="M4" s="122"/>
      <c r="N4" s="122"/>
    </row>
    <row r="5" spans="1:15" ht="21.75" customHeight="1" x14ac:dyDescent="0.2">
      <c r="A5" s="124" t="s">
        <v>5</v>
      </c>
      <c r="B5" s="122"/>
      <c r="C5" s="122"/>
      <c r="D5" s="123" t="s">
        <v>6</v>
      </c>
      <c r="E5" s="122"/>
      <c r="F5" s="122"/>
      <c r="H5" s="126" t="s">
        <v>7</v>
      </c>
      <c r="I5" s="122"/>
      <c r="J5" s="122"/>
      <c r="L5" s="127" t="s">
        <v>8</v>
      </c>
      <c r="M5" s="122"/>
      <c r="N5" s="122"/>
    </row>
    <row r="6" spans="1:15" ht="43.5" customHeight="1" x14ac:dyDescent="0.2">
      <c r="A6" s="128">
        <f>COUNTA('Field Teams'!B5:B204)-COUNTIF('Field Teams'!I5:I204,"Inactive")</f>
        <v>73</v>
      </c>
      <c r="B6" s="129"/>
      <c r="C6" s="129"/>
      <c r="D6" s="134">
        <f>COUNTIF('Monthly Matrix'!AA4:AA76,"LOW")</f>
        <v>0</v>
      </c>
      <c r="E6" s="129"/>
      <c r="F6" s="129"/>
      <c r="H6" s="138">
        <f>COUNTIF('Monthly Matrix'!AA4:AA76,"MEDIUM")</f>
        <v>0</v>
      </c>
      <c r="I6" s="129"/>
      <c r="J6" s="129"/>
      <c r="L6" s="136">
        <f>COUNTIF('Monthly Matrix'!AA4:AA76,"HIGH")</f>
        <v>73</v>
      </c>
      <c r="M6" s="129"/>
      <c r="N6" s="129"/>
    </row>
    <row r="7" spans="1:15" ht="25.5" customHeight="1" x14ac:dyDescent="0.15">
      <c r="A7" s="130" t="str">
        <f>IF(COUNTIF('Monthly Matrix'!AA4:AA76,"HIGH")=0,"No HIGH risk teams this month","HIGH risk teams require action - see table below")</f>
        <v>HIGH risk teams require action - see table below</v>
      </c>
      <c r="B7" s="119"/>
      <c r="C7" s="119"/>
      <c r="D7" s="119"/>
      <c r="E7" s="119"/>
      <c r="F7" s="119"/>
      <c r="G7" s="119"/>
      <c r="H7" s="119"/>
      <c r="I7" s="119"/>
      <c r="J7" s="119"/>
      <c r="K7" s="119"/>
      <c r="L7" s="119"/>
      <c r="M7" s="119"/>
      <c r="N7" s="119"/>
    </row>
    <row r="8" spans="1:15" ht="25.5" customHeight="1" x14ac:dyDescent="0.15">
      <c r="A8" s="120" t="str">
        <f>IF(COUNTIF('Monthly Matrix'!M4:M76,"YES")=0,"No Major impact events this month","MAJOR EVENT recorded - immediate escalation required")</f>
        <v>No Major impact events this month</v>
      </c>
      <c r="B8" s="119"/>
      <c r="C8" s="119"/>
      <c r="D8" s="119"/>
      <c r="E8" s="119"/>
      <c r="F8" s="119"/>
      <c r="G8" s="119"/>
      <c r="H8" s="119"/>
      <c r="I8" s="119"/>
      <c r="J8" s="119"/>
      <c r="K8" s="119"/>
      <c r="L8" s="119"/>
      <c r="M8" s="119"/>
      <c r="N8" s="119"/>
    </row>
    <row r="9" spans="1:15" ht="21.75" customHeight="1" x14ac:dyDescent="0.15">
      <c r="A9" s="118" t="str">
        <f>"Total operatives in scope: "&amp;SUM('Field Teams'!H5:H77)&amp;"  |  Amber target this month: "&amp;SUM('Monthly Matrix'!I4:I76)&amp;" events across all teams"</f>
        <v>Total operatives in scope: 337  |  Amber target this month: 674 events across all teams</v>
      </c>
      <c r="B9" s="119"/>
      <c r="C9" s="119"/>
      <c r="D9" s="119"/>
      <c r="E9" s="119"/>
      <c r="F9" s="119"/>
      <c r="G9" s="119"/>
      <c r="H9" s="119"/>
      <c r="I9" s="119"/>
      <c r="J9" s="119"/>
      <c r="K9" s="119"/>
      <c r="L9" s="119"/>
      <c r="M9" s="119"/>
      <c r="N9" s="119"/>
    </row>
    <row r="11" spans="1:15" ht="25.5" customHeight="1" x14ac:dyDescent="0.2">
      <c r="A11" s="125" t="s">
        <v>9</v>
      </c>
      <c r="B11" s="122"/>
      <c r="C11" s="122"/>
      <c r="D11" s="122"/>
      <c r="E11" s="122"/>
      <c r="F11" s="122"/>
      <c r="G11" s="122"/>
      <c r="H11" s="122"/>
      <c r="I11" s="122"/>
      <c r="J11" s="122"/>
      <c r="K11" s="122"/>
      <c r="L11" s="122"/>
      <c r="M11" s="122"/>
      <c r="N11" s="122"/>
    </row>
    <row r="12" spans="1:15" ht="31.5" customHeight="1" x14ac:dyDescent="0.15">
      <c r="A12" s="4" t="s">
        <v>10</v>
      </c>
      <c r="B12" s="4" t="s">
        <v>11</v>
      </c>
      <c r="C12" s="4" t="s">
        <v>12</v>
      </c>
      <c r="D12" s="4" t="s">
        <v>13</v>
      </c>
      <c r="E12" s="4" t="s">
        <v>14</v>
      </c>
      <c r="F12" s="4" t="s">
        <v>15</v>
      </c>
      <c r="G12" s="4" t="s">
        <v>16</v>
      </c>
      <c r="H12" s="4" t="s">
        <v>17</v>
      </c>
      <c r="I12" s="4" t="s">
        <v>18</v>
      </c>
      <c r="J12" s="4" t="s">
        <v>19</v>
      </c>
      <c r="K12" s="4" t="s">
        <v>20</v>
      </c>
      <c r="L12" s="4" t="s">
        <v>21</v>
      </c>
      <c r="M12" s="4" t="s">
        <v>22</v>
      </c>
      <c r="N12" s="5"/>
    </row>
    <row r="13" spans="1:15" ht="21.75" customHeight="1" x14ac:dyDescent="0.15">
      <c r="A13" s="6">
        <v>1</v>
      </c>
      <c r="B13" s="7" t="str">
        <f>IFERROR(INDEX('Monthly Matrix'!$B$4:$B$76,MATCH(LARGE('Monthly Matrix'!$AB$4:$AB$76,1),'Monthly Matrix'!$AB$4:$AB$76,0)),"")</f>
        <v>MJP Tree Services Ltd</v>
      </c>
      <c r="C13" s="7" t="str">
        <f>IFERROR(INDEX('Monthly Matrix'!$C$4:$C$76,MATCH(LARGE('Monthly Matrix'!$AB$4:$AB$76,1),'Monthly Matrix'!$AB$4:$AB$76,0)),"")</f>
        <v>Utility Arboriculture</v>
      </c>
      <c r="D13" s="7" t="str">
        <f>IFERROR(INDEX('Monthly Matrix'!$E$4:$E$76,MATCH(LARGE('Monthly Matrix'!$AB$4:$AB$76,1),'Monthly Matrix'!$AB$4:$AB$76,0)),"")</f>
        <v>David Damm</v>
      </c>
      <c r="E13" s="6">
        <f>IFERROR(INDEX('Monthly Matrix'!$T$4:$T$76,MATCH(LARGE('Monthly Matrix'!$AB$4:$AB$76,1),'Monthly Matrix'!$AB$4:$AB$76,0)),"")</f>
        <v>2.5</v>
      </c>
      <c r="F13" s="6" t="str">
        <f>IFERROR(INDEX('Monthly Matrix'!$V$4:$AA$76,MATCH(LARGE('Monthly Matrix'!$AB$4:$AB$76,1),'Monthly Matrix'!$AB$4:$AB$76,0)),"")</f>
        <v/>
      </c>
      <c r="G13" s="6">
        <f>IFERROR(INDEX('Monthly Matrix'!$J$4:$J$76,MATCH(LARGE('Monthly Matrix'!$AB$4:$AB$76,1),'Monthly Matrix'!$AB$4:$AB$76,0)),"")</f>
        <v>0</v>
      </c>
      <c r="H13" s="6">
        <f>IFERROR(INDEX('Monthly Matrix'!$I$4:$I$76,MATCH(LARGE('Monthly Matrix'!$AB$4:$AB$76,1),'Monthly Matrix'!$AB$4:$AB$76,0)),"")</f>
        <v>6</v>
      </c>
      <c r="I13" s="8">
        <f>IFERROR(INDEX('Monthly Matrix'!$N$4:$N$76,MATCH(LARGE('Monthly Matrix'!$AB$4:$AB$76,1),'Monthly Matrix'!$AB$4:$AB$76,0)),"")</f>
        <v>4</v>
      </c>
      <c r="J13" s="6">
        <f>IFERROR(INDEX('Monthly Matrix'!$P$4:$P$76,MATCH(LARGE('Monthly Matrix'!$AB$4:$AB$76,1),'Monthly Matrix'!$AB$4:$AB$76,0)),"")</f>
        <v>0</v>
      </c>
      <c r="K13" s="6">
        <f>IFERROR(INDEX('Monthly Matrix'!$AH$4:$AH$76,MATCH(LARGE('Monthly Matrix'!$AB$4:$AB$76,1),'Monthly Matrix'!$AB$4:$AB$76,0)),"")</f>
        <v>0</v>
      </c>
      <c r="L13" s="9" t="str">
        <f>IFERROR(INDEX('Monthly Matrix'!$AI$4:$AI$76,MATCH(LARGE('Monthly Matrix'!$AB$4:$AB$76,1),'Monthly Matrix'!$AB$4:$AB$76,0))/K13,"")</f>
        <v/>
      </c>
      <c r="M13" s="6" t="str">
        <f>IFERROR(INDEX('Monthly Matrix'!$AF$4:$AF$76,MATCH(LARGE('Monthly Matrix'!$AB$4:$AB$76,1),'Monthly Matrix'!$AB$4:$AB$76,0)),"")</f>
        <v>YES - within 5 working days</v>
      </c>
      <c r="N13" s="7"/>
    </row>
    <row r="14" spans="1:15" ht="21.75" customHeight="1" x14ac:dyDescent="0.15">
      <c r="A14" s="10">
        <v>2</v>
      </c>
      <c r="B14" s="11" t="str">
        <f>IFERROR(INDEX('Monthly Matrix'!$B$4:$B$76,MATCH(LARGE('Monthly Matrix'!$AB$4:$AB$76,2),'Monthly Matrix'!$AB$4:$AB$76,0)),"")</f>
        <v>George Harris Tree Services</v>
      </c>
      <c r="C14" s="11" t="str">
        <f>IFERROR(INDEX('Monthly Matrix'!$C$4:$C$76,MATCH(LARGE('Monthly Matrix'!$AB$4:$AB$76,2),'Monthly Matrix'!$AB$4:$AB$76,0)),"")</f>
        <v>Utility Arboriculture</v>
      </c>
      <c r="D14" s="11" t="str">
        <f>IFERROR(INDEX('Monthly Matrix'!$E$4:$E$76,MATCH(LARGE('Monthly Matrix'!$AB$4:$AB$76,2),'Monthly Matrix'!$AB$4:$AB$76,0)),"")</f>
        <v>Jake Bolwell</v>
      </c>
      <c r="E14" s="10">
        <f>IFERROR(INDEX('Monthly Matrix'!$T$4:$T$76,MATCH(LARGE('Monthly Matrix'!$AB$4:$AB$76,2),'Monthly Matrix'!$AB$4:$AB$76,0)),"")</f>
        <v>2.7</v>
      </c>
      <c r="F14" s="10" t="str">
        <f>IFERROR(INDEX('Monthly Matrix'!$V$4:$AA$76,MATCH(LARGE('Monthly Matrix'!$AB$4:$AB$76,2),'Monthly Matrix'!$AB$4:$AB$76,0)),"")</f>
        <v/>
      </c>
      <c r="G14" s="10">
        <f>IFERROR(INDEX('Monthly Matrix'!$J$4:$J$76,MATCH(LARGE('Monthly Matrix'!$AB$4:$AB$76,2),'Monthly Matrix'!$AB$4:$AB$76,0)),"")</f>
        <v>0</v>
      </c>
      <c r="H14" s="10">
        <f>IFERROR(INDEX('Monthly Matrix'!$I$4:$I$76,MATCH(LARGE('Monthly Matrix'!$AB$4:$AB$76,2),'Monthly Matrix'!$AB$4:$AB$76,0)),"")</f>
        <v>10</v>
      </c>
      <c r="I14" s="12">
        <f>IFERROR(INDEX('Monthly Matrix'!$N$4:$N$76,MATCH(LARGE('Monthly Matrix'!$AB$4:$AB$76,2),'Monthly Matrix'!$AB$4:$AB$76,0)),"")</f>
        <v>36</v>
      </c>
      <c r="J14" s="10">
        <f>IFERROR(INDEX('Monthly Matrix'!$P$4:$P$76,MATCH(LARGE('Monthly Matrix'!$AB$4:$AB$76,2),'Monthly Matrix'!$AB$4:$AB$76,0)),"")</f>
        <v>0</v>
      </c>
      <c r="K14" s="10">
        <f>IFERROR(INDEX('Monthly Matrix'!$AH$4:$AH$76,MATCH(LARGE('Monthly Matrix'!$AB$4:$AB$76,2),'Monthly Matrix'!$AB$4:$AB$76,0)),"")</f>
        <v>0</v>
      </c>
      <c r="L14" s="13" t="str">
        <f>IFERROR(INDEX('Monthly Matrix'!$AI$4:$AI$76,MATCH(LARGE('Monthly Matrix'!$AB$4:$AB$76,2),'Monthly Matrix'!$AB$4:$AB$76,0))/K14,"")</f>
        <v/>
      </c>
      <c r="M14" s="10" t="str">
        <f>IFERROR(INDEX('Monthly Matrix'!$AF$4:$AF$76,MATCH(LARGE('Monthly Matrix'!$AB$4:$AB$76,2),'Monthly Matrix'!$AB$4:$AB$76,0)),"")</f>
        <v>YES - within 5 working days</v>
      </c>
      <c r="N14" s="11"/>
    </row>
    <row r="15" spans="1:15" ht="21.75" customHeight="1" x14ac:dyDescent="0.15">
      <c r="A15" s="6">
        <v>3</v>
      </c>
      <c r="B15" s="7" t="str">
        <f>IFERROR(INDEX('Monthly Matrix'!$B$4:$B$76,MATCH(LARGE('Monthly Matrix'!$AB$4:$AB$76,3),'Monthly Matrix'!$AB$4:$AB$76,0)),"")</f>
        <v>Mon &amp; Brec Tree Services Ltd</v>
      </c>
      <c r="C15" s="7" t="str">
        <f>IFERROR(INDEX('Monthly Matrix'!$C$4:$C$76,MATCH(LARGE('Monthly Matrix'!$AB$4:$AB$76,3),'Monthly Matrix'!$AB$4:$AB$76,0)),"")</f>
        <v>Utility Arboriculture</v>
      </c>
      <c r="D15" s="7" t="str">
        <f>IFERROR(INDEX('Monthly Matrix'!$E$4:$E$76,MATCH(LARGE('Monthly Matrix'!$AB$4:$AB$76,3),'Monthly Matrix'!$AB$4:$AB$76,0)),"")</f>
        <v>Jake Bolwell</v>
      </c>
      <c r="E15" s="6">
        <f>IFERROR(INDEX('Monthly Matrix'!$T$4:$T$76,MATCH(LARGE('Monthly Matrix'!$AB$4:$AB$76,3),'Monthly Matrix'!$AB$4:$AB$76,0)),"")</f>
        <v>2.7</v>
      </c>
      <c r="F15" s="6" t="str">
        <f>IFERROR(INDEX('Monthly Matrix'!$V$4:$AA$76,MATCH(LARGE('Monthly Matrix'!$AB$4:$AB$76,3),'Monthly Matrix'!$AB$4:$AB$76,0)),"")</f>
        <v/>
      </c>
      <c r="G15" s="6">
        <f>IFERROR(INDEX('Monthly Matrix'!$J$4:$J$76,MATCH(LARGE('Monthly Matrix'!$AB$4:$AB$76,3),'Monthly Matrix'!$AB$4:$AB$76,0)),"")</f>
        <v>0</v>
      </c>
      <c r="H15" s="6">
        <f>IFERROR(INDEX('Monthly Matrix'!$I$4:$I$76,MATCH(LARGE('Monthly Matrix'!$AB$4:$AB$76,3),'Monthly Matrix'!$AB$4:$AB$76,0)),"")</f>
        <v>10</v>
      </c>
      <c r="I15" s="8">
        <f>IFERROR(INDEX('Monthly Matrix'!$N$4:$N$76,MATCH(LARGE('Monthly Matrix'!$AB$4:$AB$76,3),'Monthly Matrix'!$AB$4:$AB$76,0)),"")</f>
        <v>38</v>
      </c>
      <c r="J15" s="6">
        <f>IFERROR(INDEX('Monthly Matrix'!$P$4:$P$76,MATCH(LARGE('Monthly Matrix'!$AB$4:$AB$76,3),'Monthly Matrix'!$AB$4:$AB$76,0)),"")</f>
        <v>0</v>
      </c>
      <c r="K15" s="6">
        <f>IFERROR(INDEX('Monthly Matrix'!$AH$4:$AH$76,MATCH(LARGE('Monthly Matrix'!$AB$4:$AB$76,3),'Monthly Matrix'!$AB$4:$AB$76,0)),"")</f>
        <v>0</v>
      </c>
      <c r="L15" s="9" t="str">
        <f>IFERROR(INDEX('Monthly Matrix'!$AI$4:$AI$76,MATCH(LARGE('Monthly Matrix'!$AB$4:$AB$76,3),'Monthly Matrix'!$AB$4:$AB$76,0))/K15,"")</f>
        <v/>
      </c>
      <c r="M15" s="6" t="str">
        <f>IFERROR(INDEX('Monthly Matrix'!$AF$4:$AF$76,MATCH(LARGE('Monthly Matrix'!$AB$4:$AB$76,3),'Monthly Matrix'!$AB$4:$AB$76,0)),"")</f>
        <v>YES - within 5 working days</v>
      </c>
      <c r="N15" s="7"/>
    </row>
    <row r="16" spans="1:15" ht="21.75" customHeight="1" x14ac:dyDescent="0.15">
      <c r="A16" s="10">
        <v>4</v>
      </c>
      <c r="B16" s="11" t="str">
        <f>IFERROR(INDEX('Monthly Matrix'!$B$4:$B$76,MATCH(LARGE('Monthly Matrix'!$AB$4:$AB$76,4),'Monthly Matrix'!$AB$4:$AB$76,0)),"")</f>
        <v>TRACCS South West LTD</v>
      </c>
      <c r="C16" s="11" t="str">
        <f>IFERROR(INDEX('Monthly Matrix'!$C$4:$C$76,MATCH(LARGE('Monthly Matrix'!$AB$4:$AB$76,4),'Monthly Matrix'!$AB$4:$AB$76,0)),"")</f>
        <v>Utility Arboriculture</v>
      </c>
      <c r="D16" s="11" t="str">
        <f>IFERROR(INDEX('Monthly Matrix'!$E$4:$E$76,MATCH(LARGE('Monthly Matrix'!$AB$4:$AB$76,4),'Monthly Matrix'!$AB$4:$AB$76,0)),"")</f>
        <v>Jake Bolwell</v>
      </c>
      <c r="E16" s="10">
        <f>IFERROR(INDEX('Monthly Matrix'!$T$4:$T$76,MATCH(LARGE('Monthly Matrix'!$AB$4:$AB$76,4),'Monthly Matrix'!$AB$4:$AB$76,0)),"")</f>
        <v>2.7</v>
      </c>
      <c r="F16" s="10" t="str">
        <f>IFERROR(INDEX('Monthly Matrix'!$V$4:$AA$76,MATCH(LARGE('Monthly Matrix'!$AB$4:$AB$76,4),'Monthly Matrix'!$AB$4:$AB$76,0)),"")</f>
        <v/>
      </c>
      <c r="G16" s="10">
        <f>IFERROR(INDEX('Monthly Matrix'!$J$4:$J$76,MATCH(LARGE('Monthly Matrix'!$AB$4:$AB$76,4),'Monthly Matrix'!$AB$4:$AB$76,0)),"")</f>
        <v>0</v>
      </c>
      <c r="H16" s="10">
        <f>IFERROR(INDEX('Monthly Matrix'!$I$4:$I$76,MATCH(LARGE('Monthly Matrix'!$AB$4:$AB$76,4),'Monthly Matrix'!$AB$4:$AB$76,0)),"")</f>
        <v>12</v>
      </c>
      <c r="I16" s="12">
        <f>IFERROR(INDEX('Monthly Matrix'!$N$4:$N$76,MATCH(LARGE('Monthly Matrix'!$AB$4:$AB$76,4),'Monthly Matrix'!$AB$4:$AB$76,0)),"")</f>
        <v>35</v>
      </c>
      <c r="J16" s="10">
        <f>IFERROR(INDEX('Monthly Matrix'!$P$4:$P$76,MATCH(LARGE('Monthly Matrix'!$AB$4:$AB$76,4),'Monthly Matrix'!$AB$4:$AB$76,0)),"")</f>
        <v>0</v>
      </c>
      <c r="K16" s="10">
        <f>IFERROR(INDEX('Monthly Matrix'!$AH$4:$AH$76,MATCH(LARGE('Monthly Matrix'!$AB$4:$AB$76,4),'Monthly Matrix'!$AB$4:$AB$76,0)),"")</f>
        <v>0</v>
      </c>
      <c r="L16" s="13" t="str">
        <f>IFERROR(INDEX('Monthly Matrix'!$AI$4:$AI$76,MATCH(LARGE('Monthly Matrix'!$AB$4:$AB$76,4),'Monthly Matrix'!$AB$4:$AB$76,0))/K16,"")</f>
        <v/>
      </c>
      <c r="M16" s="10" t="str">
        <f>IFERROR(INDEX('Monthly Matrix'!$AF$4:$AF$76,MATCH(LARGE('Monthly Matrix'!$AB$4:$AB$76,4),'Monthly Matrix'!$AB$4:$AB$76,0)),"")</f>
        <v>YES - within 5 working days</v>
      </c>
      <c r="N16" s="11"/>
    </row>
    <row r="17" spans="1:14" ht="21.75" customHeight="1" x14ac:dyDescent="0.15">
      <c r="A17" s="6">
        <v>5</v>
      </c>
      <c r="B17" s="7" t="str">
        <f>IFERROR(INDEX('Monthly Matrix'!$B$4:$B$76,MATCH(LARGE('Monthly Matrix'!$AB$4:$AB$76,5),'Monthly Matrix'!$AB$4:$AB$76,0)),"")</f>
        <v>GB Construction (Herts) Ltd</v>
      </c>
      <c r="C17" s="7" t="str">
        <f>IFERROR(INDEX('Monthly Matrix'!$C$4:$C$76,MATCH(LARGE('Monthly Matrix'!$AB$4:$AB$76,5),'Monthly Matrix'!$AB$4:$AB$76,0)),"")</f>
        <v>Utility Arboriculture</v>
      </c>
      <c r="D17" s="7" t="str">
        <f>IFERROR(INDEX('Monthly Matrix'!$E$4:$E$76,MATCH(LARGE('Monthly Matrix'!$AB$4:$AB$76,5),'Monthly Matrix'!$AB$4:$AB$76,0)),"")</f>
        <v>Paul Shaw</v>
      </c>
      <c r="E17" s="6">
        <f>IFERROR(INDEX('Monthly Matrix'!$T$4:$T$76,MATCH(LARGE('Monthly Matrix'!$AB$4:$AB$76,5),'Monthly Matrix'!$AB$4:$AB$76,0)),"")</f>
        <v>2.7</v>
      </c>
      <c r="F17" s="6" t="str">
        <f>IFERROR(INDEX('Monthly Matrix'!$V$4:$AA$76,MATCH(LARGE('Monthly Matrix'!$AB$4:$AB$76,5),'Monthly Matrix'!$AB$4:$AB$76,0)),"")</f>
        <v/>
      </c>
      <c r="G17" s="6">
        <f>IFERROR(INDEX('Monthly Matrix'!$J$4:$J$76,MATCH(LARGE('Monthly Matrix'!$AB$4:$AB$76,5),'Monthly Matrix'!$AB$4:$AB$76,0)),"")</f>
        <v>0</v>
      </c>
      <c r="H17" s="6">
        <f>IFERROR(INDEX('Monthly Matrix'!$I$4:$I$76,MATCH(LARGE('Monthly Matrix'!$AB$4:$AB$76,5),'Monthly Matrix'!$AB$4:$AB$76,0)),"")</f>
        <v>8</v>
      </c>
      <c r="I17" s="8">
        <f>IFERROR(INDEX('Monthly Matrix'!$N$4:$N$76,MATCH(LARGE('Monthly Matrix'!$AB$4:$AB$76,5),'Monthly Matrix'!$AB$4:$AB$76,0)),"")</f>
        <v>42</v>
      </c>
      <c r="J17" s="6">
        <f>IFERROR(INDEX('Monthly Matrix'!$P$4:$P$76,MATCH(LARGE('Monthly Matrix'!$AB$4:$AB$76,5),'Monthly Matrix'!$AB$4:$AB$76,0)),"")</f>
        <v>0</v>
      </c>
      <c r="K17" s="6">
        <f>IFERROR(INDEX('Monthly Matrix'!$AH$4:$AH$76,MATCH(LARGE('Monthly Matrix'!$AB$4:$AB$76,5),'Monthly Matrix'!$AB$4:$AB$76,0)),"")</f>
        <v>0</v>
      </c>
      <c r="L17" s="9" t="str">
        <f>IFERROR(INDEX('Monthly Matrix'!$AI$4:$AI$76,MATCH(LARGE('Monthly Matrix'!$AB$4:$AB$76,5),'Monthly Matrix'!$AB$4:$AB$76,0))/K17,"")</f>
        <v/>
      </c>
      <c r="M17" s="6" t="str">
        <f>IFERROR(INDEX('Monthly Matrix'!$AF$4:$AF$76,MATCH(LARGE('Monthly Matrix'!$AB$4:$AB$76,5),'Monthly Matrix'!$AB$4:$AB$76,0)),"")</f>
        <v>YES - within 5 working days</v>
      </c>
      <c r="N17" s="7"/>
    </row>
    <row r="18" spans="1:14" ht="21.75" customHeight="1" x14ac:dyDescent="0.15">
      <c r="A18" s="10">
        <v>6</v>
      </c>
      <c r="B18" s="11" t="str">
        <f>IFERROR(INDEX('Monthly Matrix'!$B$4:$B$76,MATCH(LARGE('Monthly Matrix'!$AB$4:$AB$76,6),'Monthly Matrix'!$AB$4:$AB$76,0)),"")</f>
        <v>Integrated Arb Solutions</v>
      </c>
      <c r="C18" s="11" t="str">
        <f>IFERROR(INDEX('Monthly Matrix'!$C$4:$C$76,MATCH(LARGE('Monthly Matrix'!$AB$4:$AB$76,6),'Monthly Matrix'!$AB$4:$AB$76,0)),"")</f>
        <v>Utility Arboriculture</v>
      </c>
      <c r="D18" s="11" t="str">
        <f>IFERROR(INDEX('Monthly Matrix'!$E$4:$E$76,MATCH(LARGE('Monthly Matrix'!$AB$4:$AB$76,6),'Monthly Matrix'!$AB$4:$AB$76,0)),"")</f>
        <v>Jon Addis</v>
      </c>
      <c r="E18" s="10">
        <f>IFERROR(INDEX('Monthly Matrix'!$T$4:$T$76,MATCH(LARGE('Monthly Matrix'!$AB$4:$AB$76,6),'Monthly Matrix'!$AB$4:$AB$76,0)),"")</f>
        <v>2.7</v>
      </c>
      <c r="F18" s="10" t="str">
        <f>IFERROR(INDEX('Monthly Matrix'!$V$4:$AA$76,MATCH(LARGE('Monthly Matrix'!$AB$4:$AB$76,6),'Monthly Matrix'!$AB$4:$AB$76,0)),"")</f>
        <v/>
      </c>
      <c r="G18" s="10">
        <f>IFERROR(INDEX('Monthly Matrix'!$J$4:$J$76,MATCH(LARGE('Monthly Matrix'!$AB$4:$AB$76,6),'Monthly Matrix'!$AB$4:$AB$76,0)),"")</f>
        <v>0</v>
      </c>
      <c r="H18" s="10">
        <f>IFERROR(INDEX('Monthly Matrix'!$I$4:$I$76,MATCH(LARGE('Monthly Matrix'!$AB$4:$AB$76,6),'Monthly Matrix'!$AB$4:$AB$76,0)),"")</f>
        <v>8</v>
      </c>
      <c r="I18" s="12">
        <f>IFERROR(INDEX('Monthly Matrix'!$N$4:$N$76,MATCH(LARGE('Monthly Matrix'!$AB$4:$AB$76,6),'Monthly Matrix'!$AB$4:$AB$76,0)),"")</f>
        <v>32</v>
      </c>
      <c r="J18" s="10">
        <f>IFERROR(INDEX('Monthly Matrix'!$P$4:$P$76,MATCH(LARGE('Monthly Matrix'!$AB$4:$AB$76,6),'Monthly Matrix'!$AB$4:$AB$76,0)),"")</f>
        <v>0</v>
      </c>
      <c r="K18" s="10">
        <f>IFERROR(INDEX('Monthly Matrix'!$AH$4:$AH$76,MATCH(LARGE('Monthly Matrix'!$AB$4:$AB$76,6),'Monthly Matrix'!$AB$4:$AB$76,0)),"")</f>
        <v>0</v>
      </c>
      <c r="L18" s="13" t="str">
        <f>IFERROR(INDEX('Monthly Matrix'!$AI$4:$AI$76,MATCH(LARGE('Monthly Matrix'!$AB$4:$AB$76,6),'Monthly Matrix'!$AB$4:$AB$76,0))/K18,"")</f>
        <v/>
      </c>
      <c r="M18" s="10" t="str">
        <f>IFERROR(INDEX('Monthly Matrix'!$AF$4:$AF$76,MATCH(LARGE('Monthly Matrix'!$AB$4:$AB$76,6),'Monthly Matrix'!$AB$4:$AB$76,0)),"")</f>
        <v>YES - within 5 working days</v>
      </c>
      <c r="N18" s="11"/>
    </row>
    <row r="19" spans="1:14" ht="21.75" customHeight="1" x14ac:dyDescent="0.15">
      <c r="A19" s="6">
        <v>7</v>
      </c>
      <c r="B19" s="7" t="str">
        <f>IFERROR(INDEX('Monthly Matrix'!$B$4:$B$76,MATCH(LARGE('Monthly Matrix'!$AB$4:$AB$76,7),'Monthly Matrix'!$AB$4:$AB$76,0)),"")</f>
        <v>Rother Valley Tree Services Ltd</v>
      </c>
      <c r="C19" s="7" t="str">
        <f>IFERROR(INDEX('Monthly Matrix'!$C$4:$C$76,MATCH(LARGE('Monthly Matrix'!$AB$4:$AB$76,7),'Monthly Matrix'!$AB$4:$AB$76,0)),"")</f>
        <v>Utility Arboriculture</v>
      </c>
      <c r="D19" s="7" t="str">
        <f>IFERROR(INDEX('Monthly Matrix'!$E$4:$E$76,MATCH(LARGE('Monthly Matrix'!$AB$4:$AB$76,7),'Monthly Matrix'!$AB$4:$AB$76,0)),"")</f>
        <v>James Jennings</v>
      </c>
      <c r="E19" s="6">
        <f>IFERROR(INDEX('Monthly Matrix'!$T$4:$T$76,MATCH(LARGE('Monthly Matrix'!$AB$4:$AB$76,7),'Monthly Matrix'!$AB$4:$AB$76,0)),"")</f>
        <v>2.7</v>
      </c>
      <c r="F19" s="6" t="str">
        <f>IFERROR(INDEX('Monthly Matrix'!$V$4:$AA$76,MATCH(LARGE('Monthly Matrix'!$AB$4:$AB$76,7),'Monthly Matrix'!$AB$4:$AB$76,0)),"")</f>
        <v/>
      </c>
      <c r="G19" s="6">
        <f>IFERROR(INDEX('Monthly Matrix'!$J$4:$J$76,MATCH(LARGE('Monthly Matrix'!$AB$4:$AB$76,7),'Monthly Matrix'!$AB$4:$AB$76,0)),"")</f>
        <v>0</v>
      </c>
      <c r="H19" s="6">
        <f>IFERROR(INDEX('Monthly Matrix'!$I$4:$I$76,MATCH(LARGE('Monthly Matrix'!$AB$4:$AB$76,7),'Monthly Matrix'!$AB$4:$AB$76,0)),"")</f>
        <v>38</v>
      </c>
      <c r="I19" s="8">
        <f>IFERROR(INDEX('Monthly Matrix'!$N$4:$N$76,MATCH(LARGE('Monthly Matrix'!$AB$4:$AB$76,7),'Monthly Matrix'!$AB$4:$AB$76,0)),"")</f>
        <v>37</v>
      </c>
      <c r="J19" s="6">
        <f>IFERROR(INDEX('Monthly Matrix'!$P$4:$P$76,MATCH(LARGE('Monthly Matrix'!$AB$4:$AB$76,7),'Monthly Matrix'!$AB$4:$AB$76,0)),"")</f>
        <v>0</v>
      </c>
      <c r="K19" s="6">
        <f>IFERROR(INDEX('Monthly Matrix'!$AH$4:$AH$76,MATCH(LARGE('Monthly Matrix'!$AB$4:$AB$76,7),'Monthly Matrix'!$AB$4:$AB$76,0)),"")</f>
        <v>0</v>
      </c>
      <c r="L19" s="9" t="str">
        <f>IFERROR(INDEX('Monthly Matrix'!$AI$4:$AI$76,MATCH(LARGE('Monthly Matrix'!$AB$4:$AB$76,7),'Monthly Matrix'!$AB$4:$AB$76,0))/K19,"")</f>
        <v/>
      </c>
      <c r="M19" s="6" t="str">
        <f>IFERROR(INDEX('Monthly Matrix'!$AF$4:$AF$76,MATCH(LARGE('Monthly Matrix'!$AB$4:$AB$76,7),'Monthly Matrix'!$AB$4:$AB$76,0)),"")</f>
        <v>YES - within 5 working days</v>
      </c>
      <c r="N19" s="7"/>
    </row>
    <row r="20" spans="1:14" ht="21.75" customHeight="1" x14ac:dyDescent="0.15">
      <c r="A20" s="10">
        <v>8</v>
      </c>
      <c r="B20" s="11" t="str">
        <f>IFERROR(INDEX('Monthly Matrix'!$B$4:$B$76,MATCH(LARGE('Monthly Matrix'!$AB$4:$AB$76,8),'Monthly Matrix'!$AB$4:$AB$76,0)),"")</f>
        <v>Keighley Tree Services</v>
      </c>
      <c r="C20" s="11" t="str">
        <f>IFERROR(INDEX('Monthly Matrix'!$C$4:$C$76,MATCH(LARGE('Monthly Matrix'!$AB$4:$AB$76,8),'Monthly Matrix'!$AB$4:$AB$76,0)),"")</f>
        <v>Utility Arboriculture</v>
      </c>
      <c r="D20" s="11" t="str">
        <f>IFERROR(INDEX('Monthly Matrix'!$E$4:$E$76,MATCH(LARGE('Monthly Matrix'!$AB$4:$AB$76,8),'Monthly Matrix'!$AB$4:$AB$76,0)),"")</f>
        <v>David Damm</v>
      </c>
      <c r="E20" s="10">
        <f>IFERROR(INDEX('Monthly Matrix'!$T$4:$T$76,MATCH(LARGE('Monthly Matrix'!$AB$4:$AB$76,8),'Monthly Matrix'!$AB$4:$AB$76,0)),"")</f>
        <v>2.7</v>
      </c>
      <c r="F20" s="10" t="str">
        <f>IFERROR(INDEX('Monthly Matrix'!$V$4:$AA$76,MATCH(LARGE('Monthly Matrix'!$AB$4:$AB$76,8),'Monthly Matrix'!$AB$4:$AB$76,0)),"")</f>
        <v/>
      </c>
      <c r="G20" s="10">
        <f>IFERROR(INDEX('Monthly Matrix'!$J$4:$J$76,MATCH(LARGE('Monthly Matrix'!$AB$4:$AB$76,8),'Monthly Matrix'!$AB$4:$AB$76,0)),"")</f>
        <v>0</v>
      </c>
      <c r="H20" s="10">
        <f>IFERROR(INDEX('Monthly Matrix'!$I$4:$I$76,MATCH(LARGE('Monthly Matrix'!$AB$4:$AB$76,8),'Monthly Matrix'!$AB$4:$AB$76,0)),"")</f>
        <v>8</v>
      </c>
      <c r="I20" s="12">
        <f>IFERROR(INDEX('Monthly Matrix'!$N$4:$N$76,MATCH(LARGE('Monthly Matrix'!$AB$4:$AB$76,8),'Monthly Matrix'!$AB$4:$AB$76,0)),"")</f>
        <v>32</v>
      </c>
      <c r="J20" s="10">
        <f>IFERROR(INDEX('Monthly Matrix'!$P$4:$P$76,MATCH(LARGE('Monthly Matrix'!$AB$4:$AB$76,8),'Monthly Matrix'!$AB$4:$AB$76,0)),"")</f>
        <v>0</v>
      </c>
      <c r="K20" s="10">
        <f>IFERROR(INDEX('Monthly Matrix'!$AH$4:$AH$76,MATCH(LARGE('Monthly Matrix'!$AB$4:$AB$76,8),'Monthly Matrix'!$AB$4:$AB$76,0)),"")</f>
        <v>0</v>
      </c>
      <c r="L20" s="13" t="str">
        <f>IFERROR(INDEX('Monthly Matrix'!$AI$4:$AI$76,MATCH(LARGE('Monthly Matrix'!$AB$4:$AB$76,8),'Monthly Matrix'!$AB$4:$AB$76,0))/K20,"")</f>
        <v/>
      </c>
      <c r="M20" s="10" t="str">
        <f>IFERROR(INDEX('Monthly Matrix'!$AF$4:$AF$76,MATCH(LARGE('Monthly Matrix'!$AB$4:$AB$76,8),'Monthly Matrix'!$AB$4:$AB$76,0)),"")</f>
        <v>YES - within 5 working days</v>
      </c>
      <c r="N20" s="11"/>
    </row>
    <row r="21" spans="1:14" ht="21.75" customHeight="1" x14ac:dyDescent="0.15">
      <c r="A21" s="6">
        <v>9</v>
      </c>
      <c r="B21" s="7" t="str">
        <f>IFERROR(INDEX('Monthly Matrix'!$B$4:$B$76,MATCH(LARGE('Monthly Matrix'!$AB$4:$AB$76,9),'Monthly Matrix'!$AB$4:$AB$76,0)),"")</f>
        <v>Valiant Arborist Ltd</v>
      </c>
      <c r="C21" s="7" t="str">
        <f>IFERROR(INDEX('Monthly Matrix'!$C$4:$C$76,MATCH(LARGE('Monthly Matrix'!$AB$4:$AB$76,9),'Monthly Matrix'!$AB$4:$AB$76,0)),"")</f>
        <v>Utility Arboriculture</v>
      </c>
      <c r="D21" s="7" t="str">
        <f>IFERROR(INDEX('Monthly Matrix'!$E$4:$E$76,MATCH(LARGE('Monthly Matrix'!$AB$4:$AB$76,9),'Monthly Matrix'!$AB$4:$AB$76,0)),"")</f>
        <v>Barry Bright</v>
      </c>
      <c r="E21" s="6">
        <f>IFERROR(INDEX('Monthly Matrix'!$T$4:$T$76,MATCH(LARGE('Monthly Matrix'!$AB$4:$AB$76,9),'Monthly Matrix'!$AB$4:$AB$76,0)),"")</f>
        <v>2.8</v>
      </c>
      <c r="F21" s="6" t="str">
        <f>IFERROR(INDEX('Monthly Matrix'!$V$4:$AA$76,MATCH(LARGE('Monthly Matrix'!$AB$4:$AB$76,9),'Monthly Matrix'!$AB$4:$AB$76,0)),"")</f>
        <v/>
      </c>
      <c r="G21" s="6">
        <f>IFERROR(INDEX('Monthly Matrix'!$J$4:$J$76,MATCH(LARGE('Monthly Matrix'!$AB$4:$AB$76,9),'Monthly Matrix'!$AB$4:$AB$76,0)),"")</f>
        <v>0</v>
      </c>
      <c r="H21" s="6">
        <f>IFERROR(INDEX('Monthly Matrix'!$I$4:$I$76,MATCH(LARGE('Monthly Matrix'!$AB$4:$AB$76,9),'Monthly Matrix'!$AB$4:$AB$76,0)),"")</f>
        <v>10</v>
      </c>
      <c r="I21" s="8">
        <f>IFERROR(INDEX('Monthly Matrix'!$N$4:$N$76,MATCH(LARGE('Monthly Matrix'!$AB$4:$AB$76,9),'Monthly Matrix'!$AB$4:$AB$76,0)),"")</f>
        <v>57.999999999999993</v>
      </c>
      <c r="J21" s="6">
        <f>IFERROR(INDEX('Monthly Matrix'!$P$4:$P$76,MATCH(LARGE('Monthly Matrix'!$AB$4:$AB$76,9),'Monthly Matrix'!$AB$4:$AB$76,0)),"")</f>
        <v>0</v>
      </c>
      <c r="K21" s="6">
        <f>IFERROR(INDEX('Monthly Matrix'!$AH$4:$AH$76,MATCH(LARGE('Monthly Matrix'!$AB$4:$AB$76,9),'Monthly Matrix'!$AB$4:$AB$76,0)),"")</f>
        <v>0</v>
      </c>
      <c r="L21" s="9" t="str">
        <f>IFERROR(INDEX('Monthly Matrix'!$AI$4:$AI$76,MATCH(LARGE('Monthly Matrix'!$AB$4:$AB$76,9),'Monthly Matrix'!$AB$4:$AB$76,0))/K21,"")</f>
        <v/>
      </c>
      <c r="M21" s="6" t="str">
        <f>IFERROR(INDEX('Monthly Matrix'!$AF$4:$AF$76,MATCH(LARGE('Monthly Matrix'!$AB$4:$AB$76,9),'Monthly Matrix'!$AB$4:$AB$76,0)),"")</f>
        <v>YES - within 5 working days</v>
      </c>
      <c r="N21" s="7"/>
    </row>
    <row r="22" spans="1:14" ht="21.75" customHeight="1" x14ac:dyDescent="0.15">
      <c r="A22" s="10">
        <v>10</v>
      </c>
      <c r="B22" s="11" t="str">
        <f>IFERROR(INDEX('Monthly Matrix'!$B$4:$B$76,MATCH(LARGE('Monthly Matrix'!$AB$4:$AB$76,10),'Monthly Matrix'!$AB$4:$AB$76,0)),"")</f>
        <v>C G Tree Cutting Services</v>
      </c>
      <c r="C22" s="11" t="str">
        <f>IFERROR(INDEX('Monthly Matrix'!$C$4:$C$76,MATCH(LARGE('Monthly Matrix'!$AB$4:$AB$76,10),'Monthly Matrix'!$AB$4:$AB$76,0)),"")</f>
        <v>Utility Arboriculture</v>
      </c>
      <c r="D22" s="11" t="str">
        <f>IFERROR(INDEX('Monthly Matrix'!$E$4:$E$76,MATCH(LARGE('Monthly Matrix'!$AB$4:$AB$76,10),'Monthly Matrix'!$AB$4:$AB$76,0)),"")</f>
        <v>Jake Bolwell</v>
      </c>
      <c r="E22" s="10">
        <f>IFERROR(INDEX('Monthly Matrix'!$T$4:$T$76,MATCH(LARGE('Monthly Matrix'!$AB$4:$AB$76,10),'Monthly Matrix'!$AB$4:$AB$76,0)),"")</f>
        <v>2.8</v>
      </c>
      <c r="F22" s="10" t="str">
        <f>IFERROR(INDEX('Monthly Matrix'!$V$4:$AA$76,MATCH(LARGE('Monthly Matrix'!$AB$4:$AB$76,10),'Monthly Matrix'!$AB$4:$AB$76,0)),"")</f>
        <v/>
      </c>
      <c r="G22" s="10">
        <f>IFERROR(INDEX('Monthly Matrix'!$J$4:$J$76,MATCH(LARGE('Monthly Matrix'!$AB$4:$AB$76,10),'Monthly Matrix'!$AB$4:$AB$76,0)),"")</f>
        <v>0</v>
      </c>
      <c r="H22" s="10">
        <f>IFERROR(INDEX('Monthly Matrix'!$I$4:$I$76,MATCH(LARGE('Monthly Matrix'!$AB$4:$AB$76,10),'Monthly Matrix'!$AB$4:$AB$76,0)),"")</f>
        <v>4</v>
      </c>
      <c r="I22" s="12">
        <f>IFERROR(INDEX('Monthly Matrix'!$N$4:$N$76,MATCH(LARGE('Monthly Matrix'!$AB$4:$AB$76,10),'Monthly Matrix'!$AB$4:$AB$76,0)),"")</f>
        <v>45</v>
      </c>
      <c r="J22" s="10">
        <f>IFERROR(INDEX('Monthly Matrix'!$P$4:$P$76,MATCH(LARGE('Monthly Matrix'!$AB$4:$AB$76,10),'Monthly Matrix'!$AB$4:$AB$76,0)),"")</f>
        <v>0</v>
      </c>
      <c r="K22" s="10">
        <f>IFERROR(INDEX('Monthly Matrix'!$AH$4:$AH$76,MATCH(LARGE('Monthly Matrix'!$AB$4:$AB$76,10),'Monthly Matrix'!$AB$4:$AB$76,0)),"")</f>
        <v>0</v>
      </c>
      <c r="L22" s="13" t="str">
        <f>IFERROR(INDEX('Monthly Matrix'!$AI$4:$AI$76,MATCH(LARGE('Monthly Matrix'!$AB$4:$AB$76,10),'Monthly Matrix'!$AB$4:$AB$76,0))/K22,"")</f>
        <v/>
      </c>
      <c r="M22" s="10" t="str">
        <f>IFERROR(INDEX('Monthly Matrix'!$AF$4:$AF$76,MATCH(LARGE('Monthly Matrix'!$AB$4:$AB$76,10),'Monthly Matrix'!$AB$4:$AB$76,0)),"")</f>
        <v>YES - within 5 working days</v>
      </c>
      <c r="N22" s="11"/>
    </row>
    <row r="24" spans="1:14" ht="25.5" customHeight="1" x14ac:dyDescent="0.2">
      <c r="A24" s="125" t="s">
        <v>23</v>
      </c>
      <c r="B24" s="122"/>
      <c r="C24" s="122"/>
      <c r="D24" s="122"/>
      <c r="E24" s="122"/>
      <c r="F24" s="122"/>
      <c r="G24" s="122"/>
      <c r="H24" s="122"/>
      <c r="I24" s="122"/>
      <c r="J24" s="122"/>
      <c r="K24" s="122"/>
      <c r="L24" s="122"/>
      <c r="M24" s="122"/>
      <c r="N24" s="122"/>
    </row>
    <row r="25" spans="1:14" ht="25.5" customHeight="1" x14ac:dyDescent="0.2">
      <c r="A25" s="4" t="s">
        <v>24</v>
      </c>
      <c r="B25" s="4" t="s">
        <v>25</v>
      </c>
      <c r="C25" s="4" t="s">
        <v>26</v>
      </c>
      <c r="D25" s="4" t="s">
        <v>27</v>
      </c>
    </row>
    <row r="26" spans="1:14" ht="21.75" customHeight="1" x14ac:dyDescent="0.2">
      <c r="A26" s="14" t="s">
        <v>28</v>
      </c>
      <c r="B26" s="15">
        <f>SUM('Monthly Matrix'!J4:J76)</f>
        <v>0</v>
      </c>
      <c r="C26" s="8">
        <f>SUM('Monthly Matrix'!I4:I76)</f>
        <v>674</v>
      </c>
      <c r="D26" s="16" t="str">
        <f>IF(B26&gt;=C26,"ON TARGET","BELOW TARGET")</f>
        <v>BELOW TARGET</v>
      </c>
    </row>
    <row r="27" spans="1:14" ht="21.75" customHeight="1" x14ac:dyDescent="0.2">
      <c r="A27" s="17" t="s">
        <v>29</v>
      </c>
      <c r="B27" s="15">
        <f>IFERROR(ROUND(AVERAGEIF('Monthly Matrix'!N4:N76,"&gt;0"),1),0)</f>
        <v>71.599999999999994</v>
      </c>
      <c r="C27" s="8">
        <v>95</v>
      </c>
      <c r="D27" s="16" t="str">
        <f>IF(B27&gt;=C27,"ON TARGET","BELOW TARGET")</f>
        <v>BELOW TARGET</v>
      </c>
    </row>
    <row r="28" spans="1:14" ht="21.75" customHeight="1" x14ac:dyDescent="0.2">
      <c r="A28" s="14" t="s">
        <v>30</v>
      </c>
      <c r="B28" s="15">
        <f>IFERROR(ROUND(SUM('Monthly Matrix'!AD4:AD76)/SUM('Monthly Matrix'!AC4:AC76)*100,1),"-")</f>
        <v>100.1</v>
      </c>
      <c r="C28" s="8">
        <v>95</v>
      </c>
      <c r="D28" s="16" t="str">
        <f>IF(ISNUMBER(B28),IF(B28&gt;=C28,"ON TARGET","BELOW TARGET"),"-")</f>
        <v>ON TARGET</v>
      </c>
    </row>
    <row r="29" spans="1:14" ht="21.75" customHeight="1" x14ac:dyDescent="0.2">
      <c r="A29" s="17" t="s">
        <v>31</v>
      </c>
      <c r="B29" s="15">
        <f>SUM('Monthly Matrix'!P4:P76)</f>
        <v>0</v>
      </c>
      <c r="C29" s="8">
        <v>0</v>
      </c>
      <c r="D29" s="16" t="str">
        <f>IF(B29=0,"ON TARGET","BELOW TARGET")</f>
        <v>ON TARGET</v>
      </c>
    </row>
    <row r="30" spans="1:14" ht="21.75" customHeight="1" x14ac:dyDescent="0.2">
      <c r="A30" s="18" t="s">
        <v>32</v>
      </c>
      <c r="B30" s="19">
        <f>COUNTIF('Monthly Matrix'!AA4:AA76,"HIGH")</f>
        <v>73</v>
      </c>
      <c r="C30" s="19">
        <v>0</v>
      </c>
      <c r="D30" s="20" t="str">
        <f>IF(B30=0,"ON TARGET","ACTION REQUIRED")</f>
        <v>ACTION REQUIRED</v>
      </c>
    </row>
    <row r="31" spans="1:14" ht="21.75" customHeight="1" x14ac:dyDescent="0.2">
      <c r="A31" s="17" t="s">
        <v>33</v>
      </c>
      <c r="B31" s="15">
        <f>IFERROR(ROUND(COUNTIF('Audit Schedule'!J4:J76,"Completed")/MAX(1,COUNTA('Audit Schedule'!A4:A76))*100,1),"-")</f>
        <v>0</v>
      </c>
      <c r="C31" s="6">
        <v>100</v>
      </c>
      <c r="D31" s="16" t="str">
        <f>IF(ISNUMBER(B31),IF(B31&gt;=80,"ON TARGET","BELOW TARGET"),"-")</f>
        <v>BELOW TARGET</v>
      </c>
    </row>
    <row r="32" spans="1:14" x14ac:dyDescent="0.2">
      <c r="A32" t="s">
        <v>34</v>
      </c>
      <c r="B32">
        <f>IFERROR(ROUND(SUMPRODUCT(('Monthly Matrix'!AA4:AA76&lt;&gt;"")*'Monthly Matrix'!T4:T76)/MAX(1,COUNTIF('Monthly Matrix'!AA4:AA76,"&lt;&gt;")),1),"-")</f>
        <v>2.9</v>
      </c>
      <c r="C32" t="s">
        <v>35</v>
      </c>
      <c r="D32" t="str">
        <f>IF(ISNUMBER(B32),IF(B32&gt;3.25,"ON TARGET","BELOW TARGET"),"-")</f>
        <v>BELOW TARGET</v>
      </c>
    </row>
    <row r="33" spans="1:14" ht="19.5" customHeight="1" x14ac:dyDescent="0.2">
      <c r="A33" s="131" t="s">
        <v>36</v>
      </c>
      <c r="B33" s="132"/>
      <c r="C33" s="132"/>
      <c r="D33" s="132"/>
    </row>
    <row r="34" spans="1:14" ht="19.5" customHeight="1" x14ac:dyDescent="0.2">
      <c r="A34" s="133"/>
      <c r="B34" s="122"/>
      <c r="C34" s="122"/>
      <c r="D34" s="122"/>
    </row>
    <row r="35" spans="1:14" ht="19.5" customHeight="1" x14ac:dyDescent="0.2">
      <c r="A35" s="133"/>
      <c r="B35" s="122"/>
      <c r="C35" s="122"/>
      <c r="D35" s="122"/>
    </row>
    <row r="37" spans="1:14" ht="21.75" customHeight="1" x14ac:dyDescent="0.2">
      <c r="A37" s="135" t="s">
        <v>37</v>
      </c>
      <c r="B37" s="122"/>
      <c r="C37" s="122"/>
      <c r="D37" s="122"/>
      <c r="E37" s="122"/>
      <c r="F37" s="122"/>
      <c r="G37" s="122"/>
      <c r="H37" s="122"/>
      <c r="I37" s="122"/>
      <c r="J37" s="122"/>
      <c r="K37" s="122"/>
      <c r="L37" s="122"/>
      <c r="M37" s="122"/>
      <c r="N37" s="122"/>
    </row>
    <row r="38" spans="1:14" ht="31.5" customHeight="1" x14ac:dyDescent="0.15">
      <c r="A38" s="21" t="s">
        <v>10</v>
      </c>
      <c r="B38" s="21" t="s">
        <v>11</v>
      </c>
      <c r="C38" s="21" t="s">
        <v>12</v>
      </c>
      <c r="D38" s="21" t="s">
        <v>13</v>
      </c>
      <c r="E38" s="21" t="s">
        <v>14</v>
      </c>
      <c r="F38" s="21" t="s">
        <v>15</v>
      </c>
      <c r="G38" s="21" t="s">
        <v>16</v>
      </c>
      <c r="H38" s="21" t="s">
        <v>17</v>
      </c>
      <c r="I38" s="21" t="s">
        <v>18</v>
      </c>
      <c r="J38" s="21" t="s">
        <v>19</v>
      </c>
      <c r="K38" s="21" t="s">
        <v>20</v>
      </c>
      <c r="L38" s="21" t="s">
        <v>21</v>
      </c>
      <c r="M38" s="21" t="s">
        <v>22</v>
      </c>
      <c r="N38" s="22"/>
    </row>
    <row r="39" spans="1:14" ht="21.75" customHeight="1" x14ac:dyDescent="0.2">
      <c r="A39" s="23">
        <v>1</v>
      </c>
      <c r="B39" s="24" t="str">
        <f>IFERROR(INDEX('Monthly Matrix'!$B$4:$B$76,MATCH(SMALL('Monthly Matrix'!$AH$4:$AH$76,1),'Monthly Matrix'!$AH$4:$AH$76,0)),"")</f>
        <v>Kingfisher Tree Services Ltd</v>
      </c>
      <c r="C39" s="24" t="str">
        <f>IFERROR(INDEX('Monthly Matrix'!$C$4:$C$76,MATCH(SMALL('Monthly Matrix'!$AH$4:$AH$76,1),'Monthly Matrix'!$AH$4:$AH$76,0)),"")</f>
        <v>ESB - Utility Arboriculture</v>
      </c>
      <c r="D39" s="24" t="str">
        <f>IFERROR(INDEX('Monthly Matrix'!$E$4:$E$76,MATCH(SMALL('Monthly Matrix'!$AH$4:$AH$76,1),'Monthly Matrix'!$AH$4:$AH$76,0)),"")</f>
        <v>Jake Bolwell</v>
      </c>
      <c r="E39" s="24">
        <f>IFERROR(INDEX('Monthly Matrix'!$T$4:$T$76,MATCH(SMALL('Monthly Matrix'!$AH$4:$AH$76,1),'Monthly Matrix'!$AH$4:$AH$76,0)),"")</f>
        <v>3</v>
      </c>
      <c r="F39" s="24" t="str">
        <f>IFERROR(INDEX('Monthly Matrix'!$V$4:$AA$76,MATCH(SMALL('Monthly Matrix'!$AH$4:$AH$76,1),'Monthly Matrix'!$AH$4:$AH$76,0)),"")</f>
        <v/>
      </c>
      <c r="G39" s="24">
        <f>IFERROR(INDEX('Monthly Matrix'!$J$4:$J$76,MATCH(SMALL('Monthly Matrix'!$AH$4:$AH$76,1),'Monthly Matrix'!$AH$4:$AH$76,0)),"")</f>
        <v>0</v>
      </c>
      <c r="H39" s="24">
        <f>IFERROR(INDEX('Monthly Matrix'!$I$4:$I$76,MATCH(SMALL('Monthly Matrix'!$AH$4:$AH$76,1),'Monthly Matrix'!$AH$4:$AH$76,0)),"")</f>
        <v>14</v>
      </c>
      <c r="I39" s="25">
        <f>IFERROR(INDEX('Monthly Matrix'!$N$4:$N$76,MATCH(SMALL('Monthly Matrix'!$AH$4:$AH$76,1),'Monthly Matrix'!$AH$4:$AH$76,0)),"")</f>
        <v>80</v>
      </c>
      <c r="J39" s="24">
        <f>IFERROR(INDEX('Monthly Matrix'!$P$4:$P$76,MATCH(SMALL('Monthly Matrix'!$AH$4:$AH$76,1),'Monthly Matrix'!$AH$4:$AH$76,0)),"")</f>
        <v>0</v>
      </c>
      <c r="K39" s="24">
        <f>IFERROR(INDEX('Monthly Matrix'!$AH$4:$AH$76,MATCH(SMALL('Monthly Matrix'!$AH$4:$AH$76,1),'Monthly Matrix'!$AH$4:$AH$76,0)),"")</f>
        <v>0</v>
      </c>
      <c r="L39" s="26" t="str">
        <f>IFERROR(INDEX('Monthly Matrix'!$AI$4:$AI$76,MATCH(SMALL('Monthly Matrix'!$AH$4:$AH$76,1),'Monthly Matrix'!$AH$4:$AH$76,0))/K39,"")</f>
        <v/>
      </c>
      <c r="M39" s="24" t="str">
        <f>IFERROR(INDEX('Monthly Matrix'!$AF$4:$AF$76,MATCH(SMALL('Monthly Matrix'!$AH$4:$AH$76,1),'Monthly Matrix'!$AH$4:$AH$76,0)),"")</f>
        <v>YES - within 5 working days</v>
      </c>
    </row>
    <row r="40" spans="1:14" ht="21.75" customHeight="1" x14ac:dyDescent="0.2">
      <c r="A40" s="23">
        <v>2</v>
      </c>
      <c r="B40" s="24" t="str">
        <f>IFERROR(INDEX('Monthly Matrix'!$B$4:$B$76,MATCH(SMALL('Monthly Matrix'!$AH$4:$AH$76,2),'Monthly Matrix'!$AH$4:$AH$76,0)),"")</f>
        <v>Kingfisher Tree Services Ltd</v>
      </c>
      <c r="C40" s="24" t="str">
        <f>IFERROR(INDEX('Monthly Matrix'!$C$4:$C$76,MATCH(SMALL('Monthly Matrix'!$AH$4:$AH$76,2),'Monthly Matrix'!$AH$4:$AH$76,0)),"")</f>
        <v>ESB - Utility Arboriculture</v>
      </c>
      <c r="D40" s="24" t="str">
        <f>IFERROR(INDEX('Monthly Matrix'!$E$4:$E$76,MATCH(SMALL('Monthly Matrix'!$AH$4:$AH$76,2),'Monthly Matrix'!$AH$4:$AH$76,0)),"")</f>
        <v>Jake Bolwell</v>
      </c>
      <c r="E40" s="24">
        <f>IFERROR(INDEX('Monthly Matrix'!$T$4:$T$76,MATCH(SMALL('Monthly Matrix'!$AH$4:$AH$76,2),'Monthly Matrix'!$AH$4:$AH$76,0)),"")</f>
        <v>3</v>
      </c>
      <c r="F40" s="24" t="str">
        <f>IFERROR(INDEX('Monthly Matrix'!$V$4:$AA$76,MATCH(SMALL('Monthly Matrix'!$AH$4:$AH$76,2),'Monthly Matrix'!$AH$4:$AH$76,0)),"")</f>
        <v/>
      </c>
      <c r="G40" s="24">
        <f>IFERROR(INDEX('Monthly Matrix'!$J$4:$J$76,MATCH(SMALL('Monthly Matrix'!$AH$4:$AH$76,2),'Monthly Matrix'!$AH$4:$AH$76,0)),"")</f>
        <v>0</v>
      </c>
      <c r="H40" s="24">
        <f>IFERROR(INDEX('Monthly Matrix'!$I$4:$I$76,MATCH(SMALL('Monthly Matrix'!$AH$4:$AH$76,2),'Monthly Matrix'!$AH$4:$AH$76,0)),"")</f>
        <v>14</v>
      </c>
      <c r="I40" s="25">
        <f>IFERROR(INDEX('Monthly Matrix'!$N$4:$N$76,MATCH(SMALL('Monthly Matrix'!$AH$4:$AH$76,2),'Monthly Matrix'!$AH$4:$AH$76,0)),"")</f>
        <v>80</v>
      </c>
      <c r="J40" s="24">
        <f>IFERROR(INDEX('Monthly Matrix'!$P$4:$P$76,MATCH(SMALL('Monthly Matrix'!$AH$4:$AH$76,2),'Monthly Matrix'!$AH$4:$AH$76,0)),"")</f>
        <v>0</v>
      </c>
      <c r="K40" s="24">
        <f>IFERROR(INDEX('Monthly Matrix'!$AH$4:$AH$76,MATCH(SMALL('Monthly Matrix'!$AH$4:$AH$76,2),'Monthly Matrix'!$AH$4:$AH$76,0)),"")</f>
        <v>0</v>
      </c>
      <c r="L40" s="26" t="str">
        <f>IFERROR(INDEX('Monthly Matrix'!$AI$4:$AI$76,MATCH(SMALL('Monthly Matrix'!$AH$4:$AH$76,2),'Monthly Matrix'!$AH$4:$AH$76,0))/K40,"")</f>
        <v/>
      </c>
      <c r="M40" s="24" t="str">
        <f>IFERROR(INDEX('Monthly Matrix'!$AF$4:$AF$76,MATCH(SMALL('Monthly Matrix'!$AH$4:$AH$76,2),'Monthly Matrix'!$AH$4:$AH$76,0)),"")</f>
        <v>YES - within 5 working days</v>
      </c>
    </row>
    <row r="41" spans="1:14" ht="21.75" customHeight="1" x14ac:dyDescent="0.2">
      <c r="A41" s="23">
        <v>3</v>
      </c>
      <c r="B41" s="24" t="str">
        <f>IFERROR(INDEX('Monthly Matrix'!$B$4:$B$76,MATCH(SMALL('Monthly Matrix'!$AH$4:$AH$76,3),'Monthly Matrix'!$AH$4:$AH$76,0)),"")</f>
        <v>Kingfisher Tree Services Ltd</v>
      </c>
      <c r="C41" s="24" t="str">
        <f>IFERROR(INDEX('Monthly Matrix'!$C$4:$C$76,MATCH(SMALL('Monthly Matrix'!$AH$4:$AH$76,3),'Monthly Matrix'!$AH$4:$AH$76,0)),"")</f>
        <v>ESB - Utility Arboriculture</v>
      </c>
      <c r="D41" s="24" t="str">
        <f>IFERROR(INDEX('Monthly Matrix'!$E$4:$E$76,MATCH(SMALL('Monthly Matrix'!$AH$4:$AH$76,3),'Monthly Matrix'!$AH$4:$AH$76,0)),"")</f>
        <v>Jake Bolwell</v>
      </c>
      <c r="E41" s="24">
        <f>IFERROR(INDEX('Monthly Matrix'!$T$4:$T$76,MATCH(SMALL('Monthly Matrix'!$AH$4:$AH$76,3),'Monthly Matrix'!$AH$4:$AH$76,0)),"")</f>
        <v>3</v>
      </c>
      <c r="F41" s="24" t="str">
        <f>IFERROR(INDEX('Monthly Matrix'!$V$4:$AA$76,MATCH(SMALL('Monthly Matrix'!$AH$4:$AH$76,3),'Monthly Matrix'!$AH$4:$AH$76,0)),"")</f>
        <v/>
      </c>
      <c r="G41" s="24">
        <f>IFERROR(INDEX('Monthly Matrix'!$J$4:$J$76,MATCH(SMALL('Monthly Matrix'!$AH$4:$AH$76,3),'Monthly Matrix'!$AH$4:$AH$76,0)),"")</f>
        <v>0</v>
      </c>
      <c r="H41" s="24">
        <f>IFERROR(INDEX('Monthly Matrix'!$I$4:$I$76,MATCH(SMALL('Monthly Matrix'!$AH$4:$AH$76,3),'Monthly Matrix'!$AH$4:$AH$76,0)),"")</f>
        <v>14</v>
      </c>
      <c r="I41" s="25">
        <f>IFERROR(INDEX('Monthly Matrix'!$N$4:$N$76,MATCH(SMALL('Monthly Matrix'!$AH$4:$AH$76,3),'Monthly Matrix'!$AH$4:$AH$76,0)),"")</f>
        <v>80</v>
      </c>
      <c r="J41" s="24">
        <f>IFERROR(INDEX('Monthly Matrix'!$P$4:$P$76,MATCH(SMALL('Monthly Matrix'!$AH$4:$AH$76,3),'Monthly Matrix'!$AH$4:$AH$76,0)),"")</f>
        <v>0</v>
      </c>
      <c r="K41" s="24">
        <f>IFERROR(INDEX('Monthly Matrix'!$AH$4:$AH$76,MATCH(SMALL('Monthly Matrix'!$AH$4:$AH$76,3),'Monthly Matrix'!$AH$4:$AH$76,0)),"")</f>
        <v>0</v>
      </c>
      <c r="L41" s="26" t="str">
        <f>IFERROR(INDEX('Monthly Matrix'!$AI$4:$AI$76,MATCH(SMALL('Monthly Matrix'!$AH$4:$AH$76,3),'Monthly Matrix'!$AH$4:$AH$76,0))/K41,"")</f>
        <v/>
      </c>
      <c r="M41" s="24" t="str">
        <f>IFERROR(INDEX('Monthly Matrix'!$AF$4:$AF$76,MATCH(SMALL('Monthly Matrix'!$AH$4:$AH$76,3),'Monthly Matrix'!$AH$4:$AH$76,0)),"")</f>
        <v>YES - within 5 working days</v>
      </c>
    </row>
    <row r="42" spans="1:14" ht="21.75" customHeight="1" x14ac:dyDescent="0.2">
      <c r="A42" s="23">
        <v>4</v>
      </c>
      <c r="B42" s="24" t="str">
        <f>IFERROR(INDEX('Monthly Matrix'!$B$4:$B$76,MATCH(SMALL('Monthly Matrix'!$AH$4:$AH$76,4),'Monthly Matrix'!$AH$4:$AH$76,0)),"")</f>
        <v>Kingfisher Tree Services Ltd</v>
      </c>
      <c r="C42" s="24" t="str">
        <f>IFERROR(INDEX('Monthly Matrix'!$C$4:$C$76,MATCH(SMALL('Monthly Matrix'!$AH$4:$AH$76,4),'Monthly Matrix'!$AH$4:$AH$76,0)),"")</f>
        <v>ESB - Utility Arboriculture</v>
      </c>
      <c r="D42" s="24" t="str">
        <f>IFERROR(INDEX('Monthly Matrix'!$E$4:$E$76,MATCH(SMALL('Monthly Matrix'!$AH$4:$AH$76,4),'Monthly Matrix'!$AH$4:$AH$76,0)),"")</f>
        <v>Jake Bolwell</v>
      </c>
      <c r="E42" s="24">
        <f>IFERROR(INDEX('Monthly Matrix'!$T$4:$T$76,MATCH(SMALL('Monthly Matrix'!$AH$4:$AH$76,4),'Monthly Matrix'!$AH$4:$AH$76,0)),"")</f>
        <v>3</v>
      </c>
      <c r="F42" s="24" t="str">
        <f>IFERROR(INDEX('Monthly Matrix'!$V$4:$AA$76,MATCH(SMALL('Monthly Matrix'!$AH$4:$AH$76,4),'Monthly Matrix'!$AH$4:$AH$76,0)),"")</f>
        <v/>
      </c>
      <c r="G42" s="24">
        <f>IFERROR(INDEX('Monthly Matrix'!$J$4:$J$76,MATCH(SMALL('Monthly Matrix'!$AH$4:$AH$76,4),'Monthly Matrix'!$AH$4:$AH$76,0)),"")</f>
        <v>0</v>
      </c>
      <c r="H42" s="24">
        <f>IFERROR(INDEX('Monthly Matrix'!$I$4:$I$76,MATCH(SMALL('Monthly Matrix'!$AH$4:$AH$76,4),'Monthly Matrix'!$AH$4:$AH$76,0)),"")</f>
        <v>14</v>
      </c>
      <c r="I42" s="25">
        <f>IFERROR(INDEX('Monthly Matrix'!$N$4:$N$76,MATCH(SMALL('Monthly Matrix'!$AH$4:$AH$76,4),'Monthly Matrix'!$AH$4:$AH$76,0)),"")</f>
        <v>80</v>
      </c>
      <c r="J42" s="24">
        <f>IFERROR(INDEX('Monthly Matrix'!$P$4:$P$76,MATCH(SMALL('Monthly Matrix'!$AH$4:$AH$76,4),'Monthly Matrix'!$AH$4:$AH$76,0)),"")</f>
        <v>0</v>
      </c>
      <c r="K42" s="24">
        <f>IFERROR(INDEX('Monthly Matrix'!$AH$4:$AH$76,MATCH(SMALL('Monthly Matrix'!$AH$4:$AH$76,4),'Monthly Matrix'!$AH$4:$AH$76,0)),"")</f>
        <v>0</v>
      </c>
      <c r="L42" s="26" t="str">
        <f>IFERROR(INDEX('Monthly Matrix'!$AI$4:$AI$76,MATCH(SMALL('Monthly Matrix'!$AH$4:$AH$76,4),'Monthly Matrix'!$AH$4:$AH$76,0))/K42,"")</f>
        <v/>
      </c>
      <c r="M42" s="24" t="str">
        <f>IFERROR(INDEX('Monthly Matrix'!$AF$4:$AF$76,MATCH(SMALL('Monthly Matrix'!$AH$4:$AH$76,4),'Monthly Matrix'!$AH$4:$AH$76,0)),"")</f>
        <v>YES - within 5 working days</v>
      </c>
    </row>
    <row r="43" spans="1:14" ht="21.75" customHeight="1" x14ac:dyDescent="0.2">
      <c r="A43" s="23">
        <v>5</v>
      </c>
      <c r="B43" s="24" t="str">
        <f>IFERROR(INDEX('Monthly Matrix'!$B$4:$B$76,MATCH(SMALL('Monthly Matrix'!$AH$4:$AH$76,5),'Monthly Matrix'!$AH$4:$AH$76,0)),"")</f>
        <v>Kingfisher Tree Services Ltd</v>
      </c>
      <c r="C43" s="24" t="str">
        <f>IFERROR(INDEX('Monthly Matrix'!$C$4:$C$76,MATCH(SMALL('Monthly Matrix'!$AH$4:$AH$76,5),'Monthly Matrix'!$AH$4:$AH$76,0)),"")</f>
        <v>ESB - Utility Arboriculture</v>
      </c>
      <c r="D43" s="24" t="str">
        <f>IFERROR(INDEX('Monthly Matrix'!$E$4:$E$76,MATCH(SMALL('Monthly Matrix'!$AH$4:$AH$76,5),'Monthly Matrix'!$AH$4:$AH$76,0)),"")</f>
        <v>Jake Bolwell</v>
      </c>
      <c r="E43" s="24">
        <f>IFERROR(INDEX('Monthly Matrix'!$T$4:$T$76,MATCH(SMALL('Monthly Matrix'!$AH$4:$AH$76,5),'Monthly Matrix'!$AH$4:$AH$76,0)),"")</f>
        <v>3</v>
      </c>
      <c r="F43" s="24" t="str">
        <f>IFERROR(INDEX('Monthly Matrix'!$V$4:$AA$76,MATCH(SMALL('Monthly Matrix'!$AH$4:$AH$76,5),'Monthly Matrix'!$AH$4:$AH$76,0)),"")</f>
        <v/>
      </c>
      <c r="G43" s="24">
        <f>IFERROR(INDEX('Monthly Matrix'!$J$4:$J$76,MATCH(SMALL('Monthly Matrix'!$AH$4:$AH$76,5),'Monthly Matrix'!$AH$4:$AH$76,0)),"")</f>
        <v>0</v>
      </c>
      <c r="H43" s="24">
        <f>IFERROR(INDEX('Monthly Matrix'!$I$4:$I$76,MATCH(SMALL('Monthly Matrix'!$AH$4:$AH$76,5),'Monthly Matrix'!$AH$4:$AH$76,0)),"")</f>
        <v>14</v>
      </c>
      <c r="I43" s="25">
        <f>IFERROR(INDEX('Monthly Matrix'!$N$4:$N$76,MATCH(SMALL('Monthly Matrix'!$AH$4:$AH$76,5),'Monthly Matrix'!$AH$4:$AH$76,0)),"")</f>
        <v>80</v>
      </c>
      <c r="J43" s="24">
        <f>IFERROR(INDEX('Monthly Matrix'!$P$4:$P$76,MATCH(SMALL('Monthly Matrix'!$AH$4:$AH$76,5),'Monthly Matrix'!$AH$4:$AH$76,0)),"")</f>
        <v>0</v>
      </c>
      <c r="K43" s="24">
        <f>IFERROR(INDEX('Monthly Matrix'!$AH$4:$AH$76,MATCH(SMALL('Monthly Matrix'!$AH$4:$AH$76,5),'Monthly Matrix'!$AH$4:$AH$76,0)),"")</f>
        <v>0</v>
      </c>
      <c r="L43" s="26" t="str">
        <f>IFERROR(INDEX('Monthly Matrix'!$AI$4:$AI$76,MATCH(SMALL('Monthly Matrix'!$AH$4:$AH$76,5),'Monthly Matrix'!$AH$4:$AH$76,0))/K43,"")</f>
        <v/>
      </c>
      <c r="M43" s="24" t="str">
        <f>IFERROR(INDEX('Monthly Matrix'!$AF$4:$AF$76,MATCH(SMALL('Monthly Matrix'!$AH$4:$AH$76,5),'Monthly Matrix'!$AH$4:$AH$76,0)),"")</f>
        <v>YES - within 5 working days</v>
      </c>
    </row>
    <row r="44" spans="1:14" ht="21.75" customHeight="1" x14ac:dyDescent="0.2">
      <c r="A44" s="23">
        <v>6</v>
      </c>
      <c r="B44" s="24" t="str">
        <f>IFERROR(INDEX('Monthly Matrix'!$B$4:$B$76,MATCH(SMALL('Monthly Matrix'!$AH$4:$AH$76,6),'Monthly Matrix'!$AH$4:$AH$76,0)),"")</f>
        <v>Kingfisher Tree Services Ltd</v>
      </c>
      <c r="C44" s="24" t="str">
        <f>IFERROR(INDEX('Monthly Matrix'!$C$4:$C$76,MATCH(SMALL('Monthly Matrix'!$AH$4:$AH$76,6),'Monthly Matrix'!$AH$4:$AH$76,0)),"")</f>
        <v>ESB - Utility Arboriculture</v>
      </c>
      <c r="D44" s="24" t="str">
        <f>IFERROR(INDEX('Monthly Matrix'!$E$4:$E$76,MATCH(SMALL('Monthly Matrix'!$AH$4:$AH$76,6),'Monthly Matrix'!$AH$4:$AH$76,0)),"")</f>
        <v>Jake Bolwell</v>
      </c>
      <c r="E44" s="24">
        <f>IFERROR(INDEX('Monthly Matrix'!$T$4:$T$76,MATCH(SMALL('Monthly Matrix'!$AH$4:$AH$76,6),'Monthly Matrix'!$AH$4:$AH$76,0)),"")</f>
        <v>3</v>
      </c>
      <c r="F44" s="24" t="str">
        <f>IFERROR(INDEX('Monthly Matrix'!$V$4:$AA$76,MATCH(SMALL('Monthly Matrix'!$AH$4:$AH$76,6),'Monthly Matrix'!$AH$4:$AH$76,0)),"")</f>
        <v/>
      </c>
      <c r="G44" s="24">
        <f>IFERROR(INDEX('Monthly Matrix'!$J$4:$J$76,MATCH(SMALL('Monthly Matrix'!$AH$4:$AH$76,6),'Monthly Matrix'!$AH$4:$AH$76,0)),"")</f>
        <v>0</v>
      </c>
      <c r="H44" s="24">
        <f>IFERROR(INDEX('Monthly Matrix'!$I$4:$I$76,MATCH(SMALL('Monthly Matrix'!$AH$4:$AH$76,6),'Monthly Matrix'!$AH$4:$AH$76,0)),"")</f>
        <v>14</v>
      </c>
      <c r="I44" s="25">
        <f>IFERROR(INDEX('Monthly Matrix'!$N$4:$N$76,MATCH(SMALL('Monthly Matrix'!$AH$4:$AH$76,6),'Monthly Matrix'!$AH$4:$AH$76,0)),"")</f>
        <v>80</v>
      </c>
      <c r="J44" s="24">
        <f>IFERROR(INDEX('Monthly Matrix'!$P$4:$P$76,MATCH(SMALL('Monthly Matrix'!$AH$4:$AH$76,6),'Monthly Matrix'!$AH$4:$AH$76,0)),"")</f>
        <v>0</v>
      </c>
      <c r="K44" s="24">
        <f>IFERROR(INDEX('Monthly Matrix'!$AH$4:$AH$76,MATCH(SMALL('Monthly Matrix'!$AH$4:$AH$76,6),'Monthly Matrix'!$AH$4:$AH$76,0)),"")</f>
        <v>0</v>
      </c>
      <c r="L44" s="26" t="str">
        <f>IFERROR(INDEX('Monthly Matrix'!$AI$4:$AI$76,MATCH(SMALL('Monthly Matrix'!$AH$4:$AH$76,6),'Monthly Matrix'!$AH$4:$AH$76,0))/K44,"")</f>
        <v/>
      </c>
      <c r="M44" s="24" t="str">
        <f>IFERROR(INDEX('Monthly Matrix'!$AF$4:$AF$76,MATCH(SMALL('Monthly Matrix'!$AH$4:$AH$76,6),'Monthly Matrix'!$AH$4:$AH$76,0)),"")</f>
        <v>YES - within 5 working days</v>
      </c>
    </row>
    <row r="45" spans="1:14" ht="21.75" customHeight="1" x14ac:dyDescent="0.2">
      <c r="A45" s="23">
        <v>7</v>
      </c>
      <c r="B45" s="24" t="str">
        <f>IFERROR(INDEX('Monthly Matrix'!$B$4:$B$76,MATCH(SMALL('Monthly Matrix'!$AH$4:$AH$76,7),'Monthly Matrix'!$AH$4:$AH$76,0)),"")</f>
        <v>Kingfisher Tree Services Ltd</v>
      </c>
      <c r="C45" s="24" t="str">
        <f>IFERROR(INDEX('Monthly Matrix'!$C$4:$C$76,MATCH(SMALL('Monthly Matrix'!$AH$4:$AH$76,7),'Monthly Matrix'!$AH$4:$AH$76,0)),"")</f>
        <v>ESB - Utility Arboriculture</v>
      </c>
      <c r="D45" s="24" t="str">
        <f>IFERROR(INDEX('Monthly Matrix'!$E$4:$E$76,MATCH(SMALL('Monthly Matrix'!$AH$4:$AH$76,7),'Monthly Matrix'!$AH$4:$AH$76,0)),"")</f>
        <v>Jake Bolwell</v>
      </c>
      <c r="E45" s="24">
        <f>IFERROR(INDEX('Monthly Matrix'!$T$4:$T$76,MATCH(SMALL('Monthly Matrix'!$AH$4:$AH$76,7),'Monthly Matrix'!$AH$4:$AH$76,0)),"")</f>
        <v>3</v>
      </c>
      <c r="F45" s="24" t="str">
        <f>IFERROR(INDEX('Monthly Matrix'!$V$4:$AA$76,MATCH(SMALL('Monthly Matrix'!$AH$4:$AH$76,7),'Monthly Matrix'!$AH$4:$AH$76,0)),"")</f>
        <v/>
      </c>
      <c r="G45" s="24">
        <f>IFERROR(INDEX('Monthly Matrix'!$J$4:$J$76,MATCH(SMALL('Monthly Matrix'!$AH$4:$AH$76,7),'Monthly Matrix'!$AH$4:$AH$76,0)),"")</f>
        <v>0</v>
      </c>
      <c r="H45" s="24">
        <f>IFERROR(INDEX('Monthly Matrix'!$I$4:$I$76,MATCH(SMALL('Monthly Matrix'!$AH$4:$AH$76,7),'Monthly Matrix'!$AH$4:$AH$76,0)),"")</f>
        <v>14</v>
      </c>
      <c r="I45" s="25">
        <f>IFERROR(INDEX('Monthly Matrix'!$N$4:$N$76,MATCH(SMALL('Monthly Matrix'!$AH$4:$AH$76,7),'Monthly Matrix'!$AH$4:$AH$76,0)),"")</f>
        <v>80</v>
      </c>
      <c r="J45" s="24">
        <f>IFERROR(INDEX('Monthly Matrix'!$P$4:$P$76,MATCH(SMALL('Monthly Matrix'!$AH$4:$AH$76,7),'Monthly Matrix'!$AH$4:$AH$76,0)),"")</f>
        <v>0</v>
      </c>
      <c r="K45" s="24">
        <f>IFERROR(INDEX('Monthly Matrix'!$AH$4:$AH$76,MATCH(SMALL('Monthly Matrix'!$AH$4:$AH$76,7),'Monthly Matrix'!$AH$4:$AH$76,0)),"")</f>
        <v>0</v>
      </c>
      <c r="L45" s="26" t="str">
        <f>IFERROR(INDEX('Monthly Matrix'!$AI$4:$AI$76,MATCH(SMALL('Monthly Matrix'!$AH$4:$AH$76,7),'Monthly Matrix'!$AH$4:$AH$76,0))/K45,"")</f>
        <v/>
      </c>
      <c r="M45" s="24" t="str">
        <f>IFERROR(INDEX('Monthly Matrix'!$AF$4:$AF$76,MATCH(SMALL('Monthly Matrix'!$AH$4:$AH$76,7),'Monthly Matrix'!$AH$4:$AH$76,0)),"")</f>
        <v>YES - within 5 working days</v>
      </c>
    </row>
    <row r="46" spans="1:14" ht="21.75" customHeight="1" x14ac:dyDescent="0.2">
      <c r="A46" s="23">
        <v>8</v>
      </c>
      <c r="B46" s="24" t="str">
        <f>IFERROR(INDEX('Monthly Matrix'!$B$4:$B$76,MATCH(SMALL('Monthly Matrix'!$AH$4:$AH$76,8),'Monthly Matrix'!$AH$4:$AH$76,0)),"")</f>
        <v>Kingfisher Tree Services Ltd</v>
      </c>
      <c r="C46" s="24" t="str">
        <f>IFERROR(INDEX('Monthly Matrix'!$C$4:$C$76,MATCH(SMALL('Monthly Matrix'!$AH$4:$AH$76,8),'Monthly Matrix'!$AH$4:$AH$76,0)),"")</f>
        <v>ESB - Utility Arboriculture</v>
      </c>
      <c r="D46" s="24" t="str">
        <f>IFERROR(INDEX('Monthly Matrix'!$E$4:$E$76,MATCH(SMALL('Monthly Matrix'!$AH$4:$AH$76,8),'Monthly Matrix'!$AH$4:$AH$76,0)),"")</f>
        <v>Jake Bolwell</v>
      </c>
      <c r="E46" s="24">
        <f>IFERROR(INDEX('Monthly Matrix'!$T$4:$T$76,MATCH(SMALL('Monthly Matrix'!$AH$4:$AH$76,8),'Monthly Matrix'!$AH$4:$AH$76,0)),"")</f>
        <v>3</v>
      </c>
      <c r="F46" s="24" t="str">
        <f>IFERROR(INDEX('Monthly Matrix'!$V$4:$AA$76,MATCH(SMALL('Monthly Matrix'!$AH$4:$AH$76,8),'Monthly Matrix'!$AH$4:$AH$76,0)),"")</f>
        <v/>
      </c>
      <c r="G46" s="24">
        <f>IFERROR(INDEX('Monthly Matrix'!$J$4:$J$76,MATCH(SMALL('Monthly Matrix'!$AH$4:$AH$76,8),'Monthly Matrix'!$AH$4:$AH$76,0)),"")</f>
        <v>0</v>
      </c>
      <c r="H46" s="24">
        <f>IFERROR(INDEX('Monthly Matrix'!$I$4:$I$76,MATCH(SMALL('Monthly Matrix'!$AH$4:$AH$76,8),'Monthly Matrix'!$AH$4:$AH$76,0)),"")</f>
        <v>14</v>
      </c>
      <c r="I46" s="25">
        <f>IFERROR(INDEX('Monthly Matrix'!$N$4:$N$76,MATCH(SMALL('Monthly Matrix'!$AH$4:$AH$76,8),'Monthly Matrix'!$AH$4:$AH$76,0)),"")</f>
        <v>80</v>
      </c>
      <c r="J46" s="24">
        <f>IFERROR(INDEX('Monthly Matrix'!$P$4:$P$76,MATCH(SMALL('Monthly Matrix'!$AH$4:$AH$76,8),'Monthly Matrix'!$AH$4:$AH$76,0)),"")</f>
        <v>0</v>
      </c>
      <c r="K46" s="24">
        <f>IFERROR(INDEX('Monthly Matrix'!$AH$4:$AH$76,MATCH(SMALL('Monthly Matrix'!$AH$4:$AH$76,8),'Monthly Matrix'!$AH$4:$AH$76,0)),"")</f>
        <v>0</v>
      </c>
      <c r="L46" s="26" t="str">
        <f>IFERROR(INDEX('Monthly Matrix'!$AI$4:$AI$76,MATCH(SMALL('Monthly Matrix'!$AH$4:$AH$76,8),'Monthly Matrix'!$AH$4:$AH$76,0))/K46,"")</f>
        <v/>
      </c>
      <c r="M46" s="24" t="str">
        <f>IFERROR(INDEX('Monthly Matrix'!$AF$4:$AF$76,MATCH(SMALL('Monthly Matrix'!$AH$4:$AH$76,8),'Monthly Matrix'!$AH$4:$AH$76,0)),"")</f>
        <v>YES - within 5 working days</v>
      </c>
    </row>
    <row r="47" spans="1:14" ht="21.75" customHeight="1" x14ac:dyDescent="0.2">
      <c r="A47" s="23">
        <v>9</v>
      </c>
      <c r="B47" s="24" t="str">
        <f>IFERROR(INDEX('Monthly Matrix'!$B$4:$B$76,MATCH(SMALL('Monthly Matrix'!$AH$4:$AH$76,9),'Monthly Matrix'!$AH$4:$AH$76,0)),"")</f>
        <v>Kingfisher Tree Services Ltd</v>
      </c>
      <c r="C47" s="24" t="str">
        <f>IFERROR(INDEX('Monthly Matrix'!$C$4:$C$76,MATCH(SMALL('Monthly Matrix'!$AH$4:$AH$76,9),'Monthly Matrix'!$AH$4:$AH$76,0)),"")</f>
        <v>ESB - Utility Arboriculture</v>
      </c>
      <c r="D47" s="24" t="str">
        <f>IFERROR(INDEX('Monthly Matrix'!$E$4:$E$76,MATCH(SMALL('Monthly Matrix'!$AH$4:$AH$76,9),'Monthly Matrix'!$AH$4:$AH$76,0)),"")</f>
        <v>Jake Bolwell</v>
      </c>
      <c r="E47" s="24">
        <f>IFERROR(INDEX('Monthly Matrix'!$T$4:$T$76,MATCH(SMALL('Monthly Matrix'!$AH$4:$AH$76,9),'Monthly Matrix'!$AH$4:$AH$76,0)),"")</f>
        <v>3</v>
      </c>
      <c r="F47" s="24" t="str">
        <f>IFERROR(INDEX('Monthly Matrix'!$V$4:$AA$76,MATCH(SMALL('Monthly Matrix'!$AH$4:$AH$76,9),'Monthly Matrix'!$AH$4:$AH$76,0)),"")</f>
        <v/>
      </c>
      <c r="G47" s="24">
        <f>IFERROR(INDEX('Monthly Matrix'!$J$4:$J$76,MATCH(SMALL('Monthly Matrix'!$AH$4:$AH$76,9),'Monthly Matrix'!$AH$4:$AH$76,0)),"")</f>
        <v>0</v>
      </c>
      <c r="H47" s="24">
        <f>IFERROR(INDEX('Monthly Matrix'!$I$4:$I$76,MATCH(SMALL('Monthly Matrix'!$AH$4:$AH$76,9),'Monthly Matrix'!$AH$4:$AH$76,0)),"")</f>
        <v>14</v>
      </c>
      <c r="I47" s="25">
        <f>IFERROR(INDEX('Monthly Matrix'!$N$4:$N$76,MATCH(SMALL('Monthly Matrix'!$AH$4:$AH$76,9),'Monthly Matrix'!$AH$4:$AH$76,0)),"")</f>
        <v>80</v>
      </c>
      <c r="J47" s="24">
        <f>IFERROR(INDEX('Monthly Matrix'!$P$4:$P$76,MATCH(SMALL('Monthly Matrix'!$AH$4:$AH$76,9),'Monthly Matrix'!$AH$4:$AH$76,0)),"")</f>
        <v>0</v>
      </c>
      <c r="K47" s="24">
        <f>IFERROR(INDEX('Monthly Matrix'!$AH$4:$AH$76,MATCH(SMALL('Monthly Matrix'!$AH$4:$AH$76,9),'Monthly Matrix'!$AH$4:$AH$76,0)),"")</f>
        <v>0</v>
      </c>
      <c r="L47" s="26" t="str">
        <f>IFERROR(INDEX('Monthly Matrix'!$AI$4:$AI$76,MATCH(SMALL('Monthly Matrix'!$AH$4:$AH$76,9),'Monthly Matrix'!$AH$4:$AH$76,0))/K47,"")</f>
        <v/>
      </c>
      <c r="M47" s="24" t="str">
        <f>IFERROR(INDEX('Monthly Matrix'!$AF$4:$AF$76,MATCH(SMALL('Monthly Matrix'!$AH$4:$AH$76,9),'Monthly Matrix'!$AH$4:$AH$76,0)),"")</f>
        <v>YES - within 5 working days</v>
      </c>
    </row>
    <row r="48" spans="1:14" ht="21.75" customHeight="1" x14ac:dyDescent="0.2">
      <c r="A48" s="23">
        <v>10</v>
      </c>
      <c r="B48" s="24" t="str">
        <f>IFERROR(INDEX('Monthly Matrix'!$B$4:$B$76,MATCH(SMALL('Monthly Matrix'!$AH$4:$AH$76,10),'Monthly Matrix'!$AH$4:$AH$76,0)),"")</f>
        <v>Kingfisher Tree Services Ltd</v>
      </c>
      <c r="C48" s="24" t="str">
        <f>IFERROR(INDEX('Monthly Matrix'!$C$4:$C$76,MATCH(SMALL('Monthly Matrix'!$AH$4:$AH$76,10),'Monthly Matrix'!$AH$4:$AH$76,0)),"")</f>
        <v>ESB - Utility Arboriculture</v>
      </c>
      <c r="D48" s="24" t="str">
        <f>IFERROR(INDEX('Monthly Matrix'!$E$4:$E$76,MATCH(SMALL('Monthly Matrix'!$AH$4:$AH$76,10),'Monthly Matrix'!$AH$4:$AH$76,0)),"")</f>
        <v>Jake Bolwell</v>
      </c>
      <c r="E48" s="24">
        <f>IFERROR(INDEX('Monthly Matrix'!$T$4:$T$76,MATCH(SMALL('Monthly Matrix'!$AH$4:$AH$76,10),'Monthly Matrix'!$AH$4:$AH$76,0)),"")</f>
        <v>3</v>
      </c>
      <c r="F48" s="24" t="str">
        <f>IFERROR(INDEX('Monthly Matrix'!$V$4:$AA$76,MATCH(SMALL('Monthly Matrix'!$AH$4:$AH$76,10),'Monthly Matrix'!$AH$4:$AH$76,0)),"")</f>
        <v/>
      </c>
      <c r="G48" s="24">
        <f>IFERROR(INDEX('Monthly Matrix'!$J$4:$J$76,MATCH(SMALL('Monthly Matrix'!$AH$4:$AH$76,10),'Monthly Matrix'!$AH$4:$AH$76,0)),"")</f>
        <v>0</v>
      </c>
      <c r="H48" s="24">
        <f>IFERROR(INDEX('Monthly Matrix'!$I$4:$I$76,MATCH(SMALL('Monthly Matrix'!$AH$4:$AH$76,10),'Monthly Matrix'!$AH$4:$AH$76,0)),"")</f>
        <v>14</v>
      </c>
      <c r="I48" s="25">
        <f>IFERROR(INDEX('Monthly Matrix'!$N$4:$N$76,MATCH(SMALL('Monthly Matrix'!$AH$4:$AH$76,10),'Monthly Matrix'!$AH$4:$AH$76,0)),"")</f>
        <v>80</v>
      </c>
      <c r="J48" s="24">
        <f>IFERROR(INDEX('Monthly Matrix'!$P$4:$P$76,MATCH(SMALL('Monthly Matrix'!$AH$4:$AH$76,10),'Monthly Matrix'!$AH$4:$AH$76,0)),"")</f>
        <v>0</v>
      </c>
      <c r="K48" s="24">
        <f>IFERROR(INDEX('Monthly Matrix'!$AH$4:$AH$76,MATCH(SMALL('Monthly Matrix'!$AH$4:$AH$76,10),'Monthly Matrix'!$AH$4:$AH$76,0)),"")</f>
        <v>0</v>
      </c>
      <c r="L48" s="26" t="str">
        <f>IFERROR(INDEX('Monthly Matrix'!$AI$4:$AI$76,MATCH(SMALL('Monthly Matrix'!$AH$4:$AH$76,10),'Monthly Matrix'!$AH$4:$AH$76,0))/K48,"")</f>
        <v/>
      </c>
      <c r="M48" s="24" t="str">
        <f>IFERROR(INDEX('Monthly Matrix'!$AF$4:$AF$76,MATCH(SMALL('Monthly Matrix'!$AH$4:$AH$76,10),'Monthly Matrix'!$AH$4:$AH$76,0)),"")</f>
        <v>YES - within 5 working days</v>
      </c>
    </row>
  </sheetData>
  <mergeCells count="18">
    <mergeCell ref="A37:N37"/>
    <mergeCell ref="L6:N6"/>
    <mergeCell ref="A2:M2"/>
    <mergeCell ref="H6:J6"/>
    <mergeCell ref="A24:N24"/>
    <mergeCell ref="L5:N5"/>
    <mergeCell ref="A6:C6"/>
    <mergeCell ref="A7:N7"/>
    <mergeCell ref="A33:D35"/>
    <mergeCell ref="D6:F6"/>
    <mergeCell ref="A11:N11"/>
    <mergeCell ref="A9:N9"/>
    <mergeCell ref="A8:N8"/>
    <mergeCell ref="A1:M1"/>
    <mergeCell ref="D5:F5"/>
    <mergeCell ref="A5:C5"/>
    <mergeCell ref="A4:N4"/>
    <mergeCell ref="H5:J5"/>
  </mergeCells>
  <conditionalFormatting sqref="D26:D31">
    <cfRule type="containsText" dxfId="28" priority="6" operator="containsText" text="ON TARGET">
      <formula>NOT(ISERROR(SEARCH("ON TARGET",D26)))</formula>
    </cfRule>
    <cfRule type="containsText" dxfId="27" priority="7" operator="containsText" text="BELOW">
      <formula>NOT(ISERROR(SEARCH("BELOW",D26)))</formula>
    </cfRule>
  </conditionalFormatting>
  <conditionalFormatting sqref="F13:F22">
    <cfRule type="containsText" dxfId="26" priority="2" operator="containsText" text="HIGH">
      <formula>NOT(ISERROR(SEARCH("HIGH",F13)))</formula>
    </cfRule>
    <cfRule type="containsText" dxfId="25" priority="3" operator="containsText" text="MEDIUM">
      <formula>NOT(ISERROR(SEARCH("MEDIUM",F13)))</formula>
    </cfRule>
  </conditionalFormatting>
  <conditionalFormatting sqref="K13:K22">
    <cfRule type="containsText" dxfId="24" priority="4" operator="containsText" text="YES">
      <formula>NOT(ISERROR(SEARCH("YES",K13)))</formula>
    </cfRule>
  </conditionalFormatting>
  <conditionalFormatting sqref="N13:N22">
    <cfRule type="containsText" dxfId="23" priority="5" operator="containsText" text="YES">
      <formula>NOT(ISERROR(SEARCH("YES",N13)))</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A2A"/>
  </sheetPr>
  <dimension ref="A1:N204"/>
  <sheetViews>
    <sheetView showGridLines="0" zoomScaleNormal="100" workbookViewId="0"/>
  </sheetViews>
  <sheetFormatPr baseColWidth="10" defaultColWidth="8.6640625" defaultRowHeight="15" customHeight="1" x14ac:dyDescent="0.2"/>
  <cols>
    <col min="1" max="1" width="9" style="1" customWidth="1"/>
    <col min="2" max="2" width="36" style="1" customWidth="1"/>
    <col min="3" max="3" width="26" style="1" customWidth="1"/>
    <col min="4" max="5" width="18" style="1" customWidth="1"/>
    <col min="6" max="7" width="16" style="1" customWidth="1"/>
    <col min="8" max="8" width="14" style="1" customWidth="1"/>
    <col min="9" max="9" width="10" style="1" customWidth="1"/>
    <col min="11" max="11" width="2" style="1" customWidth="1"/>
    <col min="12" max="12" width="36" style="1" customWidth="1"/>
    <col min="13" max="13" width="12" style="1" customWidth="1"/>
    <col min="14" max="14" width="26" style="1" customWidth="1"/>
  </cols>
  <sheetData>
    <row r="1" spans="1:14" ht="27.75" customHeight="1" x14ac:dyDescent="0.2">
      <c r="A1" s="121" t="s">
        <v>38</v>
      </c>
      <c r="B1" s="122"/>
      <c r="C1" s="122"/>
      <c r="D1" s="122"/>
      <c r="E1" s="122"/>
      <c r="F1" s="122"/>
      <c r="G1" s="122"/>
      <c r="H1" s="122"/>
      <c r="I1" s="122"/>
      <c r="L1" s="139" t="s">
        <v>39</v>
      </c>
      <c r="M1" s="122"/>
      <c r="N1" s="122"/>
    </row>
    <row r="2" spans="1:14" ht="30" customHeight="1" x14ac:dyDescent="0.2">
      <c r="A2" s="140" t="s">
        <v>40</v>
      </c>
      <c r="B2" s="122"/>
      <c r="C2" s="122"/>
      <c r="D2" s="122"/>
      <c r="E2" s="122"/>
      <c r="F2" s="122"/>
      <c r="G2" s="122"/>
      <c r="H2" s="122"/>
      <c r="I2" s="122"/>
      <c r="L2" s="143" t="s">
        <v>41</v>
      </c>
      <c r="M2" s="122"/>
      <c r="N2" s="122"/>
    </row>
    <row r="3" spans="1:14" ht="30" customHeight="1" x14ac:dyDescent="0.2">
      <c r="A3" s="142" t="s">
        <v>42</v>
      </c>
      <c r="B3" s="122"/>
      <c r="C3" s="122"/>
      <c r="D3" s="122"/>
      <c r="E3" s="122"/>
      <c r="F3" s="122"/>
      <c r="G3" s="122"/>
      <c r="H3" s="122"/>
      <c r="I3" s="122"/>
      <c r="L3" s="144" t="s">
        <v>43</v>
      </c>
      <c r="M3" s="122"/>
      <c r="N3" s="122"/>
    </row>
    <row r="4" spans="1:14" ht="31.5" customHeight="1" x14ac:dyDescent="0.2">
      <c r="A4" s="5" t="s">
        <v>44</v>
      </c>
      <c r="B4" s="5" t="s">
        <v>45</v>
      </c>
      <c r="C4" s="5" t="s">
        <v>12</v>
      </c>
      <c r="D4" s="5" t="s">
        <v>46</v>
      </c>
      <c r="E4" s="5" t="s">
        <v>13</v>
      </c>
      <c r="F4" s="5" t="s">
        <v>47</v>
      </c>
      <c r="G4" s="5" t="s">
        <v>48</v>
      </c>
      <c r="H4" s="5" t="s">
        <v>49</v>
      </c>
      <c r="I4" s="5" t="s">
        <v>27</v>
      </c>
      <c r="L4" s="27" t="s">
        <v>50</v>
      </c>
      <c r="M4" s="27" t="s">
        <v>51</v>
      </c>
      <c r="N4" s="27" t="s">
        <v>52</v>
      </c>
    </row>
    <row r="5" spans="1:14" ht="39.75" customHeight="1" x14ac:dyDescent="0.2">
      <c r="A5" s="6" t="s">
        <v>53</v>
      </c>
      <c r="B5" s="28" t="s">
        <v>54</v>
      </c>
      <c r="C5" s="6" t="s">
        <v>55</v>
      </c>
      <c r="D5" s="6" t="s">
        <v>56</v>
      </c>
      <c r="E5" s="6" t="s">
        <v>57</v>
      </c>
      <c r="F5" s="29"/>
      <c r="G5" s="29"/>
      <c r="H5" s="20">
        <f>IFERROR(SUMPRODUCT(('Data - Skillko'!I$5:I$1547=B5)*('Data - Skillko'!D$5:D$1547="Total")*('Data - Skillko'!C$5:C$1547&lt;&gt;"Total")*('Data - Skillko'!C$5:C$1547&lt;&gt;"")*(NOT(ISNUMBER(SEARCH(B5,'Data - Skillko'!C$5:C$1547))))),0)</f>
        <v>7</v>
      </c>
      <c r="I5" s="6" t="s">
        <v>58</v>
      </c>
      <c r="L5" s="141" t="s">
        <v>59</v>
      </c>
      <c r="M5" s="122"/>
      <c r="N5" s="122"/>
    </row>
    <row r="6" spans="1:14" ht="18" customHeight="1" x14ac:dyDescent="0.2">
      <c r="A6" s="10" t="s">
        <v>60</v>
      </c>
      <c r="B6" s="30" t="s">
        <v>61</v>
      </c>
      <c r="C6" s="10" t="s">
        <v>62</v>
      </c>
      <c r="D6" s="10" t="s">
        <v>63</v>
      </c>
      <c r="E6" s="10" t="s">
        <v>64</v>
      </c>
      <c r="F6" s="29"/>
      <c r="G6" s="29"/>
      <c r="H6" s="20">
        <f>IFERROR(SUMPRODUCT(('Data - Skillko'!I$5:I$1547=B6)*('Data - Skillko'!D$5:D$1547="Total")*('Data - Skillko'!C$5:C$1547&lt;&gt;"Total")*('Data - Skillko'!C$5:C$1547&lt;&gt;"")*(NOT(ISNUMBER(SEARCH(B6,'Data - Skillko'!C$5:C$1547))))),0)</f>
        <v>3</v>
      </c>
      <c r="I6" s="10" t="s">
        <v>58</v>
      </c>
      <c r="L6" s="1" t="s">
        <v>65</v>
      </c>
    </row>
    <row r="7" spans="1:14" ht="18" customHeight="1" x14ac:dyDescent="0.2">
      <c r="A7" s="6" t="s">
        <v>66</v>
      </c>
      <c r="B7" s="28" t="s">
        <v>67</v>
      </c>
      <c r="C7" s="6" t="s">
        <v>62</v>
      </c>
      <c r="D7" s="6" t="s">
        <v>56</v>
      </c>
      <c r="E7" s="6" t="s">
        <v>68</v>
      </c>
      <c r="F7" s="29"/>
      <c r="G7" s="29"/>
      <c r="H7" s="20">
        <f>IFERROR(SUMPRODUCT(('Data - Skillko'!I$5:I$1547=B7)*('Data - Skillko'!D$5:D$1547="Total")*('Data - Skillko'!C$5:C$1547&lt;&gt;"Total")*('Data - Skillko'!C$5:C$1547&lt;&gt;"")*(NOT(ISNUMBER(SEARCH(B7,'Data - Skillko'!C$5:C$1547))))),0)</f>
        <v>6</v>
      </c>
      <c r="I7" s="6" t="s">
        <v>58</v>
      </c>
    </row>
    <row r="8" spans="1:14" ht="18" customHeight="1" x14ac:dyDescent="0.2">
      <c r="A8" s="10" t="s">
        <v>69</v>
      </c>
      <c r="B8" s="30" t="s">
        <v>70</v>
      </c>
      <c r="C8" s="10" t="s">
        <v>62</v>
      </c>
      <c r="D8" s="10" t="s">
        <v>56</v>
      </c>
      <c r="E8" s="10" t="s">
        <v>68</v>
      </c>
      <c r="F8" s="29"/>
      <c r="G8" s="29"/>
      <c r="H8" s="20">
        <f>IFERROR(SUMPRODUCT(('Data - Skillko'!I$5:I$1547=B8)*('Data - Skillko'!D$5:D$1547="Total")*('Data - Skillko'!C$5:C$1547&lt;&gt;"Total")*('Data - Skillko'!C$5:C$1547&lt;&gt;"")*(NOT(ISNUMBER(SEARCH(B8,'Data - Skillko'!C$5:C$1547))))),0)</f>
        <v>2</v>
      </c>
      <c r="I8" s="10" t="s">
        <v>58</v>
      </c>
    </row>
    <row r="9" spans="1:14" ht="18" customHeight="1" x14ac:dyDescent="0.2">
      <c r="A9" s="6" t="s">
        <v>71</v>
      </c>
      <c r="B9" s="28" t="s">
        <v>72</v>
      </c>
      <c r="C9" s="6" t="s">
        <v>62</v>
      </c>
      <c r="D9" s="6" t="s">
        <v>56</v>
      </c>
      <c r="E9" s="6" t="s">
        <v>68</v>
      </c>
      <c r="F9" s="29"/>
      <c r="G9" s="29"/>
      <c r="H9" s="20">
        <f>IFERROR(SUMPRODUCT(('Data - Skillko'!I$5:I$1547=B9)*('Data - Skillko'!D$5:D$1547="Total")*('Data - Skillko'!C$5:C$1547&lt;&gt;"Total")*('Data - Skillko'!C$5:C$1547&lt;&gt;"")*(NOT(ISNUMBER(SEARCH(B9,'Data - Skillko'!C$5:C$1547))))),0)</f>
        <v>6</v>
      </c>
      <c r="I9" s="6" t="s">
        <v>58</v>
      </c>
    </row>
    <row r="10" spans="1:14" ht="18" customHeight="1" x14ac:dyDescent="0.2">
      <c r="A10" s="10" t="s">
        <v>73</v>
      </c>
      <c r="B10" s="30" t="s">
        <v>74</v>
      </c>
      <c r="C10" s="10" t="s">
        <v>62</v>
      </c>
      <c r="D10" s="10" t="s">
        <v>56</v>
      </c>
      <c r="E10" s="10" t="s">
        <v>68</v>
      </c>
      <c r="F10" s="29"/>
      <c r="G10" s="29"/>
      <c r="H10" s="20">
        <f>IFERROR(SUMPRODUCT(('Data - Skillko'!I$5:I$1547=B10)*('Data - Skillko'!D$5:D$1547="Total")*('Data - Skillko'!C$5:C$1547&lt;&gt;"Total")*('Data - Skillko'!C$5:C$1547&lt;&gt;"")*(NOT(ISNUMBER(SEARCH(B10,'Data - Skillko'!C$5:C$1547))))),0)</f>
        <v>6</v>
      </c>
      <c r="I10" s="10" t="s">
        <v>58</v>
      </c>
    </row>
    <row r="11" spans="1:14" ht="18" customHeight="1" x14ac:dyDescent="0.2">
      <c r="A11" s="6" t="s">
        <v>75</v>
      </c>
      <c r="B11" s="28" t="s">
        <v>76</v>
      </c>
      <c r="C11" s="6" t="s">
        <v>62</v>
      </c>
      <c r="D11" s="6" t="s">
        <v>56</v>
      </c>
      <c r="E11" s="6" t="s">
        <v>68</v>
      </c>
      <c r="F11" s="29"/>
      <c r="G11" s="29"/>
      <c r="H11" s="20">
        <f>IFERROR(SUMPRODUCT(('Data - Skillko'!I$5:I$1547=B11)*('Data - Skillko'!D$5:D$1547="Total")*('Data - Skillko'!C$5:C$1547&lt;&gt;"Total")*('Data - Skillko'!C$5:C$1547&lt;&gt;"")*(NOT(ISNUMBER(SEARCH(B11,'Data - Skillko'!C$5:C$1547))))),0)</f>
        <v>3</v>
      </c>
      <c r="I11" s="6" t="s">
        <v>58</v>
      </c>
    </row>
    <row r="12" spans="1:14" ht="18" customHeight="1" x14ac:dyDescent="0.2">
      <c r="A12" s="10" t="s">
        <v>77</v>
      </c>
      <c r="B12" s="30" t="s">
        <v>78</v>
      </c>
      <c r="C12" s="10" t="s">
        <v>62</v>
      </c>
      <c r="D12" s="10" t="s">
        <v>56</v>
      </c>
      <c r="E12" s="10" t="s">
        <v>68</v>
      </c>
      <c r="F12" s="29"/>
      <c r="G12" s="29"/>
      <c r="H12" s="20">
        <f>IFERROR(SUMPRODUCT(('Data - Skillko'!I$5:I$1547=B12)*('Data - Skillko'!D$5:D$1547="Total")*('Data - Skillko'!C$5:C$1547&lt;&gt;"Total")*('Data - Skillko'!C$5:C$1547&lt;&gt;"")*(NOT(ISNUMBER(SEARCH(B12,'Data - Skillko'!C$5:C$1547))))),0)</f>
        <v>2</v>
      </c>
      <c r="I12" s="10" t="s">
        <v>58</v>
      </c>
    </row>
    <row r="13" spans="1:14" ht="18" customHeight="1" x14ac:dyDescent="0.2">
      <c r="A13" s="6" t="s">
        <v>79</v>
      </c>
      <c r="B13" s="28" t="s">
        <v>80</v>
      </c>
      <c r="C13" s="6" t="s">
        <v>62</v>
      </c>
      <c r="D13" s="6" t="s">
        <v>56</v>
      </c>
      <c r="E13" s="6" t="s">
        <v>68</v>
      </c>
      <c r="F13" s="29"/>
      <c r="G13" s="29"/>
      <c r="H13" s="20">
        <f>IFERROR(SUMPRODUCT(('Data - Skillko'!I$5:I$1547=B13)*('Data - Skillko'!D$5:D$1547="Total")*('Data - Skillko'!C$5:C$1547&lt;&gt;"Total")*('Data - Skillko'!C$5:C$1547&lt;&gt;"")*(NOT(ISNUMBER(SEARCH(B13,'Data - Skillko'!C$5:C$1547))))),0)</f>
        <v>3</v>
      </c>
      <c r="I13" s="6" t="s">
        <v>58</v>
      </c>
    </row>
    <row r="14" spans="1:14" ht="18" customHeight="1" x14ac:dyDescent="0.2">
      <c r="A14" s="10" t="s">
        <v>81</v>
      </c>
      <c r="B14" s="30" t="s">
        <v>82</v>
      </c>
      <c r="C14" s="10" t="s">
        <v>62</v>
      </c>
      <c r="D14" s="10" t="s">
        <v>56</v>
      </c>
      <c r="E14" s="10" t="s">
        <v>68</v>
      </c>
      <c r="F14" s="29"/>
      <c r="G14" s="29"/>
      <c r="H14" s="20">
        <f>IFERROR(SUMPRODUCT(('Data - Skillko'!I$5:I$1547=B14)*('Data - Skillko'!D$5:D$1547="Total")*('Data - Skillko'!C$5:C$1547&lt;&gt;"Total")*('Data - Skillko'!C$5:C$1547&lt;&gt;"")*(NOT(ISNUMBER(SEARCH(B14,'Data - Skillko'!C$5:C$1547))))),0)</f>
        <v>3</v>
      </c>
      <c r="I14" s="10" t="s">
        <v>58</v>
      </c>
    </row>
    <row r="15" spans="1:14" ht="18" customHeight="1" x14ac:dyDescent="0.2">
      <c r="A15" s="6" t="s">
        <v>83</v>
      </c>
      <c r="B15" s="28" t="s">
        <v>84</v>
      </c>
      <c r="C15" s="6" t="s">
        <v>62</v>
      </c>
      <c r="D15" s="6" t="s">
        <v>56</v>
      </c>
      <c r="E15" s="6" t="s">
        <v>68</v>
      </c>
      <c r="F15" s="29"/>
      <c r="G15" s="29"/>
      <c r="H15" s="20">
        <f>IFERROR(SUMPRODUCT(('Data - Skillko'!I$5:I$1547=B15)*('Data - Skillko'!D$5:D$1547="Total")*('Data - Skillko'!C$5:C$1547&lt;&gt;"Total")*('Data - Skillko'!C$5:C$1547&lt;&gt;"")*(NOT(ISNUMBER(SEARCH(B15,'Data - Skillko'!C$5:C$1547))))),0)</f>
        <v>2</v>
      </c>
      <c r="I15" s="6" t="s">
        <v>58</v>
      </c>
    </row>
    <row r="16" spans="1:14" ht="18" customHeight="1" x14ac:dyDescent="0.2">
      <c r="A16" s="10" t="s">
        <v>85</v>
      </c>
      <c r="B16" s="30" t="s">
        <v>86</v>
      </c>
      <c r="C16" s="10" t="s">
        <v>62</v>
      </c>
      <c r="D16" s="10" t="s">
        <v>56</v>
      </c>
      <c r="E16" s="10" t="s">
        <v>68</v>
      </c>
      <c r="F16" s="29"/>
      <c r="G16" s="29"/>
      <c r="H16" s="20">
        <f>IFERROR(SUMPRODUCT(('Data - Skillko'!I$5:I$1547=B16)*('Data - Skillko'!D$5:D$1547="Total")*('Data - Skillko'!C$5:C$1547&lt;&gt;"Total")*('Data - Skillko'!C$5:C$1547&lt;&gt;"")*(NOT(ISNUMBER(SEARCH(B16,'Data - Skillko'!C$5:C$1547))))),0)</f>
        <v>2</v>
      </c>
      <c r="I16" s="10" t="s">
        <v>58</v>
      </c>
    </row>
    <row r="17" spans="1:9" ht="18" customHeight="1" x14ac:dyDescent="0.2">
      <c r="A17" s="6" t="s">
        <v>87</v>
      </c>
      <c r="B17" s="28" t="s">
        <v>88</v>
      </c>
      <c r="C17" s="6" t="s">
        <v>62</v>
      </c>
      <c r="D17" s="6" t="s">
        <v>56</v>
      </c>
      <c r="E17" s="6" t="s">
        <v>68</v>
      </c>
      <c r="F17" s="29"/>
      <c r="G17" s="29"/>
      <c r="H17" s="20">
        <f>IFERROR(SUMPRODUCT(('Data - Skillko'!I$5:I$1547=B17)*('Data - Skillko'!D$5:D$1547="Total")*('Data - Skillko'!C$5:C$1547&lt;&gt;"Total")*('Data - Skillko'!C$5:C$1547&lt;&gt;"")*(NOT(ISNUMBER(SEARCH(B17,'Data - Skillko'!C$5:C$1547))))),0)</f>
        <v>3</v>
      </c>
      <c r="I17" s="6" t="s">
        <v>58</v>
      </c>
    </row>
    <row r="18" spans="1:9" ht="18" customHeight="1" x14ac:dyDescent="0.2">
      <c r="A18" s="10" t="s">
        <v>89</v>
      </c>
      <c r="B18" s="30" t="s">
        <v>90</v>
      </c>
      <c r="C18" s="10" t="s">
        <v>62</v>
      </c>
      <c r="D18" s="10" t="s">
        <v>56</v>
      </c>
      <c r="E18" s="10" t="s">
        <v>68</v>
      </c>
      <c r="F18" s="29"/>
      <c r="G18" s="29"/>
      <c r="H18" s="20">
        <f>IFERROR(SUMPRODUCT(('Data - Skillko'!I$5:I$1547=B18)*('Data - Skillko'!D$5:D$1547="Total")*('Data - Skillko'!C$5:C$1547&lt;&gt;"Total")*('Data - Skillko'!C$5:C$1547&lt;&gt;"")*(NOT(ISNUMBER(SEARCH(B18,'Data - Skillko'!C$5:C$1547))))),0)</f>
        <v>2</v>
      </c>
      <c r="I18" s="10" t="s">
        <v>58</v>
      </c>
    </row>
    <row r="19" spans="1:9" ht="18" customHeight="1" x14ac:dyDescent="0.2">
      <c r="A19" s="6" t="s">
        <v>91</v>
      </c>
      <c r="B19" s="28" t="s">
        <v>92</v>
      </c>
      <c r="C19" s="6" t="s">
        <v>62</v>
      </c>
      <c r="D19" s="6" t="s">
        <v>56</v>
      </c>
      <c r="E19" s="6" t="s">
        <v>68</v>
      </c>
      <c r="F19" s="29"/>
      <c r="G19" s="29"/>
      <c r="H19" s="20">
        <f>IFERROR(SUMPRODUCT(('Data - Skillko'!I$5:I$1547=B19)*('Data - Skillko'!D$5:D$1547="Total")*('Data - Skillko'!C$5:C$1547&lt;&gt;"Total")*('Data - Skillko'!C$5:C$1547&lt;&gt;"")*(NOT(ISNUMBER(SEARCH(B19,'Data - Skillko'!C$5:C$1547))))),0)</f>
        <v>5</v>
      </c>
      <c r="I19" s="6" t="s">
        <v>58</v>
      </c>
    </row>
    <row r="20" spans="1:9" ht="18" customHeight="1" x14ac:dyDescent="0.2">
      <c r="A20" s="10" t="s">
        <v>93</v>
      </c>
      <c r="B20" s="30" t="s">
        <v>94</v>
      </c>
      <c r="C20" s="10" t="s">
        <v>62</v>
      </c>
      <c r="D20" s="10" t="s">
        <v>56</v>
      </c>
      <c r="E20" s="10" t="s">
        <v>57</v>
      </c>
      <c r="F20" s="29"/>
      <c r="G20" s="29"/>
      <c r="H20" s="20">
        <f>IFERROR(SUMPRODUCT(('Data - Skillko'!I$5:I$1547=B20)*('Data - Skillko'!D$5:D$1547="Total")*('Data - Skillko'!C$5:C$1547&lt;&gt;"Total")*('Data - Skillko'!C$5:C$1547&lt;&gt;"")*(NOT(ISNUMBER(SEARCH(B20,'Data - Skillko'!C$5:C$1547))))),0)</f>
        <v>4</v>
      </c>
      <c r="I20" s="10" t="s">
        <v>58</v>
      </c>
    </row>
    <row r="21" spans="1:9" ht="18" customHeight="1" x14ac:dyDescent="0.2">
      <c r="A21" s="6" t="s">
        <v>95</v>
      </c>
      <c r="B21" s="28" t="s">
        <v>96</v>
      </c>
      <c r="C21" s="6" t="s">
        <v>62</v>
      </c>
      <c r="D21" s="6" t="s">
        <v>56</v>
      </c>
      <c r="E21" s="6" t="s">
        <v>57</v>
      </c>
      <c r="F21" s="29"/>
      <c r="G21" s="29"/>
      <c r="H21" s="20">
        <f>IFERROR(SUMPRODUCT(('Data - Skillko'!I$5:I$1547=B21)*('Data - Skillko'!D$5:D$1547="Total")*('Data - Skillko'!C$5:C$1547&lt;&gt;"Total")*('Data - Skillko'!C$5:C$1547&lt;&gt;"")*(NOT(ISNUMBER(SEARCH(B21,'Data - Skillko'!C$5:C$1547))))),0)</f>
        <v>7</v>
      </c>
      <c r="I21" s="6" t="s">
        <v>58</v>
      </c>
    </row>
    <row r="22" spans="1:9" ht="18" customHeight="1" x14ac:dyDescent="0.2">
      <c r="A22" s="10" t="s">
        <v>97</v>
      </c>
      <c r="B22" s="30" t="s">
        <v>98</v>
      </c>
      <c r="C22" s="10" t="s">
        <v>62</v>
      </c>
      <c r="D22" s="10" t="s">
        <v>56</v>
      </c>
      <c r="E22" s="10" t="s">
        <v>57</v>
      </c>
      <c r="F22" s="29"/>
      <c r="G22" s="29"/>
      <c r="H22" s="20">
        <f>IFERROR(SUMPRODUCT(('Data - Skillko'!I$5:I$1547=B22)*('Data - Skillko'!D$5:D$1547="Total")*('Data - Skillko'!C$5:C$1547&lt;&gt;"Total")*('Data - Skillko'!C$5:C$1547&lt;&gt;"")*(NOT(ISNUMBER(SEARCH(B22,'Data - Skillko'!C$5:C$1547))))),0)</f>
        <v>16</v>
      </c>
      <c r="I22" s="10" t="s">
        <v>58</v>
      </c>
    </row>
    <row r="23" spans="1:9" ht="18" customHeight="1" x14ac:dyDescent="0.2">
      <c r="A23" s="6" t="s">
        <v>99</v>
      </c>
      <c r="B23" s="28" t="s">
        <v>100</v>
      </c>
      <c r="C23" s="6" t="s">
        <v>62</v>
      </c>
      <c r="D23" s="6" t="s">
        <v>56</v>
      </c>
      <c r="E23" s="6" t="s">
        <v>57</v>
      </c>
      <c r="F23" s="29"/>
      <c r="G23" s="29"/>
      <c r="H23" s="20">
        <f>IFERROR(SUMPRODUCT(('Data - Skillko'!I$5:I$1547=B23)*('Data - Skillko'!D$5:D$1547="Total")*('Data - Skillko'!C$5:C$1547&lt;&gt;"Total")*('Data - Skillko'!C$5:C$1547&lt;&gt;"")*(NOT(ISNUMBER(SEARCH(B23,'Data - Skillko'!C$5:C$1547))))),0)</f>
        <v>5</v>
      </c>
      <c r="I23" s="6" t="s">
        <v>58</v>
      </c>
    </row>
    <row r="24" spans="1:9" ht="18" customHeight="1" x14ac:dyDescent="0.2">
      <c r="A24" s="10" t="s">
        <v>101</v>
      </c>
      <c r="B24" s="30" t="s">
        <v>102</v>
      </c>
      <c r="C24" s="10" t="s">
        <v>62</v>
      </c>
      <c r="D24" s="10" t="s">
        <v>56</v>
      </c>
      <c r="E24" s="10" t="s">
        <v>57</v>
      </c>
      <c r="F24" s="29"/>
      <c r="G24" s="29"/>
      <c r="H24" s="20">
        <f>IFERROR(SUMPRODUCT(('Data - Skillko'!I$5:I$1547=B24)*('Data - Skillko'!D$5:D$1547="Total")*('Data - Skillko'!C$5:C$1547&lt;&gt;"Total")*('Data - Skillko'!C$5:C$1547&lt;&gt;"")*(NOT(ISNUMBER(SEARCH(B24,'Data - Skillko'!C$5:C$1547))))),0)</f>
        <v>2</v>
      </c>
      <c r="I24" s="10" t="s">
        <v>58</v>
      </c>
    </row>
    <row r="25" spans="1:9" ht="18" customHeight="1" x14ac:dyDescent="0.2">
      <c r="A25" s="6" t="s">
        <v>103</v>
      </c>
      <c r="B25" s="28" t="s">
        <v>104</v>
      </c>
      <c r="C25" s="6" t="s">
        <v>62</v>
      </c>
      <c r="D25" s="6" t="s">
        <v>56</v>
      </c>
      <c r="E25" s="6" t="s">
        <v>57</v>
      </c>
      <c r="F25" s="29"/>
      <c r="G25" s="29"/>
      <c r="H25" s="20">
        <f>IFERROR(SUMPRODUCT(('Data - Skillko'!I$5:I$1547=B25)*('Data - Skillko'!D$5:D$1547="Total")*('Data - Skillko'!C$5:C$1547&lt;&gt;"Total")*('Data - Skillko'!C$5:C$1547&lt;&gt;"")*(NOT(ISNUMBER(SEARCH(B25,'Data - Skillko'!C$5:C$1547))))),0)</f>
        <v>4</v>
      </c>
      <c r="I25" s="6" t="s">
        <v>58</v>
      </c>
    </row>
    <row r="26" spans="1:9" ht="18" customHeight="1" x14ac:dyDescent="0.2">
      <c r="A26" s="10" t="s">
        <v>105</v>
      </c>
      <c r="B26" s="30" t="s">
        <v>106</v>
      </c>
      <c r="C26" s="10" t="s">
        <v>62</v>
      </c>
      <c r="D26" s="10" t="s">
        <v>56</v>
      </c>
      <c r="E26" s="10" t="s">
        <v>57</v>
      </c>
      <c r="F26" s="29"/>
      <c r="G26" s="29"/>
      <c r="H26" s="20">
        <f>IFERROR(SUMPRODUCT(('Data - Skillko'!I$5:I$1547=B26)*('Data - Skillko'!D$5:D$1547="Total")*('Data - Skillko'!C$5:C$1547&lt;&gt;"Total")*('Data - Skillko'!C$5:C$1547&lt;&gt;"")*(NOT(ISNUMBER(SEARCH(B26,'Data - Skillko'!C$5:C$1547))))),0)</f>
        <v>3</v>
      </c>
      <c r="I26" s="10" t="s">
        <v>58</v>
      </c>
    </row>
    <row r="27" spans="1:9" ht="18" customHeight="1" x14ac:dyDescent="0.2">
      <c r="A27" s="6" t="s">
        <v>107</v>
      </c>
      <c r="B27" s="28" t="s">
        <v>108</v>
      </c>
      <c r="C27" s="6" t="s">
        <v>62</v>
      </c>
      <c r="D27" s="6" t="s">
        <v>56</v>
      </c>
      <c r="E27" s="6" t="s">
        <v>57</v>
      </c>
      <c r="F27" s="29"/>
      <c r="G27" s="29"/>
      <c r="H27" s="20">
        <f>IFERROR(SUMPRODUCT(('Data - Skillko'!I$5:I$1547=B27)*('Data - Skillko'!D$5:D$1547="Total")*('Data - Skillko'!C$5:C$1547&lt;&gt;"Total")*('Data - Skillko'!C$5:C$1547&lt;&gt;"")*(NOT(ISNUMBER(SEARCH(B27,'Data - Skillko'!C$5:C$1547))))),0)</f>
        <v>5</v>
      </c>
      <c r="I27" s="6" t="s">
        <v>58</v>
      </c>
    </row>
    <row r="28" spans="1:9" ht="18" customHeight="1" x14ac:dyDescent="0.2">
      <c r="A28" s="10" t="s">
        <v>109</v>
      </c>
      <c r="B28" s="30" t="s">
        <v>110</v>
      </c>
      <c r="C28" s="10" t="s">
        <v>62</v>
      </c>
      <c r="D28" s="10" t="s">
        <v>56</v>
      </c>
      <c r="E28" s="10" t="s">
        <v>57</v>
      </c>
      <c r="F28" s="29"/>
      <c r="G28" s="29"/>
      <c r="H28" s="20">
        <f>IFERROR(SUMPRODUCT(('Data - Skillko'!I$5:I$1547=B28)*('Data - Skillko'!D$5:D$1547="Total")*('Data - Skillko'!C$5:C$1547&lt;&gt;"Total")*('Data - Skillko'!C$5:C$1547&lt;&gt;"")*(NOT(ISNUMBER(SEARCH(B28,'Data - Skillko'!C$5:C$1547))))),0)</f>
        <v>3</v>
      </c>
      <c r="I28" s="10" t="s">
        <v>58</v>
      </c>
    </row>
    <row r="29" spans="1:9" ht="18" customHeight="1" x14ac:dyDescent="0.2">
      <c r="A29" s="6" t="s">
        <v>111</v>
      </c>
      <c r="B29" s="28" t="s">
        <v>112</v>
      </c>
      <c r="C29" s="6" t="s">
        <v>62</v>
      </c>
      <c r="D29" s="6" t="s">
        <v>56</v>
      </c>
      <c r="E29" s="6" t="s">
        <v>57</v>
      </c>
      <c r="F29" s="29"/>
      <c r="G29" s="29"/>
      <c r="H29" s="20">
        <f>IFERROR(SUMPRODUCT(('Data - Skillko'!I$5:I$1547=B29)*('Data - Skillko'!D$5:D$1547="Total")*('Data - Skillko'!C$5:C$1547&lt;&gt;"Total")*('Data - Skillko'!C$5:C$1547&lt;&gt;"")*(NOT(ISNUMBER(SEARCH(B29,'Data - Skillko'!C$5:C$1547))))),0)</f>
        <v>3</v>
      </c>
      <c r="I29" s="6" t="s">
        <v>58</v>
      </c>
    </row>
    <row r="30" spans="1:9" ht="18" customHeight="1" x14ac:dyDescent="0.2">
      <c r="A30" s="10" t="s">
        <v>113</v>
      </c>
      <c r="B30" s="30" t="s">
        <v>114</v>
      </c>
      <c r="C30" s="10" t="s">
        <v>62</v>
      </c>
      <c r="D30" s="10" t="s">
        <v>56</v>
      </c>
      <c r="E30" s="10" t="s">
        <v>57</v>
      </c>
      <c r="F30" s="29"/>
      <c r="G30" s="29"/>
      <c r="H30" s="20">
        <f>IFERROR(SUMPRODUCT(('Data - Skillko'!I$5:I$1547=B30)*('Data - Skillko'!D$5:D$1547="Total")*('Data - Skillko'!C$5:C$1547&lt;&gt;"Total")*('Data - Skillko'!C$5:C$1547&lt;&gt;"")*(NOT(ISNUMBER(SEARCH(B30,'Data - Skillko'!C$5:C$1547))))),0)</f>
        <v>7</v>
      </c>
      <c r="I30" s="10" t="s">
        <v>58</v>
      </c>
    </row>
    <row r="31" spans="1:9" ht="18" customHeight="1" x14ac:dyDescent="0.2">
      <c r="A31" s="6" t="s">
        <v>115</v>
      </c>
      <c r="B31" s="28" t="s">
        <v>116</v>
      </c>
      <c r="C31" s="6" t="s">
        <v>62</v>
      </c>
      <c r="D31" s="6" t="s">
        <v>56</v>
      </c>
      <c r="E31" s="6" t="s">
        <v>57</v>
      </c>
      <c r="F31" s="29"/>
      <c r="G31" s="29"/>
      <c r="H31" s="20">
        <f>IFERROR(SUMPRODUCT(('Data - Skillko'!I$5:I$1547=B31)*('Data - Skillko'!D$5:D$1547="Total")*('Data - Skillko'!C$5:C$1547&lt;&gt;"Total")*('Data - Skillko'!C$5:C$1547&lt;&gt;"")*(NOT(ISNUMBER(SEARCH(B31,'Data - Skillko'!C$5:C$1547))))),0)</f>
        <v>6</v>
      </c>
      <c r="I31" s="6" t="s">
        <v>58</v>
      </c>
    </row>
    <row r="32" spans="1:9" ht="18" customHeight="1" x14ac:dyDescent="0.2">
      <c r="A32" s="10" t="s">
        <v>117</v>
      </c>
      <c r="B32" s="30" t="s">
        <v>118</v>
      </c>
      <c r="C32" s="10" t="s">
        <v>62</v>
      </c>
      <c r="D32" s="10" t="s">
        <v>56</v>
      </c>
      <c r="E32" s="10" t="s">
        <v>57</v>
      </c>
      <c r="F32" s="29"/>
      <c r="G32" s="29"/>
      <c r="H32" s="20">
        <f>IFERROR(SUMPRODUCT(('Data - Skillko'!I$5:I$1547=B32)*('Data - Skillko'!D$5:D$1547="Total")*('Data - Skillko'!C$5:C$1547&lt;&gt;"Total")*('Data - Skillko'!C$5:C$1547&lt;&gt;"")*(NOT(ISNUMBER(SEARCH(B32,'Data - Skillko'!C$5:C$1547))))),0)</f>
        <v>3</v>
      </c>
      <c r="I32" s="10" t="s">
        <v>58</v>
      </c>
    </row>
    <row r="33" spans="1:9" ht="18" customHeight="1" x14ac:dyDescent="0.2">
      <c r="A33" s="6" t="s">
        <v>119</v>
      </c>
      <c r="B33" s="28" t="s">
        <v>120</v>
      </c>
      <c r="C33" s="6" t="s">
        <v>62</v>
      </c>
      <c r="D33" s="6" t="s">
        <v>56</v>
      </c>
      <c r="E33" s="6" t="s">
        <v>57</v>
      </c>
      <c r="F33" s="29"/>
      <c r="G33" s="29"/>
      <c r="H33" s="20">
        <f>IFERROR(SUMPRODUCT(('Data - Skillko'!I$5:I$1547=B33)*('Data - Skillko'!D$5:D$1547="Total")*('Data - Skillko'!C$5:C$1547&lt;&gt;"Total")*('Data - Skillko'!C$5:C$1547&lt;&gt;"")*(NOT(ISNUMBER(SEARCH(B33,'Data - Skillko'!C$5:C$1547))))),0)</f>
        <v>5</v>
      </c>
      <c r="I33" s="6" t="s">
        <v>58</v>
      </c>
    </row>
    <row r="34" spans="1:9" ht="18" customHeight="1" x14ac:dyDescent="0.2">
      <c r="A34" s="10" t="s">
        <v>121</v>
      </c>
      <c r="B34" s="30" t="s">
        <v>122</v>
      </c>
      <c r="C34" s="10" t="s">
        <v>62</v>
      </c>
      <c r="D34" s="10" t="s">
        <v>56</v>
      </c>
      <c r="E34" s="10" t="s">
        <v>57</v>
      </c>
      <c r="F34" s="29"/>
      <c r="G34" s="29"/>
      <c r="H34" s="20">
        <f>IFERROR(SUMPRODUCT(('Data - Skillko'!I$5:I$1547=B34)*('Data - Skillko'!D$5:D$1547="Total")*('Data - Skillko'!C$5:C$1547&lt;&gt;"Total")*('Data - Skillko'!C$5:C$1547&lt;&gt;"")*(NOT(ISNUMBER(SEARCH(B34,'Data - Skillko'!C$5:C$1547))))),0)</f>
        <v>3</v>
      </c>
      <c r="I34" s="10" t="s">
        <v>58</v>
      </c>
    </row>
    <row r="35" spans="1:9" ht="18" customHeight="1" x14ac:dyDescent="0.2">
      <c r="A35" s="6" t="s">
        <v>123</v>
      </c>
      <c r="B35" s="28" t="s">
        <v>124</v>
      </c>
      <c r="C35" s="6" t="s">
        <v>62</v>
      </c>
      <c r="D35" s="6" t="s">
        <v>56</v>
      </c>
      <c r="E35" s="6" t="s">
        <v>57</v>
      </c>
      <c r="F35" s="29"/>
      <c r="G35" s="29"/>
      <c r="H35" s="20">
        <f>IFERROR(SUMPRODUCT(('Data - Skillko'!I$5:I$1547=B35)*('Data - Skillko'!D$5:D$1547="Total")*('Data - Skillko'!C$5:C$1547&lt;&gt;"Total")*('Data - Skillko'!C$5:C$1547&lt;&gt;"")*(NOT(ISNUMBER(SEARCH(B35,'Data - Skillko'!C$5:C$1547))))),0)</f>
        <v>12</v>
      </c>
      <c r="I35" s="6" t="s">
        <v>58</v>
      </c>
    </row>
    <row r="36" spans="1:9" ht="18" customHeight="1" x14ac:dyDescent="0.2">
      <c r="A36" s="10" t="s">
        <v>125</v>
      </c>
      <c r="B36" s="30" t="s">
        <v>126</v>
      </c>
      <c r="C36" s="10" t="s">
        <v>62</v>
      </c>
      <c r="D36" s="10" t="s">
        <v>56</v>
      </c>
      <c r="E36" s="10" t="s">
        <v>57</v>
      </c>
      <c r="F36" s="29"/>
      <c r="G36" s="29"/>
      <c r="H36" s="20">
        <f>IFERROR(SUMPRODUCT(('Data - Skillko'!I$5:I$1547=B36)*('Data - Skillko'!D$5:D$1547="Total")*('Data - Skillko'!C$5:C$1547&lt;&gt;"Total")*('Data - Skillko'!C$5:C$1547&lt;&gt;"")*(NOT(ISNUMBER(SEARCH(B36,'Data - Skillko'!C$5:C$1547))))),0)</f>
        <v>5</v>
      </c>
      <c r="I36" s="10" t="s">
        <v>58</v>
      </c>
    </row>
    <row r="37" spans="1:9" ht="18" customHeight="1" x14ac:dyDescent="0.2">
      <c r="A37" s="6" t="s">
        <v>127</v>
      </c>
      <c r="B37" s="28" t="s">
        <v>128</v>
      </c>
      <c r="C37" s="6" t="s">
        <v>62</v>
      </c>
      <c r="D37" s="6" t="s">
        <v>56</v>
      </c>
      <c r="E37" s="6" t="s">
        <v>57</v>
      </c>
      <c r="F37" s="29"/>
      <c r="G37" s="29"/>
      <c r="H37" s="20">
        <f>IFERROR(SUMPRODUCT(('Data - Skillko'!I$5:I$1547=B37)*('Data - Skillko'!D$5:D$1547="Total")*('Data - Skillko'!C$5:C$1547&lt;&gt;"Total")*('Data - Skillko'!C$5:C$1547&lt;&gt;"")*(NOT(ISNUMBER(SEARCH(B37,'Data - Skillko'!C$5:C$1547))))),0)</f>
        <v>6</v>
      </c>
      <c r="I37" s="6" t="s">
        <v>58</v>
      </c>
    </row>
    <row r="38" spans="1:9" ht="18" customHeight="1" x14ac:dyDescent="0.2">
      <c r="A38" s="10" t="s">
        <v>129</v>
      </c>
      <c r="B38" s="30" t="s">
        <v>130</v>
      </c>
      <c r="C38" s="10" t="s">
        <v>62</v>
      </c>
      <c r="D38" s="10" t="s">
        <v>56</v>
      </c>
      <c r="E38" s="10" t="s">
        <v>57</v>
      </c>
      <c r="F38" s="29"/>
      <c r="G38" s="29"/>
      <c r="H38" s="20">
        <f>IFERROR(SUMPRODUCT(('Data - Skillko'!I$5:I$1547=B38)*('Data - Skillko'!D$5:D$1547="Total")*('Data - Skillko'!C$5:C$1547&lt;&gt;"Total")*('Data - Skillko'!C$5:C$1547&lt;&gt;"")*(NOT(ISNUMBER(SEARCH(B38,'Data - Skillko'!C$5:C$1547))))),0)</f>
        <v>4</v>
      </c>
      <c r="I38" s="10" t="s">
        <v>58</v>
      </c>
    </row>
    <row r="39" spans="1:9" ht="18" customHeight="1" x14ac:dyDescent="0.2">
      <c r="A39" s="6" t="s">
        <v>131</v>
      </c>
      <c r="B39" s="28" t="s">
        <v>132</v>
      </c>
      <c r="C39" s="6" t="s">
        <v>62</v>
      </c>
      <c r="D39" s="6" t="s">
        <v>56</v>
      </c>
      <c r="E39" s="6" t="s">
        <v>57</v>
      </c>
      <c r="F39" s="29"/>
      <c r="G39" s="29"/>
      <c r="H39" s="20">
        <f>IFERROR(SUMPRODUCT(('Data - Skillko'!I$5:I$1547=B39)*('Data - Skillko'!D$5:D$1547="Total")*('Data - Skillko'!C$5:C$1547&lt;&gt;"Total")*('Data - Skillko'!C$5:C$1547&lt;&gt;"")*(NOT(ISNUMBER(SEARCH(B39,'Data - Skillko'!C$5:C$1547))))),0)</f>
        <v>2</v>
      </c>
      <c r="I39" s="6" t="s">
        <v>58</v>
      </c>
    </row>
    <row r="40" spans="1:9" ht="18" customHeight="1" x14ac:dyDescent="0.2">
      <c r="A40" s="10" t="s">
        <v>133</v>
      </c>
      <c r="B40" s="30" t="s">
        <v>134</v>
      </c>
      <c r="C40" s="10" t="s">
        <v>62</v>
      </c>
      <c r="D40" s="10" t="s">
        <v>56</v>
      </c>
      <c r="E40" s="10" t="s">
        <v>57</v>
      </c>
      <c r="F40" s="29"/>
      <c r="G40" s="29"/>
      <c r="H40" s="20">
        <f>IFERROR(SUMPRODUCT(('Data - Skillko'!I$5:I$1547=B40)*('Data - Skillko'!D$5:D$1547="Total")*('Data - Skillko'!C$5:C$1547&lt;&gt;"Total")*('Data - Skillko'!C$5:C$1547&lt;&gt;"")*(NOT(ISNUMBER(SEARCH(B40,'Data - Skillko'!C$5:C$1547))))),0)</f>
        <v>5</v>
      </c>
      <c r="I40" s="10" t="s">
        <v>58</v>
      </c>
    </row>
    <row r="41" spans="1:9" ht="18" customHeight="1" x14ac:dyDescent="0.2">
      <c r="A41" s="6" t="s">
        <v>135</v>
      </c>
      <c r="B41" s="28" t="s">
        <v>136</v>
      </c>
      <c r="C41" s="6" t="s">
        <v>62</v>
      </c>
      <c r="D41" s="6" t="s">
        <v>56</v>
      </c>
      <c r="E41" s="6" t="s">
        <v>137</v>
      </c>
      <c r="F41" s="29"/>
      <c r="G41" s="29"/>
      <c r="H41" s="20">
        <f>IFERROR(SUMPRODUCT(('Data - Skillko'!I$5:I$1547=B41)*('Data - Skillko'!D$5:D$1547="Total")*('Data - Skillko'!C$5:C$1547&lt;&gt;"Total")*('Data - Skillko'!C$5:C$1547&lt;&gt;"")*(NOT(ISNUMBER(SEARCH(B41,'Data - Skillko'!C$5:C$1547))))),0)</f>
        <v>2</v>
      </c>
      <c r="I41" s="6" t="s">
        <v>58</v>
      </c>
    </row>
    <row r="42" spans="1:9" ht="18" customHeight="1" x14ac:dyDescent="0.2">
      <c r="A42" s="10" t="s">
        <v>138</v>
      </c>
      <c r="B42" s="30" t="s">
        <v>139</v>
      </c>
      <c r="C42" s="10" t="s">
        <v>62</v>
      </c>
      <c r="D42" s="10" t="s">
        <v>56</v>
      </c>
      <c r="E42" s="10" t="s">
        <v>140</v>
      </c>
      <c r="F42" s="29"/>
      <c r="G42" s="29"/>
      <c r="H42" s="20">
        <f>IFERROR(SUMPRODUCT(('Data - Skillko'!I$5:I$1547=B42)*('Data - Skillko'!D$5:D$1547="Total")*('Data - Skillko'!C$5:C$1547&lt;&gt;"Total")*('Data - Skillko'!C$5:C$1547&lt;&gt;"")*(NOT(ISNUMBER(SEARCH(B42,'Data - Skillko'!C$5:C$1547))))),0)</f>
        <v>9</v>
      </c>
      <c r="I42" s="10" t="s">
        <v>58</v>
      </c>
    </row>
    <row r="43" spans="1:9" ht="18" customHeight="1" x14ac:dyDescent="0.2">
      <c r="A43" s="6" t="s">
        <v>141</v>
      </c>
      <c r="B43" s="28" t="s">
        <v>142</v>
      </c>
      <c r="C43" s="6" t="s">
        <v>62</v>
      </c>
      <c r="D43" s="6" t="s">
        <v>56</v>
      </c>
      <c r="E43" s="6" t="s">
        <v>140</v>
      </c>
      <c r="F43" s="29"/>
      <c r="G43" s="29"/>
      <c r="H43" s="20">
        <f>IFERROR(SUMPRODUCT(('Data - Skillko'!I$5:I$1547=B43)*('Data - Skillko'!D$5:D$1547="Total")*('Data - Skillko'!C$5:C$1547&lt;&gt;"Total")*('Data - Skillko'!C$5:C$1547&lt;&gt;"")*(NOT(ISNUMBER(SEARCH(B43,'Data - Skillko'!C$5:C$1547))))),0)</f>
        <v>3</v>
      </c>
      <c r="I43" s="6" t="s">
        <v>58</v>
      </c>
    </row>
    <row r="44" spans="1:9" ht="18" customHeight="1" x14ac:dyDescent="0.2">
      <c r="A44" s="10" t="s">
        <v>143</v>
      </c>
      <c r="B44" s="30" t="s">
        <v>144</v>
      </c>
      <c r="C44" s="10" t="s">
        <v>62</v>
      </c>
      <c r="D44" s="10" t="s">
        <v>56</v>
      </c>
      <c r="E44" s="10" t="s">
        <v>140</v>
      </c>
      <c r="F44" s="29"/>
      <c r="G44" s="29"/>
      <c r="H44" s="20">
        <f>IFERROR(SUMPRODUCT(('Data - Skillko'!I$5:I$1547=B44)*('Data - Skillko'!D$5:D$1547="Total")*('Data - Skillko'!C$5:C$1547&lt;&gt;"Total")*('Data - Skillko'!C$5:C$1547&lt;&gt;"")*(NOT(ISNUMBER(SEARCH(B44,'Data - Skillko'!C$5:C$1547))))),0)</f>
        <v>5</v>
      </c>
      <c r="I44" s="10" t="s">
        <v>58</v>
      </c>
    </row>
    <row r="45" spans="1:9" ht="18" customHeight="1" x14ac:dyDescent="0.2">
      <c r="A45" s="6" t="s">
        <v>145</v>
      </c>
      <c r="B45" s="28" t="s">
        <v>146</v>
      </c>
      <c r="C45" s="6" t="s">
        <v>62</v>
      </c>
      <c r="D45" s="6" t="s">
        <v>56</v>
      </c>
      <c r="E45" s="6" t="s">
        <v>140</v>
      </c>
      <c r="F45" s="29"/>
      <c r="G45" s="29"/>
      <c r="H45" s="20">
        <f>IFERROR(SUMPRODUCT(('Data - Skillko'!I$5:I$1547=B45)*('Data - Skillko'!D$5:D$1547="Total")*('Data - Skillko'!C$5:C$1547&lt;&gt;"Total")*('Data - Skillko'!C$5:C$1547&lt;&gt;"")*(NOT(ISNUMBER(SEARCH(B45,'Data - Skillko'!C$5:C$1547))))),0)</f>
        <v>2</v>
      </c>
      <c r="I45" s="6" t="s">
        <v>58</v>
      </c>
    </row>
    <row r="46" spans="1:9" ht="18" customHeight="1" x14ac:dyDescent="0.2">
      <c r="A46" s="10" t="s">
        <v>147</v>
      </c>
      <c r="B46" s="30" t="s">
        <v>148</v>
      </c>
      <c r="C46" s="10" t="s">
        <v>62</v>
      </c>
      <c r="D46" s="10" t="s">
        <v>56</v>
      </c>
      <c r="E46" s="10" t="s">
        <v>140</v>
      </c>
      <c r="F46" s="29"/>
      <c r="G46" s="29"/>
      <c r="H46" s="20">
        <f>IFERROR(SUMPRODUCT(('Data - Skillko'!I$5:I$1547=B46)*('Data - Skillko'!D$5:D$1547="Total")*('Data - Skillko'!C$5:C$1547&lt;&gt;"Total")*('Data - Skillko'!C$5:C$1547&lt;&gt;"")*(NOT(ISNUMBER(SEARCH(B46,'Data - Skillko'!C$5:C$1547))))),0)</f>
        <v>2</v>
      </c>
      <c r="I46" s="10" t="s">
        <v>58</v>
      </c>
    </row>
    <row r="47" spans="1:9" ht="18" customHeight="1" x14ac:dyDescent="0.2">
      <c r="A47" s="6" t="s">
        <v>149</v>
      </c>
      <c r="B47" s="28" t="s">
        <v>150</v>
      </c>
      <c r="C47" s="6" t="s">
        <v>62</v>
      </c>
      <c r="D47" s="6" t="s">
        <v>56</v>
      </c>
      <c r="E47" s="6" t="s">
        <v>140</v>
      </c>
      <c r="F47" s="29"/>
      <c r="G47" s="29"/>
      <c r="H47" s="20">
        <f>IFERROR(SUMPRODUCT(('Data - Skillko'!I$5:I$1547=B47)*('Data - Skillko'!D$5:D$1547="Total")*('Data - Skillko'!C$5:C$1547&lt;&gt;"Total")*('Data - Skillko'!C$5:C$1547&lt;&gt;"")*(NOT(ISNUMBER(SEARCH(B47,'Data - Skillko'!C$5:C$1547))))),0)</f>
        <v>2</v>
      </c>
      <c r="I47" s="6" t="s">
        <v>58</v>
      </c>
    </row>
    <row r="48" spans="1:9" ht="18" customHeight="1" x14ac:dyDescent="0.2">
      <c r="A48" s="10" t="s">
        <v>151</v>
      </c>
      <c r="B48" s="30" t="s">
        <v>152</v>
      </c>
      <c r="C48" s="10" t="s">
        <v>62</v>
      </c>
      <c r="D48" s="10" t="s">
        <v>56</v>
      </c>
      <c r="E48" s="10" t="s">
        <v>140</v>
      </c>
      <c r="F48" s="29"/>
      <c r="G48" s="29"/>
      <c r="H48" s="20">
        <f>IFERROR(SUMPRODUCT(('Data - Skillko'!I$5:I$1547=B48)*('Data - Skillko'!D$5:D$1547="Total")*('Data - Skillko'!C$5:C$1547&lt;&gt;"Total")*('Data - Skillko'!C$5:C$1547&lt;&gt;"")*(NOT(ISNUMBER(SEARCH(B48,'Data - Skillko'!C$5:C$1547))))),0)</f>
        <v>8</v>
      </c>
      <c r="I48" s="10" t="s">
        <v>58</v>
      </c>
    </row>
    <row r="49" spans="1:9" ht="18" customHeight="1" x14ac:dyDescent="0.2">
      <c r="A49" s="6" t="s">
        <v>153</v>
      </c>
      <c r="B49" s="28" t="s">
        <v>154</v>
      </c>
      <c r="C49" s="6" t="s">
        <v>62</v>
      </c>
      <c r="D49" s="6" t="s">
        <v>56</v>
      </c>
      <c r="E49" s="6" t="s">
        <v>140</v>
      </c>
      <c r="F49" s="29"/>
      <c r="G49" s="29"/>
      <c r="H49" s="20">
        <f>IFERROR(SUMPRODUCT(('Data - Skillko'!I$5:I$1547=B49)*('Data - Skillko'!D$5:D$1547="Total")*('Data - Skillko'!C$5:C$1547&lt;&gt;"Total")*('Data - Skillko'!C$5:C$1547&lt;&gt;"")*(NOT(ISNUMBER(SEARCH(B49,'Data - Skillko'!C$5:C$1547))))),0)</f>
        <v>8</v>
      </c>
      <c r="I49" s="6" t="s">
        <v>58</v>
      </c>
    </row>
    <row r="50" spans="1:9" ht="18" customHeight="1" x14ac:dyDescent="0.2">
      <c r="A50" s="10" t="s">
        <v>155</v>
      </c>
      <c r="B50" s="30" t="s">
        <v>156</v>
      </c>
      <c r="C50" s="10" t="s">
        <v>62</v>
      </c>
      <c r="D50" s="10" t="s">
        <v>56</v>
      </c>
      <c r="E50" s="10" t="s">
        <v>140</v>
      </c>
      <c r="F50" s="29"/>
      <c r="G50" s="29"/>
      <c r="H50" s="20">
        <f>IFERROR(SUMPRODUCT(('Data - Skillko'!I$5:I$1547=B50)*('Data - Skillko'!D$5:D$1547="Total")*('Data - Skillko'!C$5:C$1547&lt;&gt;"Total")*('Data - Skillko'!C$5:C$1547&lt;&gt;"")*(NOT(ISNUMBER(SEARCH(B50,'Data - Skillko'!C$5:C$1547))))),0)</f>
        <v>4</v>
      </c>
      <c r="I50" s="10" t="s">
        <v>58</v>
      </c>
    </row>
    <row r="51" spans="1:9" ht="18" customHeight="1" x14ac:dyDescent="0.2">
      <c r="A51" s="6" t="s">
        <v>157</v>
      </c>
      <c r="B51" s="28" t="s">
        <v>158</v>
      </c>
      <c r="C51" s="6" t="s">
        <v>62</v>
      </c>
      <c r="D51" s="6" t="s">
        <v>56</v>
      </c>
      <c r="E51" s="6" t="s">
        <v>140</v>
      </c>
      <c r="F51" s="29"/>
      <c r="G51" s="29"/>
      <c r="H51" s="20">
        <f>IFERROR(SUMPRODUCT(('Data - Skillko'!I$5:I$1547=B51)*('Data - Skillko'!D$5:D$1547="Total")*('Data - Skillko'!C$5:C$1547&lt;&gt;"Total")*('Data - Skillko'!C$5:C$1547&lt;&gt;"")*(NOT(ISNUMBER(SEARCH(B51,'Data - Skillko'!C$5:C$1547))))),0)</f>
        <v>2</v>
      </c>
      <c r="I51" s="6" t="s">
        <v>58</v>
      </c>
    </row>
    <row r="52" spans="1:9" ht="18" customHeight="1" x14ac:dyDescent="0.2">
      <c r="A52" s="10" t="s">
        <v>159</v>
      </c>
      <c r="B52" s="30" t="s">
        <v>160</v>
      </c>
      <c r="C52" s="10" t="s">
        <v>62</v>
      </c>
      <c r="D52" s="10" t="s">
        <v>56</v>
      </c>
      <c r="E52" s="10" t="s">
        <v>140</v>
      </c>
      <c r="F52" s="29"/>
      <c r="G52" s="29"/>
      <c r="H52" s="20">
        <f>IFERROR(SUMPRODUCT(('Data - Skillko'!I$5:I$1547=B52)*('Data - Skillko'!D$5:D$1547="Total")*('Data - Skillko'!C$5:C$1547&lt;&gt;"Total")*('Data - Skillko'!C$5:C$1547&lt;&gt;"")*(NOT(ISNUMBER(SEARCH(B52,'Data - Skillko'!C$5:C$1547))))),0)</f>
        <v>5</v>
      </c>
      <c r="I52" s="10" t="s">
        <v>58</v>
      </c>
    </row>
    <row r="53" spans="1:9" ht="18" customHeight="1" x14ac:dyDescent="0.2">
      <c r="A53" s="6" t="s">
        <v>161</v>
      </c>
      <c r="B53" s="28" t="s">
        <v>162</v>
      </c>
      <c r="C53" s="6" t="s">
        <v>62</v>
      </c>
      <c r="D53" s="6" t="s">
        <v>56</v>
      </c>
      <c r="E53" s="6" t="s">
        <v>140</v>
      </c>
      <c r="F53" s="29"/>
      <c r="G53" s="29"/>
      <c r="H53" s="20">
        <f>IFERROR(SUMPRODUCT(('Data - Skillko'!I$5:I$1547=B53)*('Data - Skillko'!D$5:D$1547="Total")*('Data - Skillko'!C$5:C$1547&lt;&gt;"Total")*('Data - Skillko'!C$5:C$1547&lt;&gt;"")*(NOT(ISNUMBER(SEARCH(B53,'Data - Skillko'!C$5:C$1547))))),0)</f>
        <v>4</v>
      </c>
      <c r="I53" s="6" t="s">
        <v>58</v>
      </c>
    </row>
    <row r="54" spans="1:9" ht="18" customHeight="1" x14ac:dyDescent="0.2">
      <c r="A54" s="10" t="s">
        <v>163</v>
      </c>
      <c r="B54" s="30" t="s">
        <v>164</v>
      </c>
      <c r="C54" s="10" t="s">
        <v>62</v>
      </c>
      <c r="D54" s="10" t="s">
        <v>56</v>
      </c>
      <c r="E54" s="10" t="s">
        <v>140</v>
      </c>
      <c r="F54" s="29"/>
      <c r="G54" s="29"/>
      <c r="H54" s="20">
        <f>IFERROR(SUMPRODUCT(('Data - Skillko'!I$5:I$1547=B54)*('Data - Skillko'!D$5:D$1547="Total")*('Data - Skillko'!C$5:C$1547&lt;&gt;"Total")*('Data - Skillko'!C$5:C$1547&lt;&gt;"")*(NOT(ISNUMBER(SEARCH(B54,'Data - Skillko'!C$5:C$1547))))),0)</f>
        <v>3</v>
      </c>
      <c r="I54" s="10" t="s">
        <v>58</v>
      </c>
    </row>
    <row r="55" spans="1:9" ht="18" customHeight="1" x14ac:dyDescent="0.2">
      <c r="A55" s="6" t="s">
        <v>165</v>
      </c>
      <c r="B55" s="28" t="s">
        <v>166</v>
      </c>
      <c r="C55" s="6" t="s">
        <v>62</v>
      </c>
      <c r="D55" s="6" t="s">
        <v>56</v>
      </c>
      <c r="E55" s="6" t="s">
        <v>140</v>
      </c>
      <c r="F55" s="29"/>
      <c r="G55" s="29"/>
      <c r="H55" s="20">
        <f>IFERROR(SUMPRODUCT(('Data - Skillko'!I$5:I$1547=B55)*('Data - Skillko'!D$5:D$1547="Total")*('Data - Skillko'!C$5:C$1547&lt;&gt;"Total")*('Data - Skillko'!C$5:C$1547&lt;&gt;"")*(NOT(ISNUMBER(SEARCH(B55,'Data - Skillko'!C$5:C$1547))))),0)</f>
        <v>6</v>
      </c>
      <c r="I55" s="6" t="s">
        <v>58</v>
      </c>
    </row>
    <row r="56" spans="1:9" ht="18" customHeight="1" x14ac:dyDescent="0.2">
      <c r="A56" s="10" t="s">
        <v>167</v>
      </c>
      <c r="B56" s="30" t="s">
        <v>168</v>
      </c>
      <c r="C56" s="10" t="s">
        <v>62</v>
      </c>
      <c r="D56" s="10" t="s">
        <v>56</v>
      </c>
      <c r="E56" s="10" t="s">
        <v>140</v>
      </c>
      <c r="F56" s="29"/>
      <c r="G56" s="29"/>
      <c r="H56" s="20">
        <f>IFERROR(SUMPRODUCT(('Data - Skillko'!I$5:I$1547=B56)*('Data - Skillko'!D$5:D$1547="Total")*('Data - Skillko'!C$5:C$1547&lt;&gt;"Total")*('Data - Skillko'!C$5:C$1547&lt;&gt;"")*(NOT(ISNUMBER(SEARCH(B56,'Data - Skillko'!C$5:C$1547))))),0)</f>
        <v>8</v>
      </c>
      <c r="I56" s="10" t="s">
        <v>58</v>
      </c>
    </row>
    <row r="57" spans="1:9" ht="18" customHeight="1" x14ac:dyDescent="0.2">
      <c r="A57" s="6" t="s">
        <v>169</v>
      </c>
      <c r="B57" s="28" t="s">
        <v>170</v>
      </c>
      <c r="C57" s="6" t="s">
        <v>62</v>
      </c>
      <c r="D57" s="6" t="s">
        <v>56</v>
      </c>
      <c r="E57" s="6" t="s">
        <v>140</v>
      </c>
      <c r="F57" s="29"/>
      <c r="G57" s="29"/>
      <c r="H57" s="20">
        <f>IFERROR(SUMPRODUCT(('Data - Skillko'!I$5:I$1547=B57)*('Data - Skillko'!D$5:D$1547="Total")*('Data - Skillko'!C$5:C$1547&lt;&gt;"Total")*('Data - Skillko'!C$5:C$1547&lt;&gt;"")*(NOT(ISNUMBER(SEARCH(B57,'Data - Skillko'!C$5:C$1547))))),0)</f>
        <v>6</v>
      </c>
      <c r="I57" s="6" t="s">
        <v>58</v>
      </c>
    </row>
    <row r="58" spans="1:9" ht="18" customHeight="1" x14ac:dyDescent="0.2">
      <c r="A58" s="10" t="s">
        <v>171</v>
      </c>
      <c r="B58" s="30" t="s">
        <v>172</v>
      </c>
      <c r="C58" s="10" t="s">
        <v>62</v>
      </c>
      <c r="D58" s="10" t="s">
        <v>56</v>
      </c>
      <c r="E58" s="10" t="s">
        <v>140</v>
      </c>
      <c r="F58" s="29"/>
      <c r="G58" s="29"/>
      <c r="H58" s="20">
        <f>IFERROR(SUMPRODUCT(('Data - Skillko'!I$5:I$1547=B58)*('Data - Skillko'!D$5:D$1547="Total")*('Data - Skillko'!C$5:C$1547&lt;&gt;"Total")*('Data - Skillko'!C$5:C$1547&lt;&gt;"")*(NOT(ISNUMBER(SEARCH(B58,'Data - Skillko'!C$5:C$1547))))),0)</f>
        <v>3</v>
      </c>
      <c r="I58" s="10" t="s">
        <v>58</v>
      </c>
    </row>
    <row r="59" spans="1:9" ht="18" customHeight="1" x14ac:dyDescent="0.2">
      <c r="A59" s="6" t="s">
        <v>173</v>
      </c>
      <c r="B59" s="28" t="s">
        <v>174</v>
      </c>
      <c r="C59" s="6" t="s">
        <v>62</v>
      </c>
      <c r="D59" s="6" t="s">
        <v>56</v>
      </c>
      <c r="E59" s="6" t="s">
        <v>140</v>
      </c>
      <c r="F59" s="29"/>
      <c r="G59" s="29"/>
      <c r="H59" s="20">
        <f>IFERROR(SUMPRODUCT(('Data - Skillko'!I$5:I$1547=B59)*('Data - Skillko'!D$5:D$1547="Total")*('Data - Skillko'!C$5:C$1547&lt;&gt;"Total")*('Data - Skillko'!C$5:C$1547&lt;&gt;"")*(NOT(ISNUMBER(SEARCH(B59,'Data - Skillko'!C$5:C$1547))))),0)</f>
        <v>3</v>
      </c>
      <c r="I59" s="6" t="s">
        <v>58</v>
      </c>
    </row>
    <row r="60" spans="1:9" ht="18" customHeight="1" x14ac:dyDescent="0.2">
      <c r="A60" s="10" t="s">
        <v>175</v>
      </c>
      <c r="B60" s="30" t="s">
        <v>176</v>
      </c>
      <c r="C60" s="10" t="s">
        <v>62</v>
      </c>
      <c r="D60" s="10" t="s">
        <v>56</v>
      </c>
      <c r="E60" s="10" t="s">
        <v>140</v>
      </c>
      <c r="F60" s="29"/>
      <c r="G60" s="29"/>
      <c r="H60" s="20">
        <f>IFERROR(SUMPRODUCT(('Data - Skillko'!I$5:I$1547=B60)*('Data - Skillko'!D$5:D$1547="Total")*('Data - Skillko'!C$5:C$1547&lt;&gt;"Total")*('Data - Skillko'!C$5:C$1547&lt;&gt;"")*(NOT(ISNUMBER(SEARCH(B60,'Data - Skillko'!C$5:C$1547))))),0)</f>
        <v>2</v>
      </c>
      <c r="I60" s="10" t="s">
        <v>58</v>
      </c>
    </row>
    <row r="61" spans="1:9" ht="18" customHeight="1" x14ac:dyDescent="0.2">
      <c r="A61" s="6" t="s">
        <v>177</v>
      </c>
      <c r="B61" s="28" t="s">
        <v>178</v>
      </c>
      <c r="C61" s="6" t="s">
        <v>62</v>
      </c>
      <c r="D61" s="6" t="s">
        <v>56</v>
      </c>
      <c r="E61" s="6" t="s">
        <v>140</v>
      </c>
      <c r="F61" s="29"/>
      <c r="G61" s="29"/>
      <c r="H61" s="20">
        <f>IFERROR(SUMPRODUCT(('Data - Skillko'!I$5:I$1547=B61)*('Data - Skillko'!D$5:D$1547="Total")*('Data - Skillko'!C$5:C$1547&lt;&gt;"Total")*('Data - Skillko'!C$5:C$1547&lt;&gt;"")*(NOT(ISNUMBER(SEARCH(B61,'Data - Skillko'!C$5:C$1547))))),0)</f>
        <v>2</v>
      </c>
      <c r="I61" s="6" t="s">
        <v>58</v>
      </c>
    </row>
    <row r="62" spans="1:9" ht="18" customHeight="1" x14ac:dyDescent="0.2">
      <c r="A62" s="10" t="s">
        <v>179</v>
      </c>
      <c r="B62" s="30" t="s">
        <v>180</v>
      </c>
      <c r="C62" s="10" t="s">
        <v>62</v>
      </c>
      <c r="D62" s="10" t="s">
        <v>56</v>
      </c>
      <c r="E62" s="10" t="s">
        <v>140</v>
      </c>
      <c r="F62" s="29"/>
      <c r="G62" s="29"/>
      <c r="H62" s="20">
        <f>IFERROR(SUMPRODUCT(('Data - Skillko'!I$5:I$1547=B62)*('Data - Skillko'!D$5:D$1547="Total")*('Data - Skillko'!C$5:C$1547&lt;&gt;"Total")*('Data - Skillko'!C$5:C$1547&lt;&gt;"")*(NOT(ISNUMBER(SEARCH(B62,'Data - Skillko'!C$5:C$1547))))),0)</f>
        <v>3</v>
      </c>
      <c r="I62" s="10" t="s">
        <v>58</v>
      </c>
    </row>
    <row r="63" spans="1:9" ht="18" customHeight="1" x14ac:dyDescent="0.2">
      <c r="A63" s="6" t="s">
        <v>181</v>
      </c>
      <c r="B63" s="28" t="s">
        <v>182</v>
      </c>
      <c r="C63" s="6" t="s">
        <v>62</v>
      </c>
      <c r="D63" s="6" t="s">
        <v>183</v>
      </c>
      <c r="E63" s="6" t="s">
        <v>184</v>
      </c>
      <c r="F63" s="29"/>
      <c r="G63" s="29"/>
      <c r="H63" s="20">
        <f>IFERROR(SUMPRODUCT(('Data - Skillko'!I$5:I$1547=B63)*('Data - Skillko'!D$5:D$1547="Total")*('Data - Skillko'!C$5:C$1547&lt;&gt;"Total")*('Data - Skillko'!C$5:C$1547&lt;&gt;"")*(NOT(ISNUMBER(SEARCH(B63,'Data - Skillko'!C$5:C$1547))))),0)</f>
        <v>16</v>
      </c>
      <c r="I63" s="6" t="s">
        <v>58</v>
      </c>
    </row>
    <row r="64" spans="1:9" ht="18" customHeight="1" x14ac:dyDescent="0.2">
      <c r="A64" s="10" t="s">
        <v>185</v>
      </c>
      <c r="B64" s="30" t="s">
        <v>186</v>
      </c>
      <c r="C64" s="10" t="s">
        <v>62</v>
      </c>
      <c r="D64" s="10" t="s">
        <v>187</v>
      </c>
      <c r="E64" s="10" t="s">
        <v>188</v>
      </c>
      <c r="F64" s="29"/>
      <c r="G64" s="29"/>
      <c r="H64" s="20">
        <f>IFERROR(SUMPRODUCT(('Data - Skillko'!I$5:I$1547=B64)*('Data - Skillko'!D$5:D$1547="Total")*('Data - Skillko'!C$5:C$1547&lt;&gt;"Total")*('Data - Skillko'!C$5:C$1547&lt;&gt;"")*(NOT(ISNUMBER(SEARCH(B64,'Data - Skillko'!C$5:C$1547))))),0)</f>
        <v>4</v>
      </c>
      <c r="I64" s="10" t="s">
        <v>58</v>
      </c>
    </row>
    <row r="65" spans="1:9" ht="18" customHeight="1" x14ac:dyDescent="0.2">
      <c r="A65" s="6" t="s">
        <v>189</v>
      </c>
      <c r="B65" s="28" t="s">
        <v>190</v>
      </c>
      <c r="C65" s="6" t="s">
        <v>62</v>
      </c>
      <c r="D65" s="6" t="s">
        <v>187</v>
      </c>
      <c r="E65" s="6" t="s">
        <v>188</v>
      </c>
      <c r="F65" s="29"/>
      <c r="G65" s="29"/>
      <c r="H65" s="20">
        <f>IFERROR(SUMPRODUCT(('Data - Skillko'!I$5:I$1547=B65)*('Data - Skillko'!D$5:D$1547="Total")*('Data - Skillko'!C$5:C$1547&lt;&gt;"Total")*('Data - Skillko'!C$5:C$1547&lt;&gt;"")*(NOT(ISNUMBER(SEARCH(B65,'Data - Skillko'!C$5:C$1547))))),0)</f>
        <v>1</v>
      </c>
      <c r="I65" s="6" t="s">
        <v>58</v>
      </c>
    </row>
    <row r="66" spans="1:9" ht="18" customHeight="1" x14ac:dyDescent="0.2">
      <c r="A66" s="10" t="s">
        <v>191</v>
      </c>
      <c r="B66" s="30" t="s">
        <v>192</v>
      </c>
      <c r="C66" s="10" t="s">
        <v>62</v>
      </c>
      <c r="D66" s="10" t="s">
        <v>193</v>
      </c>
      <c r="E66" s="10" t="s">
        <v>194</v>
      </c>
      <c r="F66" s="29"/>
      <c r="G66" s="29"/>
      <c r="H66" s="20">
        <f>IFERROR(SUMPRODUCT(('Data - Skillko'!I$5:I$1547=B66)*('Data - Skillko'!D$5:D$1547="Total")*('Data - Skillko'!C$5:C$1547&lt;&gt;"Total")*('Data - Skillko'!C$5:C$1547&lt;&gt;"")*(NOT(ISNUMBER(SEARCH(B66,'Data - Skillko'!C$5:C$1547))))),0)</f>
        <v>7</v>
      </c>
      <c r="I66" s="10" t="s">
        <v>58</v>
      </c>
    </row>
    <row r="67" spans="1:9" ht="18" customHeight="1" x14ac:dyDescent="0.2">
      <c r="A67" s="6" t="s">
        <v>195</v>
      </c>
      <c r="B67" s="28" t="s">
        <v>196</v>
      </c>
      <c r="C67" s="6" t="s">
        <v>62</v>
      </c>
      <c r="D67" s="6" t="s">
        <v>193</v>
      </c>
      <c r="E67" s="6" t="s">
        <v>197</v>
      </c>
      <c r="F67" s="29"/>
      <c r="G67" s="29"/>
      <c r="H67" s="20">
        <f>IFERROR(SUMPRODUCT(('Data - Skillko'!I$5:I$1547=B67)*('Data - Skillko'!D$5:D$1547="Total")*('Data - Skillko'!C$5:C$1547&lt;&gt;"Total")*('Data - Skillko'!C$5:C$1547&lt;&gt;"")*(NOT(ISNUMBER(SEARCH(B67,'Data - Skillko'!C$5:C$1547))))),0)</f>
        <v>19</v>
      </c>
      <c r="I67" s="6" t="s">
        <v>58</v>
      </c>
    </row>
    <row r="68" spans="1:9" ht="18" customHeight="1" x14ac:dyDescent="0.2">
      <c r="A68" s="10" t="s">
        <v>198</v>
      </c>
      <c r="B68" s="30" t="s">
        <v>199</v>
      </c>
      <c r="C68" s="10" t="s">
        <v>62</v>
      </c>
      <c r="D68" s="10" t="s">
        <v>140</v>
      </c>
      <c r="E68" s="10" t="s">
        <v>63</v>
      </c>
      <c r="F68" s="29"/>
      <c r="G68" s="29"/>
      <c r="H68" s="20">
        <f>IFERROR(SUMPRODUCT(('Data - Skillko'!I$5:I$1547=B68)*('Data - Skillko'!D$5:D$1547="Total")*('Data - Skillko'!C$5:C$1547&lt;&gt;"Total")*('Data - Skillko'!C$5:C$1547&lt;&gt;"")*(NOT(ISNUMBER(SEARCH(B68,'Data - Skillko'!C$5:C$1547))))),0)</f>
        <v>5</v>
      </c>
      <c r="I68" s="10" t="s">
        <v>58</v>
      </c>
    </row>
    <row r="69" spans="1:9" ht="18" customHeight="1" x14ac:dyDescent="0.2">
      <c r="A69" s="6" t="s">
        <v>200</v>
      </c>
      <c r="B69" s="28" t="s">
        <v>201</v>
      </c>
      <c r="C69" s="6" t="s">
        <v>62</v>
      </c>
      <c r="D69" s="6" t="s">
        <v>140</v>
      </c>
      <c r="E69" s="6" t="s">
        <v>63</v>
      </c>
      <c r="F69" s="29"/>
      <c r="G69" s="29"/>
      <c r="H69" s="20">
        <f>IFERROR(SUMPRODUCT(('Data - Skillko'!I$5:I$1547=B69)*('Data - Skillko'!D$5:D$1547="Total")*('Data - Skillko'!C$5:C$1547&lt;&gt;"Total")*('Data - Skillko'!C$5:C$1547&lt;&gt;"")*(NOT(ISNUMBER(SEARCH(B69,'Data - Skillko'!C$5:C$1547))))),0)</f>
        <v>2</v>
      </c>
      <c r="I69" s="6" t="s">
        <v>58</v>
      </c>
    </row>
    <row r="70" spans="1:9" ht="18" customHeight="1" x14ac:dyDescent="0.2">
      <c r="A70" s="10" t="s">
        <v>202</v>
      </c>
      <c r="B70" s="30" t="s">
        <v>203</v>
      </c>
      <c r="C70" s="10" t="s">
        <v>62</v>
      </c>
      <c r="D70" s="10" t="s">
        <v>140</v>
      </c>
      <c r="E70" s="10" t="s">
        <v>63</v>
      </c>
      <c r="F70" s="29"/>
      <c r="G70" s="29"/>
      <c r="H70" s="20">
        <f>IFERROR(SUMPRODUCT(('Data - Skillko'!I$5:I$1547=B70)*('Data - Skillko'!D$5:D$1547="Total")*('Data - Skillko'!C$5:C$1547&lt;&gt;"Total")*('Data - Skillko'!C$5:C$1547&lt;&gt;"")*(NOT(ISNUMBER(SEARCH(B70,'Data - Skillko'!C$5:C$1547))))),0)</f>
        <v>6</v>
      </c>
      <c r="I70" s="10" t="s">
        <v>58</v>
      </c>
    </row>
    <row r="71" spans="1:9" ht="18" customHeight="1" x14ac:dyDescent="0.2">
      <c r="A71" s="6" t="s">
        <v>204</v>
      </c>
      <c r="B71" s="28" t="s">
        <v>205</v>
      </c>
      <c r="C71" s="6" t="s">
        <v>62</v>
      </c>
      <c r="D71" s="6" t="s">
        <v>140</v>
      </c>
      <c r="E71" s="6" t="s">
        <v>63</v>
      </c>
      <c r="F71" s="29"/>
      <c r="G71" s="29"/>
      <c r="H71" s="20">
        <f>IFERROR(SUMPRODUCT(('Data - Skillko'!I$5:I$1547=B71)*('Data - Skillko'!D$5:D$1547="Total")*('Data - Skillko'!C$5:C$1547&lt;&gt;"Total")*('Data - Skillko'!C$5:C$1547&lt;&gt;"")*(NOT(ISNUMBER(SEARCH(B71,'Data - Skillko'!C$5:C$1547))))),0)</f>
        <v>4</v>
      </c>
      <c r="I71" s="6" t="s">
        <v>58</v>
      </c>
    </row>
    <row r="72" spans="1:9" ht="18" customHeight="1" x14ac:dyDescent="0.2">
      <c r="A72" s="10" t="s">
        <v>206</v>
      </c>
      <c r="B72" s="30" t="s">
        <v>207</v>
      </c>
      <c r="C72" s="10" t="s">
        <v>62</v>
      </c>
      <c r="D72" s="10" t="s">
        <v>140</v>
      </c>
      <c r="E72" s="10" t="s">
        <v>63</v>
      </c>
      <c r="F72" s="29"/>
      <c r="G72" s="29"/>
      <c r="H72" s="20">
        <f>IFERROR(SUMPRODUCT(('Data - Skillko'!I$5:I$1547=B72)*('Data - Skillko'!D$5:D$1547="Total")*('Data - Skillko'!C$5:C$1547&lt;&gt;"Total")*('Data - Skillko'!C$5:C$1547&lt;&gt;"")*(NOT(ISNUMBER(SEARCH(B72,'Data - Skillko'!C$5:C$1547))))),0)</f>
        <v>3</v>
      </c>
      <c r="I72" s="10" t="s">
        <v>58</v>
      </c>
    </row>
    <row r="73" spans="1:9" ht="18" customHeight="1" x14ac:dyDescent="0.2">
      <c r="A73" s="6" t="s">
        <v>208</v>
      </c>
      <c r="B73" s="28" t="s">
        <v>209</v>
      </c>
      <c r="C73" s="6" t="s">
        <v>62</v>
      </c>
      <c r="D73" s="6" t="s">
        <v>140</v>
      </c>
      <c r="E73" s="6" t="s">
        <v>63</v>
      </c>
      <c r="F73" s="29"/>
      <c r="G73" s="29"/>
      <c r="H73" s="20">
        <f>IFERROR(SUMPRODUCT(('Data - Skillko'!I$5:I$1547=B73)*('Data - Skillko'!D$5:D$1547="Total")*('Data - Skillko'!C$5:C$1547&lt;&gt;"Total")*('Data - Skillko'!C$5:C$1547&lt;&gt;"")*(NOT(ISNUMBER(SEARCH(B73,'Data - Skillko'!C$5:C$1547))))),0)</f>
        <v>2</v>
      </c>
      <c r="I73" s="6" t="s">
        <v>58</v>
      </c>
    </row>
    <row r="74" spans="1:9" ht="18" customHeight="1" x14ac:dyDescent="0.2">
      <c r="A74" s="10" t="s">
        <v>210</v>
      </c>
      <c r="B74" s="30" t="s">
        <v>211</v>
      </c>
      <c r="C74" s="10" t="s">
        <v>62</v>
      </c>
      <c r="D74" s="10" t="s">
        <v>140</v>
      </c>
      <c r="E74" s="10" t="s">
        <v>63</v>
      </c>
      <c r="F74" s="29"/>
      <c r="G74" s="29"/>
      <c r="H74" s="20">
        <f>IFERROR(SUMPRODUCT(('Data - Skillko'!I$5:I$1547=B74)*('Data - Skillko'!D$5:D$1547="Total")*('Data - Skillko'!C$5:C$1547&lt;&gt;"Total")*('Data - Skillko'!C$5:C$1547&lt;&gt;"")*(NOT(ISNUMBER(SEARCH(B74,'Data - Skillko'!C$5:C$1547))))),0)</f>
        <v>2</v>
      </c>
      <c r="I74" s="10" t="s">
        <v>58</v>
      </c>
    </row>
    <row r="75" spans="1:9" ht="18" customHeight="1" x14ac:dyDescent="0.2">
      <c r="A75" s="6" t="s">
        <v>212</v>
      </c>
      <c r="B75" s="28" t="s">
        <v>213</v>
      </c>
      <c r="C75" s="6" t="s">
        <v>62</v>
      </c>
      <c r="D75" s="6" t="s">
        <v>140</v>
      </c>
      <c r="E75" s="6" t="s">
        <v>63</v>
      </c>
      <c r="F75" s="29"/>
      <c r="G75" s="29"/>
      <c r="H75" s="20">
        <f>IFERROR(SUMPRODUCT(('Data - Skillko'!I$5:I$1547=B75)*('Data - Skillko'!D$5:D$1547="Total")*('Data - Skillko'!C$5:C$1547&lt;&gt;"Total")*('Data - Skillko'!C$5:C$1547&lt;&gt;"")*(NOT(ISNUMBER(SEARCH(B75,'Data - Skillko'!C$5:C$1547))))),0)</f>
        <v>2</v>
      </c>
      <c r="I75" s="6" t="s">
        <v>58</v>
      </c>
    </row>
    <row r="76" spans="1:9" ht="18" customHeight="1" x14ac:dyDescent="0.2">
      <c r="A76" s="10" t="s">
        <v>214</v>
      </c>
      <c r="B76" s="30" t="s">
        <v>215</v>
      </c>
      <c r="C76" s="10" t="s">
        <v>62</v>
      </c>
      <c r="D76" s="10" t="s">
        <v>140</v>
      </c>
      <c r="E76" s="10" t="s">
        <v>63</v>
      </c>
      <c r="F76" s="29"/>
      <c r="G76" s="29"/>
      <c r="H76" s="20">
        <f>IFERROR(SUMPRODUCT(('Data - Skillko'!I$5:I$1547=B76)*('Data - Skillko'!D$5:D$1547="Total")*('Data - Skillko'!C$5:C$1547&lt;&gt;"Total")*('Data - Skillko'!C$5:C$1547&lt;&gt;"")*(NOT(ISNUMBER(SEARCH(B76,'Data - Skillko'!C$5:C$1547))))),0)</f>
        <v>2</v>
      </c>
      <c r="I76" s="10" t="s">
        <v>58</v>
      </c>
    </row>
    <row r="77" spans="1:9" ht="18" customHeight="1" x14ac:dyDescent="0.2">
      <c r="A77" s="6" t="s">
        <v>216</v>
      </c>
      <c r="B77" s="28" t="s">
        <v>217</v>
      </c>
      <c r="C77" s="6" t="s">
        <v>62</v>
      </c>
      <c r="D77" s="6" t="s">
        <v>140</v>
      </c>
      <c r="E77" s="6" t="s">
        <v>63</v>
      </c>
      <c r="F77" s="29"/>
      <c r="G77" s="29"/>
      <c r="H77" s="20">
        <f>IFERROR(SUMPRODUCT(('Data - Skillko'!I$5:I$1547=B77)*('Data - Skillko'!D$5:D$1547="Total")*('Data - Skillko'!C$5:C$1547&lt;&gt;"Total")*('Data - Skillko'!C$5:C$1547&lt;&gt;"")*(NOT(ISNUMBER(SEARCH(B77,'Data - Skillko'!C$5:C$1547))))),0)</f>
        <v>5</v>
      </c>
      <c r="I77" s="6" t="s">
        <v>58</v>
      </c>
    </row>
    <row r="78" spans="1:9" ht="18" customHeight="1" x14ac:dyDescent="0.2">
      <c r="A78" s="29"/>
      <c r="B78" s="29"/>
      <c r="C78" s="29"/>
      <c r="D78" s="29"/>
      <c r="E78" s="29"/>
      <c r="F78" s="29"/>
      <c r="G78" s="29"/>
      <c r="H78" s="31"/>
      <c r="I78" s="29" t="s">
        <v>58</v>
      </c>
    </row>
    <row r="79" spans="1:9" ht="18" customHeight="1" x14ac:dyDescent="0.2">
      <c r="A79" s="29"/>
      <c r="B79" s="29"/>
      <c r="C79" s="29"/>
      <c r="D79" s="29"/>
      <c r="E79" s="29"/>
      <c r="F79" s="29"/>
      <c r="G79" s="29"/>
      <c r="H79" s="31"/>
      <c r="I79" s="29" t="s">
        <v>58</v>
      </c>
    </row>
    <row r="80" spans="1:9" ht="18" customHeight="1" x14ac:dyDescent="0.2">
      <c r="A80" s="29"/>
      <c r="B80" s="29"/>
      <c r="C80" s="29"/>
      <c r="D80" s="29"/>
      <c r="E80" s="29"/>
      <c r="F80" s="29"/>
      <c r="G80" s="29"/>
      <c r="H80" s="31"/>
      <c r="I80" s="29" t="s">
        <v>58</v>
      </c>
    </row>
    <row r="81" spans="1:9" ht="18" customHeight="1" x14ac:dyDescent="0.2">
      <c r="A81" s="29"/>
      <c r="B81" s="29"/>
      <c r="C81" s="29"/>
      <c r="D81" s="29"/>
      <c r="E81" s="29"/>
      <c r="F81" s="29"/>
      <c r="G81" s="29"/>
      <c r="H81" s="31"/>
      <c r="I81" s="29" t="s">
        <v>58</v>
      </c>
    </row>
    <row r="82" spans="1:9" ht="18" customHeight="1" x14ac:dyDescent="0.2">
      <c r="A82" s="29"/>
      <c r="B82" s="29"/>
      <c r="C82" s="29"/>
      <c r="D82" s="29"/>
      <c r="E82" s="29"/>
      <c r="F82" s="29"/>
      <c r="G82" s="29"/>
      <c r="H82" s="31"/>
      <c r="I82" s="29" t="s">
        <v>58</v>
      </c>
    </row>
    <row r="83" spans="1:9" ht="18" customHeight="1" x14ac:dyDescent="0.2">
      <c r="A83" s="29"/>
      <c r="B83" s="29"/>
      <c r="C83" s="29"/>
      <c r="D83" s="29"/>
      <c r="E83" s="29"/>
      <c r="F83" s="29"/>
      <c r="G83" s="29"/>
      <c r="H83" s="31"/>
      <c r="I83" s="29" t="s">
        <v>58</v>
      </c>
    </row>
    <row r="84" spans="1:9" ht="18" customHeight="1" x14ac:dyDescent="0.2">
      <c r="A84" s="29"/>
      <c r="B84" s="29"/>
      <c r="C84" s="29"/>
      <c r="D84" s="29"/>
      <c r="E84" s="29"/>
      <c r="F84" s="29"/>
      <c r="G84" s="29"/>
      <c r="H84" s="31"/>
      <c r="I84" s="29" t="s">
        <v>58</v>
      </c>
    </row>
    <row r="85" spans="1:9" ht="18" customHeight="1" x14ac:dyDescent="0.2">
      <c r="A85" s="29"/>
      <c r="B85" s="29"/>
      <c r="C85" s="29"/>
      <c r="D85" s="29"/>
      <c r="E85" s="29"/>
      <c r="F85" s="29"/>
      <c r="G85" s="29"/>
      <c r="H85" s="31"/>
      <c r="I85" s="29" t="s">
        <v>58</v>
      </c>
    </row>
    <row r="86" spans="1:9" ht="18" customHeight="1" x14ac:dyDescent="0.2">
      <c r="A86" s="29"/>
      <c r="B86" s="29"/>
      <c r="C86" s="29"/>
      <c r="D86" s="29"/>
      <c r="E86" s="29"/>
      <c r="F86" s="29"/>
      <c r="G86" s="29"/>
      <c r="H86" s="31"/>
      <c r="I86" s="29" t="s">
        <v>58</v>
      </c>
    </row>
    <row r="87" spans="1:9" ht="18" customHeight="1" x14ac:dyDescent="0.2">
      <c r="A87" s="29"/>
      <c r="B87" s="29"/>
      <c r="C87" s="29"/>
      <c r="D87" s="29"/>
      <c r="E87" s="29"/>
      <c r="F87" s="29"/>
      <c r="G87" s="29"/>
      <c r="H87" s="31"/>
      <c r="I87" s="29" t="s">
        <v>58</v>
      </c>
    </row>
    <row r="88" spans="1:9" ht="18" customHeight="1" x14ac:dyDescent="0.2">
      <c r="A88" s="29"/>
      <c r="B88" s="29"/>
      <c r="C88" s="29"/>
      <c r="D88" s="29"/>
      <c r="E88" s="29"/>
      <c r="F88" s="29"/>
      <c r="G88" s="29"/>
      <c r="H88" s="31"/>
      <c r="I88" s="29" t="s">
        <v>58</v>
      </c>
    </row>
    <row r="89" spans="1:9" ht="18" customHeight="1" x14ac:dyDescent="0.2">
      <c r="A89" s="29"/>
      <c r="B89" s="29"/>
      <c r="C89" s="29"/>
      <c r="D89" s="29"/>
      <c r="E89" s="29"/>
      <c r="F89" s="29"/>
      <c r="G89" s="29"/>
      <c r="H89" s="31"/>
      <c r="I89" s="29" t="s">
        <v>58</v>
      </c>
    </row>
    <row r="90" spans="1:9" ht="18" customHeight="1" x14ac:dyDescent="0.2">
      <c r="A90" s="29"/>
      <c r="B90" s="29"/>
      <c r="C90" s="29"/>
      <c r="D90" s="29"/>
      <c r="E90" s="29"/>
      <c r="F90" s="29"/>
      <c r="G90" s="29"/>
      <c r="H90" s="31"/>
      <c r="I90" s="29" t="s">
        <v>58</v>
      </c>
    </row>
    <row r="91" spans="1:9" ht="18" customHeight="1" x14ac:dyDescent="0.2">
      <c r="A91" s="29"/>
      <c r="B91" s="29"/>
      <c r="C91" s="29"/>
      <c r="D91" s="29"/>
      <c r="E91" s="29"/>
      <c r="F91" s="29"/>
      <c r="G91" s="29"/>
      <c r="H91" s="31"/>
      <c r="I91" s="29" t="s">
        <v>58</v>
      </c>
    </row>
    <row r="92" spans="1:9" ht="18" customHeight="1" x14ac:dyDescent="0.2">
      <c r="A92" s="29"/>
      <c r="B92" s="29"/>
      <c r="C92" s="29"/>
      <c r="D92" s="29"/>
      <c r="E92" s="29"/>
      <c r="F92" s="29"/>
      <c r="G92" s="29"/>
      <c r="H92" s="31"/>
      <c r="I92" s="29" t="s">
        <v>58</v>
      </c>
    </row>
    <row r="93" spans="1:9" ht="18" customHeight="1" x14ac:dyDescent="0.2">
      <c r="A93" s="29"/>
      <c r="B93" s="29"/>
      <c r="C93" s="29"/>
      <c r="D93" s="29"/>
      <c r="E93" s="29"/>
      <c r="F93" s="29"/>
      <c r="G93" s="29"/>
      <c r="H93" s="31"/>
      <c r="I93" s="29" t="s">
        <v>58</v>
      </c>
    </row>
    <row r="94" spans="1:9" ht="18" customHeight="1" x14ac:dyDescent="0.2">
      <c r="A94" s="29"/>
      <c r="B94" s="29"/>
      <c r="C94" s="29"/>
      <c r="D94" s="29"/>
      <c r="E94" s="29"/>
      <c r="F94" s="29"/>
      <c r="G94" s="29"/>
      <c r="H94" s="31"/>
      <c r="I94" s="29" t="s">
        <v>58</v>
      </c>
    </row>
    <row r="95" spans="1:9" ht="18" customHeight="1" x14ac:dyDescent="0.2">
      <c r="A95" s="29"/>
      <c r="B95" s="29"/>
      <c r="C95" s="29"/>
      <c r="D95" s="29"/>
      <c r="E95" s="29"/>
      <c r="F95" s="29"/>
      <c r="G95" s="29"/>
      <c r="H95" s="31"/>
      <c r="I95" s="29" t="s">
        <v>58</v>
      </c>
    </row>
    <row r="96" spans="1:9" ht="18" customHeight="1" x14ac:dyDescent="0.2">
      <c r="A96" s="29"/>
      <c r="B96" s="29"/>
      <c r="C96" s="29"/>
      <c r="D96" s="29"/>
      <c r="E96" s="29"/>
      <c r="F96" s="29"/>
      <c r="G96" s="29"/>
      <c r="H96" s="31"/>
      <c r="I96" s="29" t="s">
        <v>58</v>
      </c>
    </row>
    <row r="97" spans="1:9" ht="18" customHeight="1" x14ac:dyDescent="0.2">
      <c r="A97" s="29"/>
      <c r="B97" s="29"/>
      <c r="C97" s="29"/>
      <c r="D97" s="29"/>
      <c r="E97" s="29"/>
      <c r="F97" s="29"/>
      <c r="G97" s="29"/>
      <c r="H97" s="31"/>
      <c r="I97" s="29" t="s">
        <v>58</v>
      </c>
    </row>
    <row r="98" spans="1:9" ht="18" customHeight="1" x14ac:dyDescent="0.2">
      <c r="A98" s="29"/>
      <c r="B98" s="29"/>
      <c r="C98" s="29"/>
      <c r="D98" s="29"/>
      <c r="E98" s="29"/>
      <c r="F98" s="29"/>
      <c r="G98" s="29"/>
      <c r="H98" s="31"/>
      <c r="I98" s="29" t="s">
        <v>58</v>
      </c>
    </row>
    <row r="99" spans="1:9" ht="18" customHeight="1" x14ac:dyDescent="0.2">
      <c r="A99" s="29"/>
      <c r="B99" s="29"/>
      <c r="C99" s="29"/>
      <c r="D99" s="29"/>
      <c r="E99" s="29"/>
      <c r="F99" s="29"/>
      <c r="G99" s="29"/>
      <c r="H99" s="31"/>
      <c r="I99" s="29" t="s">
        <v>58</v>
      </c>
    </row>
    <row r="100" spans="1:9" ht="18" customHeight="1" x14ac:dyDescent="0.2">
      <c r="A100" s="29"/>
      <c r="B100" s="29"/>
      <c r="C100" s="29"/>
      <c r="D100" s="29"/>
      <c r="E100" s="29"/>
      <c r="F100" s="29"/>
      <c r="G100" s="29"/>
      <c r="H100" s="31"/>
      <c r="I100" s="29" t="s">
        <v>58</v>
      </c>
    </row>
    <row r="101" spans="1:9" ht="18" customHeight="1" x14ac:dyDescent="0.2">
      <c r="A101" s="29"/>
      <c r="B101" s="29"/>
      <c r="C101" s="29"/>
      <c r="D101" s="29"/>
      <c r="E101" s="29"/>
      <c r="F101" s="29"/>
      <c r="G101" s="29"/>
      <c r="H101" s="31"/>
      <c r="I101" s="29" t="s">
        <v>58</v>
      </c>
    </row>
    <row r="102" spans="1:9" ht="18" customHeight="1" x14ac:dyDescent="0.2">
      <c r="A102" s="29"/>
      <c r="B102" s="29"/>
      <c r="C102" s="29"/>
      <c r="D102" s="29"/>
      <c r="E102" s="29"/>
      <c r="F102" s="29"/>
      <c r="G102" s="29"/>
      <c r="H102" s="31"/>
      <c r="I102" s="29" t="s">
        <v>58</v>
      </c>
    </row>
    <row r="103" spans="1:9" ht="18" customHeight="1" x14ac:dyDescent="0.2">
      <c r="A103" s="29"/>
      <c r="B103" s="29"/>
      <c r="C103" s="29"/>
      <c r="D103" s="29"/>
      <c r="E103" s="29"/>
      <c r="F103" s="29"/>
      <c r="G103" s="29"/>
      <c r="H103" s="31"/>
      <c r="I103" s="29" t="s">
        <v>58</v>
      </c>
    </row>
    <row r="104" spans="1:9" ht="18" customHeight="1" x14ac:dyDescent="0.2">
      <c r="A104" s="29"/>
      <c r="B104" s="29"/>
      <c r="C104" s="29"/>
      <c r="D104" s="29"/>
      <c r="E104" s="29"/>
      <c r="F104" s="29"/>
      <c r="G104" s="29"/>
      <c r="H104" s="31"/>
      <c r="I104" s="29" t="s">
        <v>58</v>
      </c>
    </row>
    <row r="105" spans="1:9" ht="18" customHeight="1" x14ac:dyDescent="0.2">
      <c r="A105" s="29"/>
      <c r="B105" s="29"/>
      <c r="C105" s="29"/>
      <c r="D105" s="29"/>
      <c r="E105" s="29"/>
      <c r="F105" s="29"/>
      <c r="G105" s="29"/>
      <c r="H105" s="31"/>
      <c r="I105" s="29" t="s">
        <v>58</v>
      </c>
    </row>
    <row r="106" spans="1:9" ht="18" customHeight="1" x14ac:dyDescent="0.2">
      <c r="A106" s="29"/>
      <c r="B106" s="29"/>
      <c r="C106" s="29"/>
      <c r="D106" s="29"/>
      <c r="E106" s="29"/>
      <c r="F106" s="29"/>
      <c r="G106" s="29"/>
      <c r="H106" s="31"/>
      <c r="I106" s="29" t="s">
        <v>58</v>
      </c>
    </row>
    <row r="107" spans="1:9" ht="18" customHeight="1" x14ac:dyDescent="0.2">
      <c r="A107" s="29"/>
      <c r="B107" s="29"/>
      <c r="C107" s="29"/>
      <c r="D107" s="29"/>
      <c r="E107" s="29"/>
      <c r="F107" s="29"/>
      <c r="G107" s="29"/>
      <c r="H107" s="31"/>
      <c r="I107" s="29" t="s">
        <v>58</v>
      </c>
    </row>
    <row r="108" spans="1:9" ht="18" customHeight="1" x14ac:dyDescent="0.2">
      <c r="A108" s="29"/>
      <c r="B108" s="29"/>
      <c r="C108" s="29"/>
      <c r="D108" s="29"/>
      <c r="E108" s="29"/>
      <c r="F108" s="29"/>
      <c r="G108" s="29"/>
      <c r="H108" s="31"/>
      <c r="I108" s="29" t="s">
        <v>58</v>
      </c>
    </row>
    <row r="109" spans="1:9" ht="18" customHeight="1" x14ac:dyDescent="0.2">
      <c r="A109" s="29"/>
      <c r="B109" s="29"/>
      <c r="C109" s="29"/>
      <c r="D109" s="29"/>
      <c r="E109" s="29"/>
      <c r="F109" s="29"/>
      <c r="G109" s="29"/>
      <c r="H109" s="31"/>
      <c r="I109" s="29" t="s">
        <v>58</v>
      </c>
    </row>
    <row r="110" spans="1:9" ht="18" customHeight="1" x14ac:dyDescent="0.2">
      <c r="A110" s="29"/>
      <c r="B110" s="29"/>
      <c r="C110" s="29"/>
      <c r="D110" s="29"/>
      <c r="E110" s="29"/>
      <c r="F110" s="29"/>
      <c r="G110" s="29"/>
      <c r="H110" s="31"/>
      <c r="I110" s="29" t="s">
        <v>58</v>
      </c>
    </row>
    <row r="111" spans="1:9" ht="18" customHeight="1" x14ac:dyDescent="0.2">
      <c r="A111" s="29"/>
      <c r="B111" s="29"/>
      <c r="C111" s="29"/>
      <c r="D111" s="29"/>
      <c r="E111" s="29"/>
      <c r="F111" s="29"/>
      <c r="G111" s="29"/>
      <c r="H111" s="31"/>
      <c r="I111" s="29" t="s">
        <v>58</v>
      </c>
    </row>
    <row r="112" spans="1:9" ht="18" customHeight="1" x14ac:dyDescent="0.2">
      <c r="A112" s="29"/>
      <c r="B112" s="29"/>
      <c r="C112" s="29"/>
      <c r="D112" s="29"/>
      <c r="E112" s="29"/>
      <c r="F112" s="29"/>
      <c r="G112" s="29"/>
      <c r="H112" s="31"/>
      <c r="I112" s="29" t="s">
        <v>58</v>
      </c>
    </row>
    <row r="113" spans="1:9" ht="18" customHeight="1" x14ac:dyDescent="0.2">
      <c r="A113" s="29"/>
      <c r="B113" s="29"/>
      <c r="C113" s="29"/>
      <c r="D113" s="29"/>
      <c r="E113" s="29"/>
      <c r="F113" s="29"/>
      <c r="G113" s="29"/>
      <c r="H113" s="31"/>
      <c r="I113" s="29" t="s">
        <v>58</v>
      </c>
    </row>
    <row r="114" spans="1:9" ht="18" customHeight="1" x14ac:dyDescent="0.2">
      <c r="A114" s="29"/>
      <c r="B114" s="29"/>
      <c r="C114" s="29"/>
      <c r="D114" s="29"/>
      <c r="E114" s="29"/>
      <c r="F114" s="29"/>
      <c r="G114" s="29"/>
      <c r="H114" s="31"/>
      <c r="I114" s="29" t="s">
        <v>58</v>
      </c>
    </row>
    <row r="115" spans="1:9" ht="18" customHeight="1" x14ac:dyDescent="0.2">
      <c r="A115" s="29"/>
      <c r="B115" s="29"/>
      <c r="C115" s="29"/>
      <c r="D115" s="29"/>
      <c r="E115" s="29"/>
      <c r="F115" s="29"/>
      <c r="G115" s="29"/>
      <c r="H115" s="31"/>
      <c r="I115" s="29" t="s">
        <v>58</v>
      </c>
    </row>
    <row r="116" spans="1:9" ht="18" customHeight="1" x14ac:dyDescent="0.2">
      <c r="A116" s="29"/>
      <c r="B116" s="29"/>
      <c r="C116" s="29"/>
      <c r="D116" s="29"/>
      <c r="E116" s="29"/>
      <c r="F116" s="29"/>
      <c r="G116" s="29"/>
      <c r="H116" s="31"/>
      <c r="I116" s="29" t="s">
        <v>58</v>
      </c>
    </row>
    <row r="117" spans="1:9" ht="18" customHeight="1" x14ac:dyDescent="0.2">
      <c r="A117" s="29"/>
      <c r="B117" s="29"/>
      <c r="C117" s="29"/>
      <c r="D117" s="29"/>
      <c r="E117" s="29"/>
      <c r="F117" s="29"/>
      <c r="G117" s="29"/>
      <c r="H117" s="31"/>
      <c r="I117" s="29" t="s">
        <v>58</v>
      </c>
    </row>
    <row r="118" spans="1:9" ht="18" customHeight="1" x14ac:dyDescent="0.2">
      <c r="A118" s="29"/>
      <c r="B118" s="29"/>
      <c r="C118" s="29"/>
      <c r="D118" s="29"/>
      <c r="E118" s="29"/>
      <c r="F118" s="29"/>
      <c r="G118" s="29"/>
      <c r="H118" s="31"/>
      <c r="I118" s="29" t="s">
        <v>58</v>
      </c>
    </row>
    <row r="119" spans="1:9" ht="18" customHeight="1" x14ac:dyDescent="0.2">
      <c r="A119" s="29"/>
      <c r="B119" s="29"/>
      <c r="C119" s="29"/>
      <c r="D119" s="29"/>
      <c r="E119" s="29"/>
      <c r="F119" s="29"/>
      <c r="G119" s="29"/>
      <c r="H119" s="31"/>
      <c r="I119" s="29" t="s">
        <v>58</v>
      </c>
    </row>
    <row r="120" spans="1:9" ht="18" customHeight="1" x14ac:dyDescent="0.2">
      <c r="A120" s="29"/>
      <c r="B120" s="29"/>
      <c r="C120" s="29"/>
      <c r="D120" s="29"/>
      <c r="E120" s="29"/>
      <c r="F120" s="29"/>
      <c r="G120" s="29"/>
      <c r="H120" s="31"/>
      <c r="I120" s="29" t="s">
        <v>58</v>
      </c>
    </row>
    <row r="121" spans="1:9" ht="18" customHeight="1" x14ac:dyDescent="0.2">
      <c r="A121" s="29"/>
      <c r="B121" s="29"/>
      <c r="C121" s="29"/>
      <c r="D121" s="29"/>
      <c r="E121" s="29"/>
      <c r="F121" s="29"/>
      <c r="G121" s="29"/>
      <c r="H121" s="31"/>
      <c r="I121" s="29" t="s">
        <v>58</v>
      </c>
    </row>
    <row r="122" spans="1:9" ht="18" customHeight="1" x14ac:dyDescent="0.2">
      <c r="A122" s="29"/>
      <c r="B122" s="29"/>
      <c r="C122" s="29"/>
      <c r="D122" s="29"/>
      <c r="E122" s="29"/>
      <c r="F122" s="29"/>
      <c r="G122" s="29"/>
      <c r="H122" s="31"/>
      <c r="I122" s="29" t="s">
        <v>58</v>
      </c>
    </row>
    <row r="123" spans="1:9" ht="18" customHeight="1" x14ac:dyDescent="0.2">
      <c r="A123" s="29"/>
      <c r="B123" s="29"/>
      <c r="C123" s="29"/>
      <c r="D123" s="29"/>
      <c r="E123" s="29"/>
      <c r="F123" s="29"/>
      <c r="G123" s="29"/>
      <c r="H123" s="31"/>
      <c r="I123" s="29" t="s">
        <v>58</v>
      </c>
    </row>
    <row r="124" spans="1:9" ht="18" customHeight="1" x14ac:dyDescent="0.2">
      <c r="A124" s="29"/>
      <c r="B124" s="29"/>
      <c r="C124" s="29"/>
      <c r="D124" s="29"/>
      <c r="E124" s="29"/>
      <c r="F124" s="29"/>
      <c r="G124" s="29"/>
      <c r="H124" s="31"/>
      <c r="I124" s="29" t="s">
        <v>58</v>
      </c>
    </row>
    <row r="125" spans="1:9" ht="18" customHeight="1" x14ac:dyDescent="0.2">
      <c r="A125" s="29"/>
      <c r="B125" s="29"/>
      <c r="C125" s="29"/>
      <c r="D125" s="29"/>
      <c r="E125" s="29"/>
      <c r="F125" s="29"/>
      <c r="G125" s="29"/>
      <c r="H125" s="31"/>
      <c r="I125" s="29" t="s">
        <v>58</v>
      </c>
    </row>
    <row r="126" spans="1:9" ht="18" customHeight="1" x14ac:dyDescent="0.2">
      <c r="A126" s="29"/>
      <c r="B126" s="29"/>
      <c r="C126" s="29"/>
      <c r="D126" s="29"/>
      <c r="E126" s="29"/>
      <c r="F126" s="29"/>
      <c r="G126" s="29"/>
      <c r="H126" s="31"/>
      <c r="I126" s="29" t="s">
        <v>58</v>
      </c>
    </row>
    <row r="127" spans="1:9" ht="18" customHeight="1" x14ac:dyDescent="0.2">
      <c r="A127" s="29"/>
      <c r="B127" s="29"/>
      <c r="C127" s="29"/>
      <c r="D127" s="29"/>
      <c r="E127" s="29"/>
      <c r="F127" s="29"/>
      <c r="G127" s="29"/>
      <c r="H127" s="31"/>
      <c r="I127" s="29" t="s">
        <v>58</v>
      </c>
    </row>
    <row r="128" spans="1:9" ht="18" customHeight="1" x14ac:dyDescent="0.2">
      <c r="A128" s="29"/>
      <c r="B128" s="29"/>
      <c r="C128" s="29"/>
      <c r="D128" s="29"/>
      <c r="E128" s="29"/>
      <c r="F128" s="29"/>
      <c r="G128" s="29"/>
      <c r="H128" s="31"/>
      <c r="I128" s="29" t="s">
        <v>58</v>
      </c>
    </row>
    <row r="129" spans="1:9" ht="18" customHeight="1" x14ac:dyDescent="0.2">
      <c r="A129" s="29"/>
      <c r="B129" s="29"/>
      <c r="C129" s="29"/>
      <c r="D129" s="29"/>
      <c r="E129" s="29"/>
      <c r="F129" s="29"/>
      <c r="G129" s="29"/>
      <c r="H129" s="31"/>
      <c r="I129" s="29" t="s">
        <v>58</v>
      </c>
    </row>
    <row r="130" spans="1:9" ht="18" customHeight="1" x14ac:dyDescent="0.2">
      <c r="A130" s="29"/>
      <c r="B130" s="29"/>
      <c r="C130" s="29"/>
      <c r="D130" s="29"/>
      <c r="E130" s="29"/>
      <c r="F130" s="29"/>
      <c r="G130" s="29"/>
      <c r="H130" s="31"/>
      <c r="I130" s="29" t="s">
        <v>58</v>
      </c>
    </row>
    <row r="131" spans="1:9" ht="18" customHeight="1" x14ac:dyDescent="0.2">
      <c r="A131" s="29"/>
      <c r="B131" s="29"/>
      <c r="C131" s="29"/>
      <c r="D131" s="29"/>
      <c r="E131" s="29"/>
      <c r="F131" s="29"/>
      <c r="G131" s="29"/>
      <c r="H131" s="31"/>
      <c r="I131" s="29" t="s">
        <v>58</v>
      </c>
    </row>
    <row r="132" spans="1:9" ht="18" customHeight="1" x14ac:dyDescent="0.2">
      <c r="A132" s="29"/>
      <c r="B132" s="29"/>
      <c r="C132" s="29"/>
      <c r="D132" s="29"/>
      <c r="E132" s="29"/>
      <c r="F132" s="29"/>
      <c r="G132" s="29"/>
      <c r="H132" s="31"/>
      <c r="I132" s="29" t="s">
        <v>58</v>
      </c>
    </row>
    <row r="133" spans="1:9" ht="18" customHeight="1" x14ac:dyDescent="0.2">
      <c r="A133" s="29"/>
      <c r="B133" s="29"/>
      <c r="C133" s="29"/>
      <c r="D133" s="29"/>
      <c r="E133" s="29"/>
      <c r="F133" s="29"/>
      <c r="G133" s="29"/>
      <c r="H133" s="31"/>
      <c r="I133" s="29" t="s">
        <v>58</v>
      </c>
    </row>
    <row r="134" spans="1:9" ht="18" customHeight="1" x14ac:dyDescent="0.2">
      <c r="A134" s="29"/>
      <c r="B134" s="29"/>
      <c r="C134" s="29"/>
      <c r="D134" s="29"/>
      <c r="E134" s="29"/>
      <c r="F134" s="29"/>
      <c r="G134" s="29"/>
      <c r="H134" s="31"/>
      <c r="I134" s="29" t="s">
        <v>58</v>
      </c>
    </row>
    <row r="135" spans="1:9" ht="18" customHeight="1" x14ac:dyDescent="0.2">
      <c r="A135" s="29"/>
      <c r="B135" s="29"/>
      <c r="C135" s="29"/>
      <c r="D135" s="29"/>
      <c r="E135" s="29"/>
      <c r="F135" s="29"/>
      <c r="G135" s="29"/>
      <c r="H135" s="31"/>
      <c r="I135" s="29" t="s">
        <v>58</v>
      </c>
    </row>
    <row r="136" spans="1:9" ht="18" customHeight="1" x14ac:dyDescent="0.2">
      <c r="A136" s="29"/>
      <c r="B136" s="29"/>
      <c r="C136" s="29"/>
      <c r="D136" s="29"/>
      <c r="E136" s="29"/>
      <c r="F136" s="29"/>
      <c r="G136" s="29"/>
      <c r="H136" s="31"/>
      <c r="I136" s="29" t="s">
        <v>58</v>
      </c>
    </row>
    <row r="137" spans="1:9" ht="18" customHeight="1" x14ac:dyDescent="0.2">
      <c r="A137" s="29"/>
      <c r="B137" s="29"/>
      <c r="C137" s="29"/>
      <c r="D137" s="29"/>
      <c r="E137" s="29"/>
      <c r="F137" s="29"/>
      <c r="G137" s="29"/>
      <c r="H137" s="31"/>
      <c r="I137" s="29" t="s">
        <v>58</v>
      </c>
    </row>
    <row r="138" spans="1:9" ht="18" customHeight="1" x14ac:dyDescent="0.2">
      <c r="A138" s="29"/>
      <c r="B138" s="29"/>
      <c r="C138" s="29"/>
      <c r="D138" s="29"/>
      <c r="E138" s="29"/>
      <c r="F138" s="29"/>
      <c r="G138" s="29"/>
      <c r="H138" s="31"/>
      <c r="I138" s="29" t="s">
        <v>58</v>
      </c>
    </row>
    <row r="139" spans="1:9" ht="18" customHeight="1" x14ac:dyDescent="0.2">
      <c r="A139" s="29"/>
      <c r="B139" s="29"/>
      <c r="C139" s="29"/>
      <c r="D139" s="29"/>
      <c r="E139" s="29"/>
      <c r="F139" s="29"/>
      <c r="G139" s="29"/>
      <c r="H139" s="31"/>
      <c r="I139" s="29" t="s">
        <v>58</v>
      </c>
    </row>
    <row r="140" spans="1:9" ht="18" customHeight="1" x14ac:dyDescent="0.2">
      <c r="A140" s="29"/>
      <c r="B140" s="29"/>
      <c r="C140" s="29"/>
      <c r="D140" s="29"/>
      <c r="E140" s="29"/>
      <c r="F140" s="29"/>
      <c r="G140" s="29"/>
      <c r="H140" s="31"/>
      <c r="I140" s="29" t="s">
        <v>58</v>
      </c>
    </row>
    <row r="141" spans="1:9" ht="18" customHeight="1" x14ac:dyDescent="0.2">
      <c r="A141" s="29"/>
      <c r="B141" s="29"/>
      <c r="C141" s="29"/>
      <c r="D141" s="29"/>
      <c r="E141" s="29"/>
      <c r="F141" s="29"/>
      <c r="G141" s="29"/>
      <c r="H141" s="31"/>
      <c r="I141" s="29" t="s">
        <v>58</v>
      </c>
    </row>
    <row r="142" spans="1:9" ht="18" customHeight="1" x14ac:dyDescent="0.2">
      <c r="A142" s="29"/>
      <c r="B142" s="29"/>
      <c r="C142" s="29"/>
      <c r="D142" s="29"/>
      <c r="E142" s="29"/>
      <c r="F142" s="29"/>
      <c r="G142" s="29"/>
      <c r="H142" s="31"/>
      <c r="I142" s="29" t="s">
        <v>58</v>
      </c>
    </row>
    <row r="143" spans="1:9" ht="18" customHeight="1" x14ac:dyDescent="0.2">
      <c r="A143" s="29"/>
      <c r="B143" s="29"/>
      <c r="C143" s="29"/>
      <c r="D143" s="29"/>
      <c r="E143" s="29"/>
      <c r="F143" s="29"/>
      <c r="G143" s="29"/>
      <c r="H143" s="31"/>
      <c r="I143" s="29" t="s">
        <v>58</v>
      </c>
    </row>
    <row r="144" spans="1:9" ht="18" customHeight="1" x14ac:dyDescent="0.2">
      <c r="A144" s="29"/>
      <c r="B144" s="29"/>
      <c r="C144" s="29"/>
      <c r="D144" s="29"/>
      <c r="E144" s="29"/>
      <c r="F144" s="29"/>
      <c r="G144" s="29"/>
      <c r="H144" s="31"/>
      <c r="I144" s="29" t="s">
        <v>58</v>
      </c>
    </row>
    <row r="145" spans="1:9" ht="18" customHeight="1" x14ac:dyDescent="0.2">
      <c r="A145" s="29"/>
      <c r="B145" s="29"/>
      <c r="C145" s="29"/>
      <c r="D145" s="29"/>
      <c r="E145" s="29"/>
      <c r="F145" s="29"/>
      <c r="G145" s="29"/>
      <c r="H145" s="31"/>
      <c r="I145" s="29" t="s">
        <v>58</v>
      </c>
    </row>
    <row r="146" spans="1:9" ht="18" customHeight="1" x14ac:dyDescent="0.2">
      <c r="A146" s="29"/>
      <c r="B146" s="29"/>
      <c r="C146" s="29"/>
      <c r="D146" s="29"/>
      <c r="E146" s="29"/>
      <c r="F146" s="29"/>
      <c r="G146" s="29"/>
      <c r="H146" s="31"/>
      <c r="I146" s="29" t="s">
        <v>58</v>
      </c>
    </row>
    <row r="147" spans="1:9" ht="18" customHeight="1" x14ac:dyDescent="0.2">
      <c r="A147" s="29"/>
      <c r="B147" s="29"/>
      <c r="C147" s="29"/>
      <c r="D147" s="29"/>
      <c r="E147" s="29"/>
      <c r="F147" s="29"/>
      <c r="G147" s="29"/>
      <c r="H147" s="31"/>
      <c r="I147" s="29" t="s">
        <v>58</v>
      </c>
    </row>
    <row r="148" spans="1:9" ht="18" customHeight="1" x14ac:dyDescent="0.2">
      <c r="A148" s="29"/>
      <c r="B148" s="29"/>
      <c r="C148" s="29"/>
      <c r="D148" s="29"/>
      <c r="E148" s="29"/>
      <c r="F148" s="29"/>
      <c r="G148" s="29"/>
      <c r="H148" s="31"/>
      <c r="I148" s="29" t="s">
        <v>58</v>
      </c>
    </row>
    <row r="149" spans="1:9" ht="18" customHeight="1" x14ac:dyDescent="0.2">
      <c r="A149" s="29"/>
      <c r="B149" s="29"/>
      <c r="C149" s="29"/>
      <c r="D149" s="29"/>
      <c r="E149" s="29"/>
      <c r="F149" s="29"/>
      <c r="G149" s="29"/>
      <c r="H149" s="31"/>
      <c r="I149" s="29" t="s">
        <v>58</v>
      </c>
    </row>
    <row r="150" spans="1:9" ht="18" customHeight="1" x14ac:dyDescent="0.2">
      <c r="A150" s="29"/>
      <c r="B150" s="29"/>
      <c r="C150" s="29"/>
      <c r="D150" s="29"/>
      <c r="E150" s="29"/>
      <c r="F150" s="29"/>
      <c r="G150" s="29"/>
      <c r="H150" s="31"/>
      <c r="I150" s="29" t="s">
        <v>58</v>
      </c>
    </row>
    <row r="151" spans="1:9" ht="18" customHeight="1" x14ac:dyDescent="0.2">
      <c r="A151" s="29"/>
      <c r="B151" s="29"/>
      <c r="C151" s="29"/>
      <c r="D151" s="29"/>
      <c r="E151" s="29"/>
      <c r="F151" s="29"/>
      <c r="G151" s="29"/>
      <c r="H151" s="31"/>
      <c r="I151" s="29" t="s">
        <v>58</v>
      </c>
    </row>
    <row r="152" spans="1:9" ht="18" customHeight="1" x14ac:dyDescent="0.2">
      <c r="A152" s="29"/>
      <c r="B152" s="29"/>
      <c r="C152" s="29"/>
      <c r="D152" s="29"/>
      <c r="E152" s="29"/>
      <c r="F152" s="29"/>
      <c r="G152" s="29"/>
      <c r="H152" s="31"/>
      <c r="I152" s="29" t="s">
        <v>58</v>
      </c>
    </row>
    <row r="153" spans="1:9" ht="18" customHeight="1" x14ac:dyDescent="0.2">
      <c r="A153" s="29"/>
      <c r="B153" s="29"/>
      <c r="C153" s="29"/>
      <c r="D153" s="29"/>
      <c r="E153" s="29"/>
      <c r="F153" s="29"/>
      <c r="G153" s="29"/>
      <c r="H153" s="31"/>
      <c r="I153" s="29" t="s">
        <v>58</v>
      </c>
    </row>
    <row r="154" spans="1:9" ht="18" customHeight="1" x14ac:dyDescent="0.2">
      <c r="A154" s="29"/>
      <c r="B154" s="29"/>
      <c r="C154" s="29"/>
      <c r="D154" s="29"/>
      <c r="E154" s="29"/>
      <c r="F154" s="29"/>
      <c r="G154" s="29"/>
      <c r="H154" s="31"/>
      <c r="I154" s="29" t="s">
        <v>58</v>
      </c>
    </row>
    <row r="155" spans="1:9" ht="18" customHeight="1" x14ac:dyDescent="0.2">
      <c r="A155" s="29"/>
      <c r="B155" s="29"/>
      <c r="C155" s="29"/>
      <c r="D155" s="29"/>
      <c r="E155" s="29"/>
      <c r="F155" s="29"/>
      <c r="G155" s="29"/>
      <c r="H155" s="31"/>
      <c r="I155" s="29" t="s">
        <v>58</v>
      </c>
    </row>
    <row r="156" spans="1:9" ht="18" customHeight="1" x14ac:dyDescent="0.2">
      <c r="A156" s="29"/>
      <c r="B156" s="29"/>
      <c r="C156" s="29"/>
      <c r="D156" s="29"/>
      <c r="E156" s="29"/>
      <c r="F156" s="29"/>
      <c r="G156" s="29"/>
      <c r="H156" s="31"/>
      <c r="I156" s="29" t="s">
        <v>58</v>
      </c>
    </row>
    <row r="157" spans="1:9" ht="18" customHeight="1" x14ac:dyDescent="0.2">
      <c r="A157" s="29"/>
      <c r="B157" s="29"/>
      <c r="C157" s="29"/>
      <c r="D157" s="29"/>
      <c r="E157" s="29"/>
      <c r="F157" s="29"/>
      <c r="G157" s="29"/>
      <c r="H157" s="31"/>
      <c r="I157" s="29" t="s">
        <v>58</v>
      </c>
    </row>
    <row r="158" spans="1:9" ht="18" customHeight="1" x14ac:dyDescent="0.2">
      <c r="A158" s="29"/>
      <c r="B158" s="29"/>
      <c r="C158" s="29"/>
      <c r="D158" s="29"/>
      <c r="E158" s="29"/>
      <c r="F158" s="29"/>
      <c r="G158" s="29"/>
      <c r="H158" s="31"/>
      <c r="I158" s="29" t="s">
        <v>58</v>
      </c>
    </row>
    <row r="159" spans="1:9" ht="18" customHeight="1" x14ac:dyDescent="0.2">
      <c r="A159" s="29"/>
      <c r="B159" s="29"/>
      <c r="C159" s="29"/>
      <c r="D159" s="29"/>
      <c r="E159" s="29"/>
      <c r="F159" s="29"/>
      <c r="G159" s="29"/>
      <c r="H159" s="31"/>
      <c r="I159" s="29" t="s">
        <v>58</v>
      </c>
    </row>
    <row r="160" spans="1:9" ht="18" customHeight="1" x14ac:dyDescent="0.2">
      <c r="A160" s="29"/>
      <c r="B160" s="29"/>
      <c r="C160" s="29"/>
      <c r="D160" s="29"/>
      <c r="E160" s="29"/>
      <c r="F160" s="29"/>
      <c r="G160" s="29"/>
      <c r="H160" s="31"/>
      <c r="I160" s="29" t="s">
        <v>58</v>
      </c>
    </row>
    <row r="161" spans="1:9" ht="18" customHeight="1" x14ac:dyDescent="0.2">
      <c r="A161" s="29"/>
      <c r="B161" s="29"/>
      <c r="C161" s="29"/>
      <c r="D161" s="29"/>
      <c r="E161" s="29"/>
      <c r="F161" s="29"/>
      <c r="G161" s="29"/>
      <c r="H161" s="31"/>
      <c r="I161" s="29" t="s">
        <v>58</v>
      </c>
    </row>
    <row r="162" spans="1:9" ht="18" customHeight="1" x14ac:dyDescent="0.2">
      <c r="A162" s="29"/>
      <c r="B162" s="29"/>
      <c r="C162" s="29"/>
      <c r="D162" s="29"/>
      <c r="E162" s="29"/>
      <c r="F162" s="29"/>
      <c r="G162" s="29"/>
      <c r="H162" s="31"/>
      <c r="I162" s="29" t="s">
        <v>58</v>
      </c>
    </row>
    <row r="163" spans="1:9" ht="18" customHeight="1" x14ac:dyDescent="0.2">
      <c r="A163" s="29"/>
      <c r="B163" s="29"/>
      <c r="C163" s="29"/>
      <c r="D163" s="29"/>
      <c r="E163" s="29"/>
      <c r="F163" s="29"/>
      <c r="G163" s="29"/>
      <c r="H163" s="31"/>
      <c r="I163" s="29" t="s">
        <v>58</v>
      </c>
    </row>
    <row r="164" spans="1:9" ht="18" customHeight="1" x14ac:dyDescent="0.2">
      <c r="A164" s="29"/>
      <c r="B164" s="29"/>
      <c r="C164" s="29"/>
      <c r="D164" s="29"/>
      <c r="E164" s="29"/>
      <c r="F164" s="29"/>
      <c r="G164" s="29"/>
      <c r="H164" s="31"/>
      <c r="I164" s="29" t="s">
        <v>58</v>
      </c>
    </row>
    <row r="165" spans="1:9" ht="18" customHeight="1" x14ac:dyDescent="0.2">
      <c r="A165" s="29"/>
      <c r="B165" s="29"/>
      <c r="C165" s="29"/>
      <c r="D165" s="29"/>
      <c r="E165" s="29"/>
      <c r="F165" s="29"/>
      <c r="G165" s="29"/>
      <c r="H165" s="31"/>
      <c r="I165" s="29" t="s">
        <v>58</v>
      </c>
    </row>
    <row r="166" spans="1:9" ht="18" customHeight="1" x14ac:dyDescent="0.2">
      <c r="A166" s="29"/>
      <c r="B166" s="29"/>
      <c r="C166" s="29"/>
      <c r="D166" s="29"/>
      <c r="E166" s="29"/>
      <c r="F166" s="29"/>
      <c r="G166" s="29"/>
      <c r="H166" s="31"/>
      <c r="I166" s="29" t="s">
        <v>58</v>
      </c>
    </row>
    <row r="167" spans="1:9" ht="18" customHeight="1" x14ac:dyDescent="0.2">
      <c r="A167" s="29"/>
      <c r="B167" s="29"/>
      <c r="C167" s="29"/>
      <c r="D167" s="29"/>
      <c r="E167" s="29"/>
      <c r="F167" s="29"/>
      <c r="G167" s="29"/>
      <c r="H167" s="31"/>
      <c r="I167" s="29" t="s">
        <v>58</v>
      </c>
    </row>
    <row r="168" spans="1:9" ht="18" customHeight="1" x14ac:dyDescent="0.2">
      <c r="A168" s="29"/>
      <c r="B168" s="29"/>
      <c r="C168" s="29"/>
      <c r="D168" s="29"/>
      <c r="E168" s="29"/>
      <c r="F168" s="29"/>
      <c r="G168" s="29"/>
      <c r="H168" s="31"/>
      <c r="I168" s="29" t="s">
        <v>58</v>
      </c>
    </row>
    <row r="169" spans="1:9" ht="18" customHeight="1" x14ac:dyDescent="0.2">
      <c r="A169" s="29"/>
      <c r="B169" s="29"/>
      <c r="C169" s="29"/>
      <c r="D169" s="29"/>
      <c r="E169" s="29"/>
      <c r="F169" s="29"/>
      <c r="G169" s="29"/>
      <c r="H169" s="31"/>
      <c r="I169" s="29" t="s">
        <v>58</v>
      </c>
    </row>
    <row r="170" spans="1:9" ht="18" customHeight="1" x14ac:dyDescent="0.2">
      <c r="A170" s="29"/>
      <c r="B170" s="29"/>
      <c r="C170" s="29"/>
      <c r="D170" s="29"/>
      <c r="E170" s="29"/>
      <c r="F170" s="29"/>
      <c r="G170" s="29"/>
      <c r="H170" s="31"/>
      <c r="I170" s="29" t="s">
        <v>58</v>
      </c>
    </row>
    <row r="171" spans="1:9" ht="18" customHeight="1" x14ac:dyDescent="0.2">
      <c r="A171" s="29"/>
      <c r="B171" s="29"/>
      <c r="C171" s="29"/>
      <c r="D171" s="29"/>
      <c r="E171" s="29"/>
      <c r="F171" s="29"/>
      <c r="G171" s="29"/>
      <c r="H171" s="31"/>
      <c r="I171" s="29" t="s">
        <v>58</v>
      </c>
    </row>
    <row r="172" spans="1:9" ht="18" customHeight="1" x14ac:dyDescent="0.2">
      <c r="A172" s="29"/>
      <c r="B172" s="29"/>
      <c r="C172" s="29"/>
      <c r="D172" s="29"/>
      <c r="E172" s="29"/>
      <c r="F172" s="29"/>
      <c r="G172" s="29"/>
      <c r="H172" s="31"/>
      <c r="I172" s="29" t="s">
        <v>58</v>
      </c>
    </row>
    <row r="173" spans="1:9" ht="18" customHeight="1" x14ac:dyDescent="0.2">
      <c r="A173" s="29"/>
      <c r="B173" s="29"/>
      <c r="C173" s="29"/>
      <c r="D173" s="29"/>
      <c r="E173" s="29"/>
      <c r="F173" s="29"/>
      <c r="G173" s="29"/>
      <c r="H173" s="31"/>
      <c r="I173" s="29" t="s">
        <v>58</v>
      </c>
    </row>
    <row r="174" spans="1:9" ht="18" customHeight="1" x14ac:dyDescent="0.2">
      <c r="A174" s="29"/>
      <c r="B174" s="29"/>
      <c r="C174" s="29"/>
      <c r="D174" s="29"/>
      <c r="E174" s="29"/>
      <c r="F174" s="29"/>
      <c r="G174" s="29"/>
      <c r="H174" s="31"/>
      <c r="I174" s="29" t="s">
        <v>58</v>
      </c>
    </row>
    <row r="175" spans="1:9" ht="18" customHeight="1" x14ac:dyDescent="0.2">
      <c r="A175" s="29"/>
      <c r="B175" s="29"/>
      <c r="C175" s="29"/>
      <c r="D175" s="29"/>
      <c r="E175" s="29"/>
      <c r="F175" s="29"/>
      <c r="G175" s="29"/>
      <c r="H175" s="31"/>
      <c r="I175" s="29" t="s">
        <v>58</v>
      </c>
    </row>
    <row r="176" spans="1:9" ht="18" customHeight="1" x14ac:dyDescent="0.2">
      <c r="A176" s="29"/>
      <c r="B176" s="29"/>
      <c r="C176" s="29"/>
      <c r="D176" s="29"/>
      <c r="E176" s="29"/>
      <c r="F176" s="29"/>
      <c r="G176" s="29"/>
      <c r="H176" s="31"/>
      <c r="I176" s="29" t="s">
        <v>58</v>
      </c>
    </row>
    <row r="177" spans="1:9" ht="18" customHeight="1" x14ac:dyDescent="0.2">
      <c r="A177" s="29"/>
      <c r="B177" s="29"/>
      <c r="C177" s="29"/>
      <c r="D177" s="29"/>
      <c r="E177" s="29"/>
      <c r="F177" s="29"/>
      <c r="G177" s="29"/>
      <c r="H177" s="31"/>
      <c r="I177" s="29" t="s">
        <v>58</v>
      </c>
    </row>
    <row r="178" spans="1:9" ht="18" customHeight="1" x14ac:dyDescent="0.2">
      <c r="A178" s="29"/>
      <c r="B178" s="29"/>
      <c r="C178" s="29"/>
      <c r="D178" s="29"/>
      <c r="E178" s="29"/>
      <c r="F178" s="29"/>
      <c r="G178" s="29"/>
      <c r="H178" s="31"/>
      <c r="I178" s="29" t="s">
        <v>58</v>
      </c>
    </row>
    <row r="179" spans="1:9" ht="18" customHeight="1" x14ac:dyDescent="0.2">
      <c r="A179" s="29"/>
      <c r="B179" s="29"/>
      <c r="C179" s="29"/>
      <c r="D179" s="29"/>
      <c r="E179" s="29"/>
      <c r="F179" s="29"/>
      <c r="G179" s="29"/>
      <c r="H179" s="31"/>
      <c r="I179" s="29" t="s">
        <v>58</v>
      </c>
    </row>
    <row r="180" spans="1:9" ht="18" customHeight="1" x14ac:dyDescent="0.2">
      <c r="A180" s="29"/>
      <c r="B180" s="29"/>
      <c r="C180" s="29"/>
      <c r="D180" s="29"/>
      <c r="E180" s="29"/>
      <c r="F180" s="29"/>
      <c r="G180" s="29"/>
      <c r="H180" s="31"/>
      <c r="I180" s="29" t="s">
        <v>58</v>
      </c>
    </row>
    <row r="181" spans="1:9" ht="18" customHeight="1" x14ac:dyDescent="0.2">
      <c r="A181" s="29"/>
      <c r="B181" s="29"/>
      <c r="C181" s="29"/>
      <c r="D181" s="29"/>
      <c r="E181" s="29"/>
      <c r="F181" s="29"/>
      <c r="G181" s="29"/>
      <c r="H181" s="31"/>
      <c r="I181" s="29" t="s">
        <v>58</v>
      </c>
    </row>
    <row r="182" spans="1:9" ht="18" customHeight="1" x14ac:dyDescent="0.2">
      <c r="A182" s="29"/>
      <c r="B182" s="29"/>
      <c r="C182" s="29"/>
      <c r="D182" s="29"/>
      <c r="E182" s="29"/>
      <c r="F182" s="29"/>
      <c r="G182" s="29"/>
      <c r="H182" s="31"/>
      <c r="I182" s="29" t="s">
        <v>58</v>
      </c>
    </row>
    <row r="183" spans="1:9" ht="18" customHeight="1" x14ac:dyDescent="0.2">
      <c r="A183" s="29"/>
      <c r="B183" s="29"/>
      <c r="C183" s="29"/>
      <c r="D183" s="29"/>
      <c r="E183" s="29"/>
      <c r="F183" s="29"/>
      <c r="G183" s="29"/>
      <c r="H183" s="31"/>
      <c r="I183" s="29" t="s">
        <v>58</v>
      </c>
    </row>
    <row r="184" spans="1:9" ht="18" customHeight="1" x14ac:dyDescent="0.2">
      <c r="A184" s="29"/>
      <c r="B184" s="29"/>
      <c r="C184" s="29"/>
      <c r="D184" s="29"/>
      <c r="E184" s="29"/>
      <c r="F184" s="29"/>
      <c r="G184" s="29"/>
      <c r="H184" s="31"/>
      <c r="I184" s="29" t="s">
        <v>58</v>
      </c>
    </row>
    <row r="185" spans="1:9" ht="18" customHeight="1" x14ac:dyDescent="0.2">
      <c r="A185" s="29"/>
      <c r="B185" s="29"/>
      <c r="C185" s="29"/>
      <c r="D185" s="29"/>
      <c r="E185" s="29"/>
      <c r="F185" s="29"/>
      <c r="G185" s="29"/>
      <c r="H185" s="31"/>
      <c r="I185" s="29" t="s">
        <v>58</v>
      </c>
    </row>
    <row r="186" spans="1:9" ht="18" customHeight="1" x14ac:dyDescent="0.2">
      <c r="A186" s="29"/>
      <c r="B186" s="29"/>
      <c r="C186" s="29"/>
      <c r="D186" s="29"/>
      <c r="E186" s="29"/>
      <c r="F186" s="29"/>
      <c r="G186" s="29"/>
      <c r="H186" s="31"/>
      <c r="I186" s="29" t="s">
        <v>58</v>
      </c>
    </row>
    <row r="187" spans="1:9" ht="18" customHeight="1" x14ac:dyDescent="0.2">
      <c r="A187" s="29"/>
      <c r="B187" s="29"/>
      <c r="C187" s="29"/>
      <c r="D187" s="29"/>
      <c r="E187" s="29"/>
      <c r="F187" s="29"/>
      <c r="G187" s="29"/>
      <c r="H187" s="31"/>
      <c r="I187" s="29" t="s">
        <v>58</v>
      </c>
    </row>
    <row r="188" spans="1:9" ht="18" customHeight="1" x14ac:dyDescent="0.2">
      <c r="A188" s="29"/>
      <c r="B188" s="29"/>
      <c r="C188" s="29"/>
      <c r="D188" s="29"/>
      <c r="E188" s="29"/>
      <c r="F188" s="29"/>
      <c r="G188" s="29"/>
      <c r="H188" s="31"/>
      <c r="I188" s="29" t="s">
        <v>58</v>
      </c>
    </row>
    <row r="189" spans="1:9" ht="18" customHeight="1" x14ac:dyDescent="0.2">
      <c r="A189" s="29"/>
      <c r="B189" s="29"/>
      <c r="C189" s="29"/>
      <c r="D189" s="29"/>
      <c r="E189" s="29"/>
      <c r="F189" s="29"/>
      <c r="G189" s="29"/>
      <c r="H189" s="31"/>
      <c r="I189" s="29" t="s">
        <v>58</v>
      </c>
    </row>
    <row r="190" spans="1:9" ht="18" customHeight="1" x14ac:dyDescent="0.2">
      <c r="A190" s="29"/>
      <c r="B190" s="29"/>
      <c r="C190" s="29"/>
      <c r="D190" s="29"/>
      <c r="E190" s="29"/>
      <c r="F190" s="29"/>
      <c r="G190" s="29"/>
      <c r="H190" s="31"/>
      <c r="I190" s="29" t="s">
        <v>58</v>
      </c>
    </row>
    <row r="191" spans="1:9" ht="18" customHeight="1" x14ac:dyDescent="0.2">
      <c r="A191" s="29"/>
      <c r="B191" s="29"/>
      <c r="C191" s="29"/>
      <c r="D191" s="29"/>
      <c r="E191" s="29"/>
      <c r="F191" s="29"/>
      <c r="G191" s="29"/>
      <c r="H191" s="31"/>
      <c r="I191" s="29" t="s">
        <v>58</v>
      </c>
    </row>
    <row r="192" spans="1:9" ht="18" customHeight="1" x14ac:dyDescent="0.2">
      <c r="A192" s="29"/>
      <c r="B192" s="29"/>
      <c r="C192" s="29"/>
      <c r="D192" s="29"/>
      <c r="E192" s="29"/>
      <c r="F192" s="29"/>
      <c r="G192" s="29"/>
      <c r="H192" s="31"/>
      <c r="I192" s="29" t="s">
        <v>58</v>
      </c>
    </row>
    <row r="193" spans="1:9" ht="18" customHeight="1" x14ac:dyDescent="0.2">
      <c r="A193" s="29"/>
      <c r="B193" s="29"/>
      <c r="C193" s="29"/>
      <c r="D193" s="29"/>
      <c r="E193" s="29"/>
      <c r="F193" s="29"/>
      <c r="G193" s="29"/>
      <c r="H193" s="31"/>
      <c r="I193" s="29" t="s">
        <v>58</v>
      </c>
    </row>
    <row r="194" spans="1:9" ht="18" customHeight="1" x14ac:dyDescent="0.2">
      <c r="A194" s="29"/>
      <c r="B194" s="29"/>
      <c r="C194" s="29"/>
      <c r="D194" s="29"/>
      <c r="E194" s="29"/>
      <c r="F194" s="29"/>
      <c r="G194" s="29"/>
      <c r="H194" s="31"/>
      <c r="I194" s="29" t="s">
        <v>58</v>
      </c>
    </row>
    <row r="195" spans="1:9" ht="18" customHeight="1" x14ac:dyDescent="0.2">
      <c r="A195" s="29"/>
      <c r="B195" s="29"/>
      <c r="C195" s="29"/>
      <c r="D195" s="29"/>
      <c r="E195" s="29"/>
      <c r="F195" s="29"/>
      <c r="G195" s="29"/>
      <c r="H195" s="31"/>
      <c r="I195" s="29" t="s">
        <v>58</v>
      </c>
    </row>
    <row r="196" spans="1:9" ht="18" customHeight="1" x14ac:dyDescent="0.2">
      <c r="A196" s="29"/>
      <c r="B196" s="29"/>
      <c r="C196" s="29"/>
      <c r="D196" s="29"/>
      <c r="E196" s="29"/>
      <c r="F196" s="29"/>
      <c r="G196" s="29"/>
      <c r="H196" s="31"/>
      <c r="I196" s="29" t="s">
        <v>58</v>
      </c>
    </row>
    <row r="197" spans="1:9" ht="18" customHeight="1" x14ac:dyDescent="0.2">
      <c r="A197" s="29"/>
      <c r="B197" s="29"/>
      <c r="C197" s="29"/>
      <c r="D197" s="29"/>
      <c r="E197" s="29"/>
      <c r="F197" s="29"/>
      <c r="G197" s="29"/>
      <c r="H197" s="31"/>
      <c r="I197" s="29" t="s">
        <v>58</v>
      </c>
    </row>
    <row r="198" spans="1:9" ht="18" customHeight="1" x14ac:dyDescent="0.2">
      <c r="A198" s="29"/>
      <c r="B198" s="29"/>
      <c r="C198" s="29"/>
      <c r="D198" s="29"/>
      <c r="E198" s="29"/>
      <c r="F198" s="29"/>
      <c r="G198" s="29"/>
      <c r="H198" s="31"/>
      <c r="I198" s="29" t="s">
        <v>58</v>
      </c>
    </row>
    <row r="199" spans="1:9" ht="18" customHeight="1" x14ac:dyDescent="0.2">
      <c r="A199" s="29"/>
      <c r="B199" s="29"/>
      <c r="C199" s="29"/>
      <c r="D199" s="29"/>
      <c r="E199" s="29"/>
      <c r="F199" s="29"/>
      <c r="G199" s="29"/>
      <c r="H199" s="31"/>
      <c r="I199" s="29" t="s">
        <v>58</v>
      </c>
    </row>
    <row r="200" spans="1:9" ht="18" customHeight="1" x14ac:dyDescent="0.2">
      <c r="A200" s="29"/>
      <c r="B200" s="29"/>
      <c r="C200" s="29"/>
      <c r="D200" s="29"/>
      <c r="E200" s="29"/>
      <c r="F200" s="29"/>
      <c r="G200" s="29"/>
      <c r="H200" s="31"/>
      <c r="I200" s="29" t="s">
        <v>58</v>
      </c>
    </row>
    <row r="201" spans="1:9" ht="18" customHeight="1" x14ac:dyDescent="0.2">
      <c r="A201" s="29"/>
      <c r="B201" s="29"/>
      <c r="C201" s="29"/>
      <c r="D201" s="29"/>
      <c r="E201" s="29"/>
      <c r="F201" s="29"/>
      <c r="G201" s="29"/>
      <c r="H201" s="31"/>
      <c r="I201" s="29" t="s">
        <v>58</v>
      </c>
    </row>
    <row r="202" spans="1:9" ht="18" customHeight="1" x14ac:dyDescent="0.2">
      <c r="A202" s="29"/>
      <c r="B202" s="29"/>
      <c r="C202" s="29"/>
      <c r="D202" s="29"/>
      <c r="E202" s="29"/>
      <c r="F202" s="29"/>
      <c r="G202" s="29"/>
      <c r="H202" s="31"/>
      <c r="I202" s="29" t="s">
        <v>58</v>
      </c>
    </row>
    <row r="203" spans="1:9" ht="18" customHeight="1" x14ac:dyDescent="0.2">
      <c r="A203" s="29"/>
      <c r="B203" s="29"/>
      <c r="C203" s="29"/>
      <c r="D203" s="29"/>
      <c r="E203" s="29"/>
      <c r="F203" s="29"/>
      <c r="G203" s="29"/>
      <c r="H203" s="31"/>
      <c r="I203" s="29" t="s">
        <v>58</v>
      </c>
    </row>
    <row r="204" spans="1:9" ht="18" customHeight="1" x14ac:dyDescent="0.2">
      <c r="A204" s="29"/>
      <c r="B204" s="29"/>
      <c r="C204" s="29"/>
      <c r="D204" s="29"/>
      <c r="E204" s="29"/>
      <c r="F204" s="29"/>
      <c r="G204" s="29"/>
      <c r="H204" s="31"/>
      <c r="I204" s="29" t="s">
        <v>58</v>
      </c>
    </row>
  </sheetData>
  <mergeCells count="7">
    <mergeCell ref="L1:N1"/>
    <mergeCell ref="A2:I2"/>
    <mergeCell ref="L5:N5"/>
    <mergeCell ref="A1:I1"/>
    <mergeCell ref="A3:I3"/>
    <mergeCell ref="L2:N2"/>
    <mergeCell ref="L3:N3"/>
  </mergeCells>
  <dataValidations count="1">
    <dataValidation type="list" showInputMessage="1" showErrorMessage="1" errorTitle="Invalid entry" error="Please select Active or Inactive from the dropdown." promptTitle="Team Status" prompt="Select Active or Inactive." sqref="I5:I204" xr:uid="{00000000-0002-0000-0100-000000000000}">
      <formula1>"Active,Inactive"</formula1>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3A2A"/>
  </sheetPr>
  <dimension ref="A1:F26"/>
  <sheetViews>
    <sheetView showGridLines="0" zoomScaleNormal="100" workbookViewId="0"/>
  </sheetViews>
  <sheetFormatPr baseColWidth="10" defaultColWidth="8.6640625" defaultRowHeight="15" customHeight="1" x14ac:dyDescent="0.2"/>
  <cols>
    <col min="1" max="1" width="32" style="1" customWidth="1"/>
    <col min="2" max="2" width="14" style="1" customWidth="1"/>
    <col min="3" max="3" width="20" style="1" customWidth="1"/>
    <col min="4" max="4" width="12" style="1" customWidth="1"/>
    <col min="5" max="6" width="42" style="1" customWidth="1"/>
  </cols>
  <sheetData>
    <row r="1" spans="1:6" ht="36" customHeight="1" x14ac:dyDescent="0.2">
      <c r="A1" s="121" t="s">
        <v>218</v>
      </c>
      <c r="B1" s="122"/>
      <c r="C1" s="122"/>
      <c r="D1" s="122"/>
      <c r="E1" s="122"/>
      <c r="F1" s="122"/>
    </row>
    <row r="2" spans="1:6" ht="30" customHeight="1" x14ac:dyDescent="0.2">
      <c r="A2" s="140" t="s">
        <v>219</v>
      </c>
      <c r="B2" s="122"/>
      <c r="C2" s="122"/>
      <c r="D2" s="122"/>
      <c r="E2" s="122"/>
      <c r="F2" s="122"/>
    </row>
    <row r="4" spans="1:6" ht="25.5" customHeight="1" x14ac:dyDescent="0.2">
      <c r="A4" s="125" t="s">
        <v>220</v>
      </c>
      <c r="B4" s="122"/>
      <c r="C4" s="122"/>
      <c r="D4" s="122"/>
      <c r="E4" s="122"/>
      <c r="F4" s="122"/>
    </row>
    <row r="5" spans="1:6" ht="30" customHeight="1" x14ac:dyDescent="0.15">
      <c r="A5" s="5" t="s">
        <v>24</v>
      </c>
      <c r="B5" s="5" t="s">
        <v>26</v>
      </c>
      <c r="C5" s="5" t="s">
        <v>221</v>
      </c>
      <c r="D5" s="5" t="s">
        <v>222</v>
      </c>
      <c r="E5" s="5" t="s">
        <v>223</v>
      </c>
      <c r="F5" s="5" t="s">
        <v>224</v>
      </c>
    </row>
    <row r="6" spans="1:6" ht="27.75" customHeight="1" x14ac:dyDescent="0.15">
      <c r="A6" s="32" t="s">
        <v>225</v>
      </c>
      <c r="B6" s="10" t="s">
        <v>226</v>
      </c>
      <c r="C6" s="10" t="s">
        <v>227</v>
      </c>
      <c r="D6" s="33">
        <v>18</v>
      </c>
      <c r="E6" s="11" t="s">
        <v>228</v>
      </c>
      <c r="F6" s="11" t="s">
        <v>229</v>
      </c>
    </row>
    <row r="7" spans="1:6" ht="27.75" customHeight="1" x14ac:dyDescent="0.15">
      <c r="A7" s="34" t="s">
        <v>230</v>
      </c>
      <c r="B7" s="6" t="s">
        <v>231</v>
      </c>
      <c r="C7" s="6" t="s">
        <v>232</v>
      </c>
      <c r="D7" s="33">
        <v>6</v>
      </c>
      <c r="E7" s="7" t="s">
        <v>233</v>
      </c>
      <c r="F7" s="7" t="s">
        <v>234</v>
      </c>
    </row>
    <row r="8" spans="1:6" ht="27.75" customHeight="1" x14ac:dyDescent="0.15">
      <c r="A8" s="32" t="s">
        <v>235</v>
      </c>
      <c r="B8" s="10" t="s">
        <v>231</v>
      </c>
      <c r="C8" s="10" t="s">
        <v>236</v>
      </c>
      <c r="D8" s="33">
        <v>0</v>
      </c>
      <c r="E8" s="11" t="s">
        <v>237</v>
      </c>
      <c r="F8" s="11" t="s">
        <v>238</v>
      </c>
    </row>
    <row r="9" spans="1:6" ht="27.75" customHeight="1" x14ac:dyDescent="0.15">
      <c r="A9" s="34" t="s">
        <v>239</v>
      </c>
      <c r="B9" s="6" t="s">
        <v>231</v>
      </c>
      <c r="C9" s="6" t="s">
        <v>240</v>
      </c>
      <c r="D9" s="35">
        <v>0</v>
      </c>
      <c r="E9" s="7" t="s">
        <v>241</v>
      </c>
      <c r="F9" s="7" t="s">
        <v>242</v>
      </c>
    </row>
    <row r="10" spans="1:6" ht="27.75" customHeight="1" x14ac:dyDescent="0.15">
      <c r="A10" s="32" t="s">
        <v>243</v>
      </c>
      <c r="B10" s="10" t="s">
        <v>244</v>
      </c>
      <c r="C10" s="10" t="s">
        <v>245</v>
      </c>
      <c r="D10" s="33">
        <v>8</v>
      </c>
      <c r="E10" s="11" t="s">
        <v>246</v>
      </c>
      <c r="F10" s="11" t="s">
        <v>247</v>
      </c>
    </row>
    <row r="11" spans="1:6" ht="27.75" customHeight="1" x14ac:dyDescent="0.15">
      <c r="A11" s="34"/>
      <c r="B11" s="6"/>
      <c r="C11" s="6"/>
      <c r="D11" s="33">
        <v>0</v>
      </c>
      <c r="E11" s="7"/>
      <c r="F11" s="7"/>
    </row>
    <row r="12" spans="1:6" ht="27.75" customHeight="1" x14ac:dyDescent="0.15">
      <c r="A12" s="32" t="s">
        <v>248</v>
      </c>
      <c r="B12" s="10" t="s">
        <v>249</v>
      </c>
      <c r="C12" s="10" t="s">
        <v>250</v>
      </c>
      <c r="D12" s="33">
        <v>7</v>
      </c>
      <c r="E12" s="11" t="s">
        <v>251</v>
      </c>
      <c r="F12" s="11" t="s">
        <v>252</v>
      </c>
    </row>
    <row r="13" spans="1:6" ht="15" customHeight="1" x14ac:dyDescent="0.2">
      <c r="A13" s="145" t="s">
        <v>253</v>
      </c>
      <c r="B13" s="122"/>
      <c r="C13" s="122"/>
      <c r="D13" s="108">
        <v>10</v>
      </c>
      <c r="E13" s="108" t="s">
        <v>254</v>
      </c>
      <c r="F13" s="108" t="s">
        <v>255</v>
      </c>
    </row>
    <row r="14" spans="1:6" x14ac:dyDescent="0.2">
      <c r="A14" s="36" t="s">
        <v>256</v>
      </c>
      <c r="B14" s="93"/>
      <c r="C14" s="93"/>
      <c r="D14" s="37">
        <f>D6+D7+D10+D12+D13</f>
        <v>49</v>
      </c>
      <c r="E14" s="38"/>
      <c r="F14" s="38"/>
    </row>
    <row r="15" spans="1:6" ht="25.5" customHeight="1" x14ac:dyDescent="0.2">
      <c r="A15" s="146" t="s">
        <v>257</v>
      </c>
      <c r="B15" s="122"/>
      <c r="C15" s="122"/>
      <c r="D15" s="122"/>
      <c r="E15" s="122"/>
      <c r="F15" s="122"/>
    </row>
    <row r="16" spans="1:6" ht="30" customHeight="1" x14ac:dyDescent="0.2">
      <c r="A16" s="3" t="s">
        <v>258</v>
      </c>
    </row>
    <row r="17" spans="1:6" ht="25.5" customHeight="1" x14ac:dyDescent="0.15">
      <c r="A17" s="5" t="s">
        <v>259</v>
      </c>
      <c r="B17" s="5" t="s">
        <v>260</v>
      </c>
      <c r="C17" s="5" t="s">
        <v>15</v>
      </c>
      <c r="D17" s="5" t="s">
        <v>261</v>
      </c>
      <c r="E17" s="5" t="s">
        <v>262</v>
      </c>
      <c r="F17" s="5" t="s">
        <v>263</v>
      </c>
    </row>
    <row r="18" spans="1:6" ht="25.5" customHeight="1" x14ac:dyDescent="0.15">
      <c r="A18" s="16" t="s">
        <v>264</v>
      </c>
      <c r="B18" s="6" t="s">
        <v>265</v>
      </c>
      <c r="C18" s="39" t="s">
        <v>266</v>
      </c>
      <c r="D18" s="6" t="s">
        <v>267</v>
      </c>
      <c r="E18" s="6" t="s">
        <v>268</v>
      </c>
      <c r="F18" s="7" t="s">
        <v>269</v>
      </c>
    </row>
    <row r="19" spans="1:6" ht="25.5" customHeight="1" x14ac:dyDescent="0.15">
      <c r="A19" s="16" t="s">
        <v>270</v>
      </c>
      <c r="B19" s="6" t="s">
        <v>271</v>
      </c>
      <c r="C19" s="40" t="s">
        <v>272</v>
      </c>
      <c r="D19" s="6" t="s">
        <v>273</v>
      </c>
      <c r="E19" s="6" t="s">
        <v>268</v>
      </c>
      <c r="F19" s="7" t="s">
        <v>274</v>
      </c>
    </row>
    <row r="20" spans="1:6" ht="13" x14ac:dyDescent="0.15">
      <c r="A20" s="16" t="s">
        <v>275</v>
      </c>
      <c r="B20" s="6" t="s">
        <v>276</v>
      </c>
      <c r="C20" s="41" t="s">
        <v>277</v>
      </c>
      <c r="D20" s="6" t="s">
        <v>278</v>
      </c>
      <c r="E20" s="6" t="s">
        <v>279</v>
      </c>
      <c r="F20" s="7" t="s">
        <v>280</v>
      </c>
    </row>
    <row r="21" spans="1:6" ht="30" customHeight="1" x14ac:dyDescent="0.2">
      <c r="A21" s="122"/>
      <c r="B21" s="122"/>
      <c r="C21" s="122"/>
      <c r="D21" s="122"/>
      <c r="E21" s="122"/>
      <c r="F21" s="122"/>
    </row>
    <row r="22" spans="1:6" ht="15" customHeight="1" x14ac:dyDescent="0.15">
      <c r="A22" s="42" t="s">
        <v>281</v>
      </c>
      <c r="B22" s="93"/>
      <c r="C22" s="93"/>
      <c r="D22" s="93"/>
      <c r="E22" s="93"/>
      <c r="F22" s="93"/>
    </row>
    <row r="23" spans="1:6" ht="36" customHeight="1" x14ac:dyDescent="0.2">
      <c r="C23" s="1" t="s">
        <v>282</v>
      </c>
      <c r="D23" s="1">
        <v>2.75</v>
      </c>
    </row>
    <row r="24" spans="1:6" ht="15" customHeight="1" x14ac:dyDescent="0.2">
      <c r="A24" s="43" t="s">
        <v>283</v>
      </c>
      <c r="C24" s="1" t="s">
        <v>284</v>
      </c>
      <c r="D24" s="1">
        <v>3.25</v>
      </c>
    </row>
    <row r="25" spans="1:6" x14ac:dyDescent="0.2">
      <c r="C25" s="44"/>
      <c r="D25" s="45">
        <v>95</v>
      </c>
    </row>
    <row r="26" spans="1:6" x14ac:dyDescent="0.2">
      <c r="A26" t="s">
        <v>285</v>
      </c>
      <c r="C26" t="s">
        <v>286</v>
      </c>
      <c r="D26">
        <v>2</v>
      </c>
      <c r="E26" t="s">
        <v>287</v>
      </c>
    </row>
  </sheetData>
  <mergeCells count="6">
    <mergeCell ref="A2:F2"/>
    <mergeCell ref="A13:C13"/>
    <mergeCell ref="A1:F1"/>
    <mergeCell ref="A4:F4"/>
    <mergeCell ref="A21:F21"/>
    <mergeCell ref="A15:F1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D6A4F"/>
  </sheetPr>
  <dimension ref="A1:AO77"/>
  <sheetViews>
    <sheetView showGridLines="0" zoomScaleNormal="100" workbookViewId="0"/>
  </sheetViews>
  <sheetFormatPr baseColWidth="10" defaultColWidth="8.6640625" defaultRowHeight="15" customHeight="1" x14ac:dyDescent="0.2"/>
  <cols>
    <col min="1" max="1" width="8" style="1" customWidth="1"/>
    <col min="2" max="2" width="28" style="1" customWidth="1"/>
    <col min="3" max="3" width="18" style="1" customWidth="1"/>
    <col min="4" max="4" width="14" style="1" customWidth="1"/>
    <col min="5" max="5" width="14" customWidth="1"/>
    <col min="6" max="6" width="14" style="1" customWidth="1"/>
    <col min="7" max="7" width="14" customWidth="1"/>
    <col min="8" max="8" width="3" style="1" hidden="1" customWidth="1"/>
    <col min="9" max="16" width="3" hidden="1" customWidth="1"/>
    <col min="17" max="17" width="3" style="1" hidden="1" customWidth="1"/>
    <col min="18" max="20" width="3" hidden="1" customWidth="1"/>
    <col min="21" max="22" width="13" customWidth="1"/>
    <col min="23" max="23" width="13" style="1" customWidth="1"/>
    <col min="24" max="24" width="13" customWidth="1"/>
    <col min="25" max="25" width="13" style="1" customWidth="1"/>
    <col min="26" max="26" width="14" style="1" customWidth="1"/>
    <col min="27" max="27" width="10" style="1" customWidth="1"/>
    <col min="28" max="29" width="3" style="1" hidden="1" customWidth="1"/>
    <col min="30" max="31" width="3" hidden="1" customWidth="1"/>
    <col min="32" max="32" width="18" customWidth="1"/>
    <col min="33" max="38" width="3" hidden="1" customWidth="1"/>
    <col min="39" max="39" width="12" customWidth="1"/>
    <col min="40" max="41" width="3" hidden="1" customWidth="1"/>
  </cols>
  <sheetData>
    <row r="1" spans="1:41" ht="36" customHeight="1" x14ac:dyDescent="0.2">
      <c r="A1" s="121" t="s">
        <v>288</v>
      </c>
      <c r="B1" s="122"/>
      <c r="C1" s="122"/>
      <c r="D1" s="122"/>
      <c r="E1" s="146"/>
      <c r="F1" s="122"/>
      <c r="G1" s="146"/>
      <c r="H1" s="122"/>
      <c r="I1" s="146"/>
      <c r="J1" s="146"/>
      <c r="K1" s="146"/>
      <c r="L1" s="146"/>
      <c r="M1" s="146"/>
      <c r="N1" s="146"/>
      <c r="O1" s="146"/>
      <c r="P1" s="146"/>
      <c r="Q1" s="122"/>
      <c r="R1" s="146"/>
      <c r="S1" s="146"/>
      <c r="T1" s="146"/>
      <c r="U1" s="146"/>
      <c r="V1" s="146"/>
      <c r="W1" s="122"/>
      <c r="X1" s="146"/>
      <c r="Y1" s="122"/>
      <c r="Z1" s="122"/>
      <c r="AA1" s="122"/>
      <c r="AB1" s="122"/>
      <c r="AC1" s="122"/>
      <c r="AD1" s="146"/>
    </row>
    <row r="2" spans="1:41" ht="30" customHeight="1" x14ac:dyDescent="0.2">
      <c r="A2" s="140" t="s">
        <v>289</v>
      </c>
      <c r="B2" s="122"/>
      <c r="C2" s="122"/>
      <c r="D2" s="122"/>
      <c r="E2" s="146"/>
      <c r="F2" s="122"/>
      <c r="G2" s="146"/>
      <c r="H2" s="122"/>
      <c r="I2" s="146"/>
      <c r="J2" s="146"/>
      <c r="K2" s="146"/>
      <c r="L2" s="146"/>
      <c r="M2" s="146"/>
      <c r="N2" s="146"/>
      <c r="O2" s="146"/>
      <c r="P2" s="146"/>
      <c r="Q2" s="122"/>
      <c r="R2" s="146"/>
      <c r="S2" s="146"/>
      <c r="T2" s="146"/>
      <c r="U2" s="146"/>
      <c r="V2" s="146"/>
      <c r="W2" s="122"/>
      <c r="X2" s="146"/>
      <c r="Y2" s="122"/>
      <c r="Z2" s="122"/>
      <c r="AA2" s="122"/>
      <c r="AB2" s="122"/>
      <c r="AC2" s="122"/>
      <c r="AD2" s="146"/>
    </row>
    <row r="3" spans="1:41" ht="42" customHeight="1" x14ac:dyDescent="0.2">
      <c r="A3" s="5" t="s">
        <v>44</v>
      </c>
      <c r="B3" s="5" t="s">
        <v>290</v>
      </c>
      <c r="C3" s="5" t="s">
        <v>12</v>
      </c>
      <c r="D3" s="5" t="s">
        <v>46</v>
      </c>
      <c r="E3" s="5" t="s">
        <v>13</v>
      </c>
      <c r="F3" s="5" t="s">
        <v>47</v>
      </c>
      <c r="G3" s="5" t="s">
        <v>48</v>
      </c>
      <c r="H3" s="5" t="s">
        <v>291</v>
      </c>
      <c r="I3" s="5" t="s">
        <v>292</v>
      </c>
      <c r="J3" s="5" t="s">
        <v>293</v>
      </c>
      <c r="K3" s="5" t="s">
        <v>294</v>
      </c>
      <c r="L3" s="5" t="s">
        <v>295</v>
      </c>
      <c r="M3" s="5" t="s">
        <v>296</v>
      </c>
      <c r="N3" s="5" t="s">
        <v>297</v>
      </c>
      <c r="O3" s="5" t="s">
        <v>298</v>
      </c>
      <c r="P3" s="5" t="s">
        <v>299</v>
      </c>
      <c r="Q3" s="5" t="s">
        <v>300</v>
      </c>
      <c r="R3" s="5" t="s">
        <v>301</v>
      </c>
      <c r="S3" s="46" t="s">
        <v>302</v>
      </c>
      <c r="T3" s="5" t="s">
        <v>303</v>
      </c>
      <c r="U3" s="109" t="s">
        <v>304</v>
      </c>
      <c r="V3" s="109" t="s">
        <v>305</v>
      </c>
      <c r="W3" s="109" t="s">
        <v>306</v>
      </c>
      <c r="X3" s="109" t="s">
        <v>307</v>
      </c>
      <c r="Y3" s="109" t="s">
        <v>308</v>
      </c>
      <c r="Z3" s="110" t="s">
        <v>309</v>
      </c>
      <c r="AA3" s="5" t="s">
        <v>15</v>
      </c>
      <c r="AB3" s="5" t="s">
        <v>310</v>
      </c>
      <c r="AC3" s="5" t="s">
        <v>311</v>
      </c>
      <c r="AD3" s="5" t="s">
        <v>312</v>
      </c>
      <c r="AE3" s="5" t="s">
        <v>313</v>
      </c>
      <c r="AF3" s="5" t="s">
        <v>314</v>
      </c>
      <c r="AG3" s="104" t="s">
        <v>315</v>
      </c>
      <c r="AH3" s="47" t="s">
        <v>316</v>
      </c>
      <c r="AI3" s="48" t="s">
        <v>21</v>
      </c>
      <c r="AJ3" s="105" t="s">
        <v>317</v>
      </c>
      <c r="AK3" s="106" t="s">
        <v>318</v>
      </c>
      <c r="AL3" s="106" t="s">
        <v>319</v>
      </c>
      <c r="AM3" t="s">
        <v>320</v>
      </c>
      <c r="AN3" s="111" t="s">
        <v>321</v>
      </c>
      <c r="AO3" s="111" t="s">
        <v>322</v>
      </c>
    </row>
    <row r="4" spans="1:41" ht="19.5" customHeight="1" x14ac:dyDescent="0.15">
      <c r="A4" s="10" t="str">
        <f>'Field Teams'!A5</f>
        <v>FT-001</v>
      </c>
      <c r="B4" s="30" t="str">
        <f>'Field Teams'!B5</f>
        <v>Kingfisher Tree Services Ltd</v>
      </c>
      <c r="C4" s="30" t="str">
        <f>'Field Teams'!C5</f>
        <v>ESB - Utility Arboriculture</v>
      </c>
      <c r="D4" s="10" t="str">
        <f>'Field Teams'!D5</f>
        <v>Donovan  Gosher</v>
      </c>
      <c r="E4" s="10" t="str">
        <f>'Field Teams'!E5</f>
        <v>Jake Bolwell</v>
      </c>
      <c r="F4" s="10">
        <f>'Field Teams'!F5</f>
        <v>0</v>
      </c>
      <c r="G4" s="10">
        <f>'Field Teams'!G5</f>
        <v>0</v>
      </c>
      <c r="H4" s="31">
        <f>'Field Teams'!H5</f>
        <v>7</v>
      </c>
      <c r="I4" s="31">
        <f t="shared" ref="I4:I35" si="0">H4*2</f>
        <v>14</v>
      </c>
      <c r="J4" s="31">
        <f>IFERROR(SUMPRODUCT((((ISNUMBER(SEARCH(B4,'Data - HSQE Events'!V$6:V$3000))+ISNUMBER(SEARCH(B4,'Data - HSQE Events'!H$6:H$3000)))&gt;0))*('Data - HSQE Events'!F$6:F$3000&gt;=$AG$3)*('Data - HSQE Events'!F$6:F$3000&lt;=$AJ$3)*('Data - HSQE Events'!R$6:R$3000="Opportunity")),0)</f>
        <v>0</v>
      </c>
      <c r="K4" s="31">
        <f>IFERROR(SUMPRODUCT((((ISNUMBER(SEARCH(B4,'Data - HSQE Events'!V$6:V$3000))+ISNUMBER(SEARCH(B4,'Data - HSQE Events'!H$6:H$3000)))&gt;0))*('Data - HSQE Events'!F$6:F$3000&gt;=$AG$3)*('Data - HSQE Events'!F$6:F$3000&lt;=$AJ$3)*('Data - HSQE Events'!R$6:R$3000="Minor")),0)</f>
        <v>0</v>
      </c>
      <c r="L4" s="31">
        <f>IFERROR(SUMPRODUCT((((ISNUMBER(SEARCH(B4,'Data - HSQE Events'!V$6:V$3000))+ISNUMBER(SEARCH(B4,'Data - HSQE Events'!H$6:H$3000)))&gt;0))*('Data - HSQE Events'!F$6:F$3000&gt;=$AG$3)*('Data - HSQE Events'!F$6:F$3000&lt;=$AJ$3)*(('Data - HSQE Events'!R$6:R$3000="Moderate")+('Data - HSQE Events'!R$6:R$3000="Major"))),0)</f>
        <v>0</v>
      </c>
      <c r="M4" s="31" t="str">
        <f>IF(IFERROR(SUMPRODUCT((((ISNUMBER(SEARCH(B4,'Data - HSQE Events'!V$6:V$3000))+ISNUMBER(SEARCH(B4,'Data - HSQE Events'!H$6:H$3000)))&gt;0))*('Data - HSQE Events'!F$6:F$3000&gt;=$AG$3)*('Data - HSQE Events'!F$6:F$3000&lt;=$AJ$3)*('Data - HSQE Events'!R$6:R$3000="Major")),0)&gt;0,"YES","NO")</f>
        <v>NO</v>
      </c>
      <c r="N4" s="31">
        <f>IFERROR(SUMPRODUCT(('Data - Skillko'!B$6:B$3000=B4)*('Data - Skillko'!C$6:C$3000="Total")*('Data - Skillko'!E$6:E$3000))*100,0)</f>
        <v>80</v>
      </c>
      <c r="O4" s="31">
        <f t="shared" ref="O4:O35" si="1">ROUND(MAX(1,MIN(5,1+N4/100*4)),1)</f>
        <v>4.2</v>
      </c>
      <c r="P4" s="31">
        <f>IFERROR(SUMPRODUCT(ISNUMBER(SEARCH(B4,'Pole Results'!$A$13:$A$2000))*('Pole Results'!$B$13:$B$2000&gt;=$AG$3)*('Pole Results'!$B$13:$B$2000&lt;=$AE$3)*('Pole Results'!$E$13:$E$2000="Non-Compliant")),0)</f>
        <v>0</v>
      </c>
      <c r="Q4" s="31">
        <f t="shared" ref="Q4:Q35" si="2">IF(I4=0,1,IFERROR(ROUND(MAX(1,MIN(5,1+J4/I4*4)),1),3))</f>
        <v>1</v>
      </c>
      <c r="R4" s="31">
        <f t="shared" ref="R4:R35" si="3">ROUND(6-MAX(MIN(5,K4*0.8+1),MIN(5,L4*2+1)),1)</f>
        <v>5</v>
      </c>
      <c r="S4" s="49">
        <f t="shared" ref="S4:S35" si="4">IFERROR(ROUND(MAX(1,MIN(5,5-(P4/MAX(1,AI4))*4)),1),5)</f>
        <v>5</v>
      </c>
      <c r="T4" s="31">
        <f>IF('Field Teams'!$I$5="Inactive","",ROUND((Q4*Settings!$D$6+R4*Settings!$D$7+O4*Settings!$D$10+S4*Settings!$D$12+AO4*Settings!$D$13)/Settings!$D$14,1))</f>
        <v>3</v>
      </c>
      <c r="U4" s="115" t="str">
        <f>IF('Field Teams'!$I$5="Inactive","",IF(Q4="","",IF(Q4&gt;=4.5,"★★★★★",IF(Q4&gt;=3.5,"★★★★☆",IF(Q4&gt;=2.5,"★★★☆☆",IF(Q4&gt;=1.5,"★★☆☆☆","★☆☆☆☆"))))))</f>
        <v>★☆☆☆☆</v>
      </c>
      <c r="V4" s="115" t="str">
        <f>IF('Field Teams'!$I$5="Inactive","",IF(R4="","",IF(R4&gt;=4.5,"★★★★★",IF(R4&gt;=3.5,"★★★★☆",IF(R4&gt;=2.5,"★★★☆☆",IF(R4&gt;=1.5,"★★☆☆☆","★☆☆☆☆"))))))</f>
        <v>★★★★★</v>
      </c>
      <c r="W4" s="115" t="str">
        <f>IF('Field Teams'!$I$5="Inactive","",IF(O4="","",IF(O4&gt;=4.5,"★★★★★",IF(O4&gt;=3.5,"★★★★☆",IF(O4&gt;=2.5,"★★★☆☆",IF(O4&gt;=1.5,"★★☆☆☆","★☆☆☆☆"))))))</f>
        <v>★★★★☆</v>
      </c>
      <c r="X4" s="115" t="str">
        <f>IF('Field Teams'!$I$5="Inactive","",IF(S4="","",IF(S4&gt;=4.5,"★★★★★",IF(S4&gt;=3.5,"★★★★☆",IF(S4&gt;=2.5,"★★★☆☆",IF(S4&gt;=1.5,"★★☆☆☆","★☆☆☆☆"))))))</f>
        <v>★★★★★</v>
      </c>
      <c r="Y4" s="115" t="str">
        <f>IF('Field Teams'!$I$5="Inactive","",IF(AO4="","",IF(AO4&gt;=4.5,"★★★★★",IF(AO4&gt;=3.5,"★★★★☆",IF(AO4&gt;=2.5,"★★★☆☆",IF(AO4&gt;=1.5,"★★☆☆☆","★☆☆☆☆"))))))</f>
        <v>★★★☆☆</v>
      </c>
      <c r="Z4" s="115" t="str">
        <f>IF('Field Teams'!$I$5="Inactive","",IF(T4="","",IF(T4&gt;=4.5,"★★★★★",IF(T4&gt;=3.5,"★★★★☆",IF(T4&gt;=2.5,"★★★☆☆",IF(T4&gt;=1.5,"★★☆☆☆","★☆☆☆☆"))))))</f>
        <v>★★★☆☆</v>
      </c>
      <c r="AA4" s="31" t="str">
        <f>IF('Field Teams'!$I$5="Inactive","",IF(M4="YES","HIGH",IF(Q4&lt;=Settings!$D$26,"HIGH",IF(T4&lt;=Settings!$D$23,"HIGH",IF(T4&lt;=Settings!$D$24,"MEDIUM","LOW")))))</f>
        <v>HIGH</v>
      </c>
      <c r="AB4" s="31">
        <f>IF('Field Teams'!$I$5="Inactive",-1,IFERROR((6-T4)+(77-ROW())*0.0001,0))</f>
        <v>3.0072999999999999</v>
      </c>
      <c r="AC4" s="35">
        <f>IF('Field Teams'!$I$5="Inactive",999,IFERROR((6-T4)+(ROW()-3)*0.0001,99))</f>
        <v>3.0001000000000002</v>
      </c>
      <c r="AD4" s="31">
        <f>IF('Field Teams'!$I$5="Inactive",999,IFERROR(AB4+(ROW()-3)*0.0001,99))</f>
        <v>3.0074000000000001</v>
      </c>
      <c r="AE4" s="29">
        <v>0</v>
      </c>
      <c r="AF4" s="31" t="str">
        <f>IF('Field Teams'!$I$5="Inactive","",IF(AA4="HIGH","YES - within 5 working days",""))</f>
        <v>YES - within 5 working days</v>
      </c>
      <c r="AG4" s="105"/>
      <c r="AH4" s="49">
        <f>IFERROR(SUMPRODUCT(ISNUMBER(SEARCH(B4,'Pole Results'!$A$13:$A$2000))*('Pole Results'!$B$13:$B$2000&gt;=$AG$3)*('Pole Results'!$B$13:$B$2000&lt;=$AE$3)),0)</f>
        <v>0</v>
      </c>
      <c r="AI4" s="49">
        <f>IFERROR(SUMPRODUCT(ISNUMBER(SEARCH(B4,'Pole Results'!$A$13:$A$2000))*('Pole Results'!$B$13:$B$2000&gt;=$AG$3)*('Pole Results'!$B$13:$B$2000&lt;=$AE$3)*('Pole Results'!$E$13:$E$2000="Compliant")),0)</f>
        <v>0</v>
      </c>
      <c r="AJ4" s="105"/>
      <c r="AK4" s="106">
        <f>IF('Field Teams'!$I$5="Inactive",-1,IF(AA4="HIGH",AB4,-1))</f>
        <v>3.0072999999999999</v>
      </c>
      <c r="AL4" s="106">
        <f>IF('Field Teams'!$I$5="Inactive",-1,IF(OR(AA4="HIGH",AA4="MEDIUM"),AB4,-1))</f>
        <v>3.0072999999999999</v>
      </c>
      <c r="AM4" t="str">
        <f>IF('Field Teams'!$I$5="Inactive","",IF(IFERROR(LOOKUP(2,1/('Historical Scores'!C5:N5&lt;&gt;""),'Historical Scores'!C5:N5),"")="","New",IF(T4=""," ",IF(T4&gt;IFERROR(LOOKUP(2,1/('Historical Scores'!C5:N5&lt;&gt;""),'Historical Scores'!C5:N5),""),"▲ Worsening",IF(T4&lt;IFERROR(LOOKUP(2,1/('Historical Scores'!C5:N5&lt;&gt;""),'Historical Scores'!C5:N5),""),"▼ Improving","► Stable")))))</f>
        <v>New</v>
      </c>
      <c r="AN4">
        <f>IFERROR(SUMPRODUCT((ISNUMBER(SEARCH(B4,'Data - SSV'!AE$6:AE$3000)))*('Data - SSV'!AF$6:AF$3000&gt;=(AJ$3-90))*('Data - SSV'!AF$6:AF$3000&lt;=AJ$3)*('Data - SSV'!AH$6:AH$3000&lt;&gt;"")),0)</f>
        <v>0</v>
      </c>
      <c r="AO4">
        <f>IF('Field Teams'!$I$5="Inactive","",IF(AN4=0,3,IF(AN4=1,IF(IFERROR(SUMPRODUCT((ISNUMBER(SEARCH(B4,'Data - SSV'!AE$6:AE$3000)))*('Data - SSV'!AF$6:AF$3000&gt;=(AJ$3-90))*('Data - SSV'!AF$6:AF$3000&lt;=AJ$3)*('Data - SSV'!AH$6:AH$3000&lt;&gt;"")*IF('Data - SSV'!AH$6:AH$3000="",0,'Data - SSV'!AH$6:AH$3000))/AN4,3)=4,4,IF(IFERROR(SUMPRODUCT((ISNUMBER(SEARCH(B4,'Data - SSV'!AE$6:AE$3000)))*('Data - SSV'!AF$6:AF$3000&gt;=(AJ$3-90))*('Data - SSV'!AF$6:AF$3000&lt;=AJ$3)*('Data - SSV'!AH$6:AH$3000&lt;&gt;"")*IF('Data - SSV'!AH$6:AH$3000="",0,'Data - SSV'!AH$6:AH$3000))/AN4,3)&gt;=3,3,IF(IFERROR(SUMPRODUCT((ISNUMBER(SEARCH(B4,'Data - SSV'!AE$6:AE$3000)))*('Data - SSV'!AF$6:AF$3000&gt;=(AJ$3-90))*('Data - SSV'!AF$6:AF$3000&lt;=AJ$3)*('Data - SSV'!AH$6:AH$3000&lt;&gt;"")*IF('Data - SSV'!AH$6:AH$3000="",0,'Data - SSV'!AH$6:AH$3000))/AN4,3)&gt;=2,2,1))),IF(IFERROR(SUMPRODUCT((ISNUMBER(SEARCH(B4,'Data - SSV'!AE$6:AE$3000)))*('Data - SSV'!AF$6:AF$3000&gt;=(AJ$3-90))*('Data - SSV'!AF$6:AF$3000&lt;=AJ$3)*('Data - SSV'!AH$6:AH$3000&lt;&gt;"")*IF('Data - SSV'!AH$6:AH$3000="",0,'Data - SSV'!AH$6:AH$3000))/AN4,3)=4,5,IF(IFERROR(SUMPRODUCT((ISNUMBER(SEARCH(B4,'Data - SSV'!AE$6:AE$3000)))*('Data - SSV'!AF$6:AF$3000&gt;=(AJ$3-90))*('Data - SSV'!AF$6:AF$3000&lt;=AJ$3)*('Data - SSV'!AH$6:AH$3000&lt;&gt;"")*IF('Data - SSV'!AH$6:AH$3000="",0,'Data - SSV'!AH$6:AH$3000))/AN4,3)&gt;=3.5,4,IF(IFERROR(SUMPRODUCT((ISNUMBER(SEARCH(B4,'Data - SSV'!AE$6:AE$3000)))*('Data - SSV'!AF$6:AF$3000&gt;=(AJ$3-90))*('Data - SSV'!AF$6:AF$3000&lt;=AJ$3)*('Data - SSV'!AH$6:AH$3000&lt;&gt;"")*IF('Data - SSV'!AH$6:AH$3000="",0,'Data - SSV'!AH$6:AH$3000))/AN4,3)&gt;=3,3,IF(IFERROR(SUMPRODUCT((ISNUMBER(SEARCH(B4,'Data - SSV'!AE$6:AE$3000)))*('Data - SSV'!AF$6:AF$3000&gt;=(AJ$3-90))*('Data - SSV'!AF$6:AF$3000&lt;=AJ$3)*('Data - SSV'!AH$6:AH$3000&lt;&gt;"")*IF('Data - SSV'!AH$6:AH$3000="",0,'Data - SSV'!AH$6:AH$3000))/AN4,3)&gt;=2,2,1)))))))</f>
        <v>3</v>
      </c>
    </row>
    <row r="5" spans="1:41" ht="19.5" customHeight="1" x14ac:dyDescent="0.15">
      <c r="A5" s="6" t="str">
        <f>'Field Teams'!A6</f>
        <v>FT-002</v>
      </c>
      <c r="B5" s="28" t="str">
        <f>'Field Teams'!B6</f>
        <v>WRS Tree Services Ltd</v>
      </c>
      <c r="C5" s="28" t="str">
        <f>'Field Teams'!C6</f>
        <v>Utility Arboriculture</v>
      </c>
      <c r="D5" s="6" t="str">
        <f>'Field Teams'!D6</f>
        <v>David Damm</v>
      </c>
      <c r="E5" s="6" t="str">
        <f>'Field Teams'!E6</f>
        <v>Mike Jackson</v>
      </c>
      <c r="F5" s="6">
        <f>'Field Teams'!F6</f>
        <v>0</v>
      </c>
      <c r="G5" s="6">
        <f>'Field Teams'!G6</f>
        <v>0</v>
      </c>
      <c r="H5" s="31">
        <f>'Field Teams'!H6</f>
        <v>3</v>
      </c>
      <c r="I5" s="31">
        <f t="shared" si="0"/>
        <v>6</v>
      </c>
      <c r="J5" s="31">
        <f>IFERROR(SUMPRODUCT((((ISNUMBER(SEARCH(B5,'Data - HSQE Events'!V$6:V$3000))+ISNUMBER(SEARCH(B5,'Data - HSQE Events'!H$6:H$3000)))&gt;0))*('Data - HSQE Events'!F$6:F$3000&gt;=$AG$3)*('Data - HSQE Events'!F$6:F$3000&lt;=$AJ$3)*('Data - HSQE Events'!R$6:R$3000="Opportunity")),0)</f>
        <v>0</v>
      </c>
      <c r="K5" s="31">
        <f>IFERROR(SUMPRODUCT((((ISNUMBER(SEARCH(B5,'Data - HSQE Events'!V$6:V$3000))+ISNUMBER(SEARCH(B5,'Data - HSQE Events'!H$6:H$3000)))&gt;0))*('Data - HSQE Events'!F$6:F$3000&gt;=$AG$3)*('Data - HSQE Events'!F$6:F$3000&lt;=$AJ$3)*('Data - HSQE Events'!R$6:R$3000="Minor")),0)</f>
        <v>0</v>
      </c>
      <c r="L5" s="31">
        <f>IFERROR(SUMPRODUCT((((ISNUMBER(SEARCH(B5,'Data - HSQE Events'!V$6:V$3000))+ISNUMBER(SEARCH(B5,'Data - HSQE Events'!H$6:H$3000)))&gt;0))*('Data - HSQE Events'!F$6:F$3000&gt;=$AG$3)*('Data - HSQE Events'!F$6:F$3000&lt;=$AJ$3)*(('Data - HSQE Events'!R$6:R$3000="Moderate")+('Data - HSQE Events'!R$6:R$3000="Major"))),0)</f>
        <v>0</v>
      </c>
      <c r="M5" s="31" t="str">
        <f>IF(IFERROR(SUMPRODUCT((((ISNUMBER(SEARCH(B5,'Data - HSQE Events'!V$6:V$3000))+ISNUMBER(SEARCH(B5,'Data - HSQE Events'!H$6:H$3000)))&gt;0))*('Data - HSQE Events'!F$6:F$3000&gt;=$AG$3)*('Data - HSQE Events'!F$6:F$3000&lt;=$AJ$3)*('Data - HSQE Events'!R$6:R$3000="Major")),0)&gt;0,"YES","NO")</f>
        <v>NO</v>
      </c>
      <c r="N5" s="31">
        <f>IFERROR(SUMPRODUCT(('Data - Skillko'!B$6:B$3000=B5)*('Data - Skillko'!C$6:C$3000="Total")*('Data - Skillko'!E$6:E$3000))*100,0)</f>
        <v>93</v>
      </c>
      <c r="O5" s="31">
        <f t="shared" si="1"/>
        <v>4.7</v>
      </c>
      <c r="P5" s="31">
        <f>IFERROR(SUMPRODUCT(ISNUMBER(SEARCH(B5,'Pole Results'!$A$13:$A$2000))*('Pole Results'!$B$13:$B$2000&gt;=$AG$3)*('Pole Results'!$B$13:$B$2000&lt;=$AE$3)*('Pole Results'!$E$13:$E$2000="Non-Compliant")),0)</f>
        <v>0</v>
      </c>
      <c r="Q5" s="31">
        <f t="shared" si="2"/>
        <v>1</v>
      </c>
      <c r="R5" s="31">
        <f t="shared" si="3"/>
        <v>5</v>
      </c>
      <c r="S5" s="49">
        <f t="shared" si="4"/>
        <v>5</v>
      </c>
      <c r="T5" s="31">
        <f>IF('Field Teams'!$I$6="Inactive","",ROUND((Q5*Settings!$D$6+R5*Settings!$D$7+O5*Settings!$D$10+S5*Settings!$D$12+AO5*Settings!$D$13)/Settings!$D$14,1))</f>
        <v>3.1</v>
      </c>
      <c r="U5" s="115" t="str">
        <f>IF('Field Teams'!$I$6="Inactive","",IF(Q5="","",IF(Q5&gt;=4.5,"★★★★★",IF(Q5&gt;=3.5,"★★★★☆",IF(Q5&gt;=2.5,"★★★☆☆",IF(Q5&gt;=1.5,"★★☆☆☆","★☆☆☆☆"))))))</f>
        <v>★☆☆☆☆</v>
      </c>
      <c r="V5" s="115" t="str">
        <f>IF('Field Teams'!$I$6="Inactive","",IF(R5="","",IF(R5&gt;=4.5,"★★★★★",IF(R5&gt;=3.5,"★★★★☆",IF(R5&gt;=2.5,"★★★☆☆",IF(R5&gt;=1.5,"★★☆☆☆","★☆☆☆☆"))))))</f>
        <v>★★★★★</v>
      </c>
      <c r="W5" s="115" t="str">
        <f>IF('Field Teams'!$I$6="Inactive","",IF(O5="","",IF(O5&gt;=4.5,"★★★★★",IF(O5&gt;=3.5,"★★★★☆",IF(O5&gt;=2.5,"★★★☆☆",IF(O5&gt;=1.5,"★★☆☆☆","★☆☆☆☆"))))))</f>
        <v>★★★★★</v>
      </c>
      <c r="X5" s="115" t="str">
        <f>IF('Field Teams'!$I$6="Inactive","",IF(S5="","",IF(S5&gt;=4.5,"★★★★★",IF(S5&gt;=3.5,"★★★★☆",IF(S5&gt;=2.5,"★★★☆☆",IF(S5&gt;=1.5,"★★☆☆☆","★☆☆☆☆"))))))</f>
        <v>★★★★★</v>
      </c>
      <c r="Y5" s="115" t="str">
        <f>IF('Field Teams'!$I$6="Inactive","",IF(AO5="","",IF(AO5&gt;=4.5,"★★★★★",IF(AO5&gt;=3.5,"★★★★☆",IF(AO5&gt;=2.5,"★★★☆☆",IF(AO5&gt;=1.5,"★★☆☆☆","★☆☆☆☆"))))))</f>
        <v>★★★☆☆</v>
      </c>
      <c r="Z5" s="115" t="str">
        <f>IF('Field Teams'!$I$5="Inactive","",IF(T5="","",IF(T5&gt;=4.5,"★★★★★",IF(T5&gt;=3.5,"★★★★☆",IF(T5&gt;=2.5,"★★★☆☆",IF(T5&gt;=1.5,"★★☆☆☆","★☆☆☆☆"))))))</f>
        <v>★★★☆☆</v>
      </c>
      <c r="AA5" s="31" t="str">
        <f>IF('Field Teams'!$I$6="Inactive","",IF(M5="YES","HIGH",IF(Q5&lt;=Settings!$D$26,"HIGH",IF(T5&lt;=Settings!$D$23,"HIGH",IF(T5&lt;=Settings!$D$24,"MEDIUM","LOW")))))</f>
        <v>HIGH</v>
      </c>
      <c r="AB5" s="31">
        <f>IF('Field Teams'!$I$5="Inactive",-1,IFERROR((6-T5)+(77-ROW())*0.0001,0))</f>
        <v>2.9072</v>
      </c>
      <c r="AC5" s="35">
        <f>IF('Field Teams'!$I$5="Inactive",999,IFERROR((6-T5)+(ROW()-3)*0.0001,99))</f>
        <v>2.9001999999999999</v>
      </c>
      <c r="AD5" s="31">
        <f>IF('Field Teams'!$I$6="Inactive",999,IFERROR(AB5+(ROW()-3)*0.0001,99))</f>
        <v>2.9074</v>
      </c>
      <c r="AE5" s="29">
        <v>0</v>
      </c>
      <c r="AF5" s="31" t="str">
        <f>IF('Field Teams'!$I$6="Inactive","",IF(AA5="HIGH","YES - within 5 working days",""))</f>
        <v>YES - within 5 working days</v>
      </c>
      <c r="AG5" s="105"/>
      <c r="AH5" s="49">
        <f>IFERROR(SUMPRODUCT(ISNUMBER(SEARCH(B5,'Pole Results'!$A$13:$A$2000))*('Pole Results'!$B$13:$B$2000&gt;=$AG$3)*('Pole Results'!$B$13:$B$2000&lt;=$AE$3)),0)</f>
        <v>0</v>
      </c>
      <c r="AI5" s="49">
        <f>IFERROR(SUMPRODUCT(ISNUMBER(SEARCH(B5,'Pole Results'!$A$13:$A$2000))*('Pole Results'!$B$13:$B$2000&gt;=$AG$3)*('Pole Results'!$B$13:$B$2000&lt;=$AE$3)*('Pole Results'!$E$13:$E$2000="Compliant")),0)</f>
        <v>0</v>
      </c>
      <c r="AJ5" s="105"/>
      <c r="AK5" s="106">
        <f>IF('Field Teams'!$I$6="Inactive",-1,IF(AA5="HIGH",AB5,-1))</f>
        <v>2.9072</v>
      </c>
      <c r="AL5" s="106">
        <f>IF('Field Teams'!$I$6="Inactive",-1,IF(OR(AA5="HIGH",AA5="MEDIUM"),AB5,-1))</f>
        <v>2.9072</v>
      </c>
      <c r="AM5" t="str">
        <f>IF('Field Teams'!$I$6="Inactive","",IF(IFERROR(LOOKUP(2,1/('Historical Scores'!C6:N6&lt;&gt;""),'Historical Scores'!C6:N6),"")="","New",IF(T5=""," ",IF(T5&gt;IFERROR(LOOKUP(2,1/('Historical Scores'!C6:N6&lt;&gt;""),'Historical Scores'!C6:N6),""),"▲ Worsening",IF(T5&lt;IFERROR(LOOKUP(2,1/('Historical Scores'!C6:N6&lt;&gt;""),'Historical Scores'!C6:N6),""),"▼ Improving","► Stable")))))</f>
        <v>New</v>
      </c>
      <c r="AN5">
        <f>IFERROR(SUMPRODUCT((ISNUMBER(SEARCH(B5,'Data - SSV'!AE$6:AE$3000)))*('Data - SSV'!AF$6:AF$3000&gt;=(AJ$3-90))*('Data - SSV'!AF$6:AF$3000&lt;=AJ$3)*('Data - SSV'!AH$6:AH$3000&lt;&gt;"")),0)</f>
        <v>0</v>
      </c>
      <c r="AO5">
        <f>IF('Field Teams'!$I$6="Inactive","",IF(AN5=0,3,IF(AN5=1,IF(IFERROR(SUMPRODUCT((ISNUMBER(SEARCH(B5,'Data - SSV'!AE$6:AE$3000)))*('Data - SSV'!AF$6:AF$3000&gt;=(AJ$3-90))*('Data - SSV'!AF$6:AF$3000&lt;=AJ$3)*('Data - SSV'!AH$6:AH$3000&lt;&gt;"")*IF('Data - SSV'!AH$6:AH$3000="",0,'Data - SSV'!AH$6:AH$3000))/AN5,3)=4,4,IF(IFERROR(SUMPRODUCT((ISNUMBER(SEARCH(B5,'Data - SSV'!AE$6:AE$3000)))*('Data - SSV'!AF$6:AF$3000&gt;=(AJ$3-90))*('Data - SSV'!AF$6:AF$3000&lt;=AJ$3)*('Data - SSV'!AH$6:AH$3000&lt;&gt;"")*IF('Data - SSV'!AH$6:AH$3000="",0,'Data - SSV'!AH$6:AH$3000))/AN5,3)&gt;=3,3,IF(IFERROR(SUMPRODUCT((ISNUMBER(SEARCH(B5,'Data - SSV'!AE$6:AE$3000)))*('Data - SSV'!AF$6:AF$3000&gt;=(AJ$3-90))*('Data - SSV'!AF$6:AF$3000&lt;=AJ$3)*('Data - SSV'!AH$6:AH$3000&lt;&gt;"")*IF('Data - SSV'!AH$6:AH$3000="",0,'Data - SSV'!AH$6:AH$3000))/AN5,3)&gt;=2,2,1))),IF(IFERROR(SUMPRODUCT((ISNUMBER(SEARCH(B5,'Data - SSV'!AE$6:AE$3000)))*('Data - SSV'!AF$6:AF$3000&gt;=(AJ$3-90))*('Data - SSV'!AF$6:AF$3000&lt;=AJ$3)*('Data - SSV'!AH$6:AH$3000&lt;&gt;"")*IF('Data - SSV'!AH$6:AH$3000="",0,'Data - SSV'!AH$6:AH$3000))/AN5,3)=4,5,IF(IFERROR(SUMPRODUCT((ISNUMBER(SEARCH(B5,'Data - SSV'!AE$6:AE$3000)))*('Data - SSV'!AF$6:AF$3000&gt;=(AJ$3-90))*('Data - SSV'!AF$6:AF$3000&lt;=AJ$3)*('Data - SSV'!AH$6:AH$3000&lt;&gt;"")*IF('Data - SSV'!AH$6:AH$3000="",0,'Data - SSV'!AH$6:AH$3000))/AN5,3)&gt;=3.5,4,IF(IFERROR(SUMPRODUCT((ISNUMBER(SEARCH(B5,'Data - SSV'!AE$6:AE$3000)))*('Data - SSV'!AF$6:AF$3000&gt;=(AJ$3-90))*('Data - SSV'!AF$6:AF$3000&lt;=AJ$3)*('Data - SSV'!AH$6:AH$3000&lt;&gt;"")*IF('Data - SSV'!AH$6:AH$3000="",0,'Data - SSV'!AH$6:AH$3000))/AN5,3)&gt;=3,3,IF(IFERROR(SUMPRODUCT((ISNUMBER(SEARCH(B5,'Data - SSV'!AE$6:AE$3000)))*('Data - SSV'!AF$6:AF$3000&gt;=(AJ$3-90))*('Data - SSV'!AF$6:AF$3000&lt;=AJ$3)*('Data - SSV'!AH$6:AH$3000&lt;&gt;"")*IF('Data - SSV'!AH$6:AH$3000="",0,'Data - SSV'!AH$6:AH$3000))/AN5,3)&gt;=2,2,1)))))))</f>
        <v>3</v>
      </c>
    </row>
    <row r="6" spans="1:41" ht="19.5" customHeight="1" x14ac:dyDescent="0.15">
      <c r="A6" s="10" t="str">
        <f>'Field Teams'!A7</f>
        <v>FT-003</v>
      </c>
      <c r="B6" s="30" t="str">
        <f>'Field Teams'!B7</f>
        <v>Ashdown Tree Limited</v>
      </c>
      <c r="C6" s="30" t="str">
        <f>'Field Teams'!C7</f>
        <v>Utility Arboriculture</v>
      </c>
      <c r="D6" s="10" t="str">
        <f>'Field Teams'!D7</f>
        <v>Donovan  Gosher</v>
      </c>
      <c r="E6" s="10" t="str">
        <f>'Field Teams'!E7</f>
        <v>Barry Bright</v>
      </c>
      <c r="F6" s="10">
        <f>'Field Teams'!F7</f>
        <v>0</v>
      </c>
      <c r="G6" s="10">
        <f>'Field Teams'!G7</f>
        <v>0</v>
      </c>
      <c r="H6" s="31">
        <f>'Field Teams'!H7</f>
        <v>6</v>
      </c>
      <c r="I6" s="31">
        <f t="shared" si="0"/>
        <v>12</v>
      </c>
      <c r="J6" s="31">
        <f>IFERROR(SUMPRODUCT((((ISNUMBER(SEARCH(B6,'Data - HSQE Events'!V$6:V$3000))+ISNUMBER(SEARCH(B6,'Data - HSQE Events'!H$6:H$3000)))&gt;0))*('Data - HSQE Events'!F$6:F$3000&gt;=$AG$3)*('Data - HSQE Events'!F$6:F$3000&lt;=$AJ$3)*('Data - HSQE Events'!R$6:R$3000="Opportunity")),0)</f>
        <v>0</v>
      </c>
      <c r="K6" s="31">
        <f>IFERROR(SUMPRODUCT((((ISNUMBER(SEARCH(B6,'Data - HSQE Events'!V$6:V$3000))+ISNUMBER(SEARCH(B6,'Data - HSQE Events'!H$6:H$3000)))&gt;0))*('Data - HSQE Events'!F$6:F$3000&gt;=$AG$3)*('Data - HSQE Events'!F$6:F$3000&lt;=$AJ$3)*('Data - HSQE Events'!R$6:R$3000="Minor")),0)</f>
        <v>0</v>
      </c>
      <c r="L6" s="31">
        <f>IFERROR(SUMPRODUCT((((ISNUMBER(SEARCH(B6,'Data - HSQE Events'!V$6:V$3000))+ISNUMBER(SEARCH(B6,'Data - HSQE Events'!H$6:H$3000)))&gt;0))*('Data - HSQE Events'!F$6:F$3000&gt;=$AG$3)*('Data - HSQE Events'!F$6:F$3000&lt;=$AJ$3)*(('Data - HSQE Events'!R$6:R$3000="Moderate")+('Data - HSQE Events'!R$6:R$3000="Major"))),0)</f>
        <v>0</v>
      </c>
      <c r="M6" s="31" t="str">
        <f>IF(IFERROR(SUMPRODUCT((((ISNUMBER(SEARCH(B6,'Data - HSQE Events'!V$6:V$3000))+ISNUMBER(SEARCH(B6,'Data - HSQE Events'!H$6:H$3000)))&gt;0))*('Data - HSQE Events'!F$6:F$3000&gt;=$AG$3)*('Data - HSQE Events'!F$6:F$3000&lt;=$AJ$3)*('Data - HSQE Events'!R$6:R$3000="Major")),0)&gt;0,"YES","NO")</f>
        <v>NO</v>
      </c>
      <c r="N6" s="31">
        <f>IFERROR(SUMPRODUCT(('Data - Skillko'!B$6:B$3000=B6)*('Data - Skillko'!C$6:C$3000="Total")*('Data - Skillko'!E$6:E$3000))*100,0)</f>
        <v>70</v>
      </c>
      <c r="O6" s="31">
        <f t="shared" si="1"/>
        <v>3.8</v>
      </c>
      <c r="P6" s="31">
        <f>IFERROR(SUMPRODUCT(ISNUMBER(SEARCH(B6,'Pole Results'!$A$13:$A$2000))*('Pole Results'!$B$13:$B$2000&gt;=$AG$3)*('Pole Results'!$B$13:$B$2000&lt;=$AE$3)*('Pole Results'!$E$13:$E$2000="Non-Compliant")),0)</f>
        <v>0</v>
      </c>
      <c r="Q6" s="31">
        <f t="shared" si="2"/>
        <v>1</v>
      </c>
      <c r="R6" s="31">
        <f t="shared" si="3"/>
        <v>5</v>
      </c>
      <c r="S6" s="49">
        <f t="shared" si="4"/>
        <v>5</v>
      </c>
      <c r="T6" s="31">
        <f>IF('Field Teams'!$I$7="Inactive","",ROUND((Q6*Settings!$D$6+R6*Settings!$D$7+O6*Settings!$D$10+S6*Settings!$D$12+AO6*Settings!$D$13)/Settings!$D$14,1))</f>
        <v>2.9</v>
      </c>
      <c r="U6" s="115" t="str">
        <f>IF('Field Teams'!$I$7="Inactive","",IF(Q6="","",IF(Q6&gt;=4.5,"★★★★★",IF(Q6&gt;=3.5,"★★★★☆",IF(Q6&gt;=2.5,"★★★☆☆",IF(Q6&gt;=1.5,"★★☆☆☆","★☆☆☆☆"))))))</f>
        <v>★☆☆☆☆</v>
      </c>
      <c r="V6" s="115" t="str">
        <f>IF('Field Teams'!$I$7="Inactive","",IF(R6="","",IF(R6&gt;=4.5,"★★★★★",IF(R6&gt;=3.5,"★★★★☆",IF(R6&gt;=2.5,"★★★☆☆",IF(R6&gt;=1.5,"★★☆☆☆","★☆☆☆☆"))))))</f>
        <v>★★★★★</v>
      </c>
      <c r="W6" s="115" t="str">
        <f>IF('Field Teams'!$I$7="Inactive","",IF(O6="","",IF(O6&gt;=4.5,"★★★★★",IF(O6&gt;=3.5,"★★★★☆",IF(O6&gt;=2.5,"★★★☆☆",IF(O6&gt;=1.5,"★★☆☆☆","★☆☆☆☆"))))))</f>
        <v>★★★★☆</v>
      </c>
      <c r="X6" s="115" t="str">
        <f>IF('Field Teams'!$I$7="Inactive","",IF(S6="","",IF(S6&gt;=4.5,"★★★★★",IF(S6&gt;=3.5,"★★★★☆",IF(S6&gt;=2.5,"★★★☆☆",IF(S6&gt;=1.5,"★★☆☆☆","★☆☆☆☆"))))))</f>
        <v>★★★★★</v>
      </c>
      <c r="Y6" s="115" t="str">
        <f>IF('Field Teams'!$I$7="Inactive","",IF(AO6="","",IF(AO6&gt;=4.5,"★★★★★",IF(AO6&gt;=3.5,"★★★★☆",IF(AO6&gt;=2.5,"★★★☆☆",IF(AO6&gt;=1.5,"★★☆☆☆","★☆☆☆☆"))))))</f>
        <v>★★★☆☆</v>
      </c>
      <c r="Z6" s="115" t="str">
        <f>IF('Field Teams'!$I$5="Inactive","",IF(T6="","",IF(T6&gt;=4.5,"★★★★★",IF(T6&gt;=3.5,"★★★★☆",IF(T6&gt;=2.5,"★★★☆☆",IF(T6&gt;=1.5,"★★☆☆☆","★☆☆☆☆"))))))</f>
        <v>★★★☆☆</v>
      </c>
      <c r="AA6" s="31" t="str">
        <f>IF('Field Teams'!$I$7="Inactive","",IF(M6="YES","HIGH",IF(Q6&lt;=Settings!$D$26,"HIGH",IF(T6&lt;=Settings!$D$23,"HIGH",IF(T6&lt;=Settings!$D$24,"MEDIUM","LOW")))))</f>
        <v>HIGH</v>
      </c>
      <c r="AB6" s="31">
        <f>IF('Field Teams'!$I$5="Inactive",-1,IFERROR((6-T6)+(77-ROW())*0.0001,0))</f>
        <v>3.1071</v>
      </c>
      <c r="AC6" s="35">
        <f>IF('Field Teams'!$I$5="Inactive",999,IFERROR((6-T6)+(ROW()-3)*0.0001,99))</f>
        <v>3.1003000000000003</v>
      </c>
      <c r="AD6" s="31">
        <f>IF('Field Teams'!$I$7="Inactive",999,IFERROR(AB6+(ROW()-3)*0.0001,99))</f>
        <v>3.1074000000000002</v>
      </c>
      <c r="AE6" s="29">
        <v>0</v>
      </c>
      <c r="AF6" s="31" t="str">
        <f>IF('Field Teams'!$I$7="Inactive","",IF(AA6="HIGH","YES - within 5 working days",""))</f>
        <v>YES - within 5 working days</v>
      </c>
      <c r="AG6" s="105"/>
      <c r="AH6" s="49">
        <f>IFERROR(SUMPRODUCT(ISNUMBER(SEARCH(B6,'Pole Results'!$A$13:$A$2000))*('Pole Results'!$B$13:$B$2000&gt;=$AG$3)*('Pole Results'!$B$13:$B$2000&lt;=$AE$3)),0)</f>
        <v>0</v>
      </c>
      <c r="AI6" s="49">
        <f>IFERROR(SUMPRODUCT(ISNUMBER(SEARCH(B6,'Pole Results'!$A$13:$A$2000))*('Pole Results'!$B$13:$B$2000&gt;=$AG$3)*('Pole Results'!$B$13:$B$2000&lt;=$AE$3)*('Pole Results'!$E$13:$E$2000="Compliant")),0)</f>
        <v>0</v>
      </c>
      <c r="AJ6" s="105"/>
      <c r="AK6" s="106">
        <f>IF('Field Teams'!$I$7="Inactive",-1,IF(AA6="HIGH",AB6,-1))</f>
        <v>3.1071</v>
      </c>
      <c r="AL6" s="106">
        <f>IF('Field Teams'!$I$7="Inactive",-1,IF(OR(AA6="HIGH",AA6="MEDIUM"),AB6,-1))</f>
        <v>3.1071</v>
      </c>
      <c r="AM6" t="str">
        <f>IF('Field Teams'!$I$7="Inactive","",IF(IFERROR(LOOKUP(2,1/('Historical Scores'!C7:N7&lt;&gt;""),'Historical Scores'!C7:N7),"")="","New",IF(T6=""," ",IF(T6&gt;IFERROR(LOOKUP(2,1/('Historical Scores'!C7:N7&lt;&gt;""),'Historical Scores'!C7:N7),""),"▲ Worsening",IF(T6&lt;IFERROR(LOOKUP(2,1/('Historical Scores'!C7:N7&lt;&gt;""),'Historical Scores'!C7:N7),""),"▼ Improving","► Stable")))))</f>
        <v>New</v>
      </c>
      <c r="AN6">
        <f>IFERROR(SUMPRODUCT((ISNUMBER(SEARCH(B6,'Data - SSV'!AE$6:AE$3000)))*('Data - SSV'!AF$6:AF$3000&gt;=(AJ$3-90))*('Data - SSV'!AF$6:AF$3000&lt;=AJ$3)*('Data - SSV'!AH$6:AH$3000&lt;&gt;"")),0)</f>
        <v>0</v>
      </c>
      <c r="AO6">
        <f>IF('Field Teams'!$I$7="Inactive","",IF(AN6=0,3,IF(AN6=1,IF(IFERROR(SUMPRODUCT((ISNUMBER(SEARCH(B6,'Data - SSV'!AE$6:AE$3000)))*('Data - SSV'!AF$6:AF$3000&gt;=(AJ$3-90))*('Data - SSV'!AF$6:AF$3000&lt;=AJ$3)*('Data - SSV'!AH$6:AH$3000&lt;&gt;"")*IF('Data - SSV'!AH$6:AH$3000="",0,'Data - SSV'!AH$6:AH$3000))/AN6,3)=4,4,IF(IFERROR(SUMPRODUCT((ISNUMBER(SEARCH(B6,'Data - SSV'!AE$6:AE$3000)))*('Data - SSV'!AF$6:AF$3000&gt;=(AJ$3-90))*('Data - SSV'!AF$6:AF$3000&lt;=AJ$3)*('Data - SSV'!AH$6:AH$3000&lt;&gt;"")*IF('Data - SSV'!AH$6:AH$3000="",0,'Data - SSV'!AH$6:AH$3000))/AN6,3)&gt;=3,3,IF(IFERROR(SUMPRODUCT((ISNUMBER(SEARCH(B6,'Data - SSV'!AE$6:AE$3000)))*('Data - SSV'!AF$6:AF$3000&gt;=(AJ$3-90))*('Data - SSV'!AF$6:AF$3000&lt;=AJ$3)*('Data - SSV'!AH$6:AH$3000&lt;&gt;"")*IF('Data - SSV'!AH$6:AH$3000="",0,'Data - SSV'!AH$6:AH$3000))/AN6,3)&gt;=2,2,1))),IF(IFERROR(SUMPRODUCT((ISNUMBER(SEARCH(B6,'Data - SSV'!AE$6:AE$3000)))*('Data - SSV'!AF$6:AF$3000&gt;=(AJ$3-90))*('Data - SSV'!AF$6:AF$3000&lt;=AJ$3)*('Data - SSV'!AH$6:AH$3000&lt;&gt;"")*IF('Data - SSV'!AH$6:AH$3000="",0,'Data - SSV'!AH$6:AH$3000))/AN6,3)=4,5,IF(IFERROR(SUMPRODUCT((ISNUMBER(SEARCH(B6,'Data - SSV'!AE$6:AE$3000)))*('Data - SSV'!AF$6:AF$3000&gt;=(AJ$3-90))*('Data - SSV'!AF$6:AF$3000&lt;=AJ$3)*('Data - SSV'!AH$6:AH$3000&lt;&gt;"")*IF('Data - SSV'!AH$6:AH$3000="",0,'Data - SSV'!AH$6:AH$3000))/AN6,3)&gt;=3.5,4,IF(IFERROR(SUMPRODUCT((ISNUMBER(SEARCH(B6,'Data - SSV'!AE$6:AE$3000)))*('Data - SSV'!AF$6:AF$3000&gt;=(AJ$3-90))*('Data - SSV'!AF$6:AF$3000&lt;=AJ$3)*('Data - SSV'!AH$6:AH$3000&lt;&gt;"")*IF('Data - SSV'!AH$6:AH$3000="",0,'Data - SSV'!AH$6:AH$3000))/AN6,3)&gt;=3,3,IF(IFERROR(SUMPRODUCT((ISNUMBER(SEARCH(B6,'Data - SSV'!AE$6:AE$3000)))*('Data - SSV'!AF$6:AF$3000&gt;=(AJ$3-90))*('Data - SSV'!AF$6:AF$3000&lt;=AJ$3)*('Data - SSV'!AH$6:AH$3000&lt;&gt;"")*IF('Data - SSV'!AH$6:AH$3000="",0,'Data - SSV'!AH$6:AH$3000))/AN6,3)&gt;=2,2,1)))))))</f>
        <v>3</v>
      </c>
    </row>
    <row r="7" spans="1:41" ht="19.5" customHeight="1" x14ac:dyDescent="0.15">
      <c r="A7" s="6" t="str">
        <f>'Field Teams'!A8</f>
        <v>FT-004</v>
      </c>
      <c r="B7" s="28" t="str">
        <f>'Field Teams'!B8</f>
        <v>Austin Tree Care LTD</v>
      </c>
      <c r="C7" s="28" t="str">
        <f>'Field Teams'!C8</f>
        <v>Utility Arboriculture</v>
      </c>
      <c r="D7" s="6" t="str">
        <f>'Field Teams'!D8</f>
        <v>Donovan  Gosher</v>
      </c>
      <c r="E7" s="6" t="str">
        <f>'Field Teams'!E8</f>
        <v>Barry Bright</v>
      </c>
      <c r="F7" s="6">
        <f>'Field Teams'!F8</f>
        <v>0</v>
      </c>
      <c r="G7" s="6">
        <f>'Field Teams'!G8</f>
        <v>0</v>
      </c>
      <c r="H7" s="31">
        <f>'Field Teams'!H8</f>
        <v>2</v>
      </c>
      <c r="I7" s="31">
        <f t="shared" si="0"/>
        <v>4</v>
      </c>
      <c r="J7" s="31">
        <f>IFERROR(SUMPRODUCT((((ISNUMBER(SEARCH(B7,'Data - HSQE Events'!V$6:V$3000))+ISNUMBER(SEARCH(B7,'Data - HSQE Events'!H$6:H$3000)))&gt;0))*('Data - HSQE Events'!F$6:F$3000&gt;=$AG$3)*('Data - HSQE Events'!F$6:F$3000&lt;=$AJ$3)*('Data - HSQE Events'!R$6:R$3000="Opportunity")),0)</f>
        <v>0</v>
      </c>
      <c r="K7" s="31">
        <f>IFERROR(SUMPRODUCT((((ISNUMBER(SEARCH(B7,'Data - HSQE Events'!V$6:V$3000))+ISNUMBER(SEARCH(B7,'Data - HSQE Events'!H$6:H$3000)))&gt;0))*('Data - HSQE Events'!F$6:F$3000&gt;=$AG$3)*('Data - HSQE Events'!F$6:F$3000&lt;=$AJ$3)*('Data - HSQE Events'!R$6:R$3000="Minor")),0)</f>
        <v>0</v>
      </c>
      <c r="L7" s="31">
        <f>IFERROR(SUMPRODUCT((((ISNUMBER(SEARCH(B7,'Data - HSQE Events'!V$6:V$3000))+ISNUMBER(SEARCH(B7,'Data - HSQE Events'!H$6:H$3000)))&gt;0))*('Data - HSQE Events'!F$6:F$3000&gt;=$AG$3)*('Data - HSQE Events'!F$6:F$3000&lt;=$AJ$3)*(('Data - HSQE Events'!R$6:R$3000="Moderate")+('Data - HSQE Events'!R$6:R$3000="Major"))),0)</f>
        <v>0</v>
      </c>
      <c r="M7" s="31" t="str">
        <f>IF(IFERROR(SUMPRODUCT((((ISNUMBER(SEARCH(B7,'Data - HSQE Events'!V$6:V$3000))+ISNUMBER(SEARCH(B7,'Data - HSQE Events'!H$6:H$3000)))&gt;0))*('Data - HSQE Events'!F$6:F$3000&gt;=$AG$3)*('Data - HSQE Events'!F$6:F$3000&lt;=$AJ$3)*('Data - HSQE Events'!R$6:R$3000="Major")),0)&gt;0,"YES","NO")</f>
        <v>NO</v>
      </c>
      <c r="N7" s="31">
        <f>IFERROR(SUMPRODUCT(('Data - Skillko'!B$6:B$3000=B7)*('Data - Skillko'!C$6:C$3000="Total")*('Data - Skillko'!E$6:E$3000))*100,0)</f>
        <v>100</v>
      </c>
      <c r="O7" s="31">
        <f t="shared" si="1"/>
        <v>5</v>
      </c>
      <c r="P7" s="31">
        <f>IFERROR(SUMPRODUCT(ISNUMBER(SEARCH(B7,'Pole Results'!$A$13:$A$2000))*('Pole Results'!$B$13:$B$2000&gt;=$AG$3)*('Pole Results'!$B$13:$B$2000&lt;=$AE$3)*('Pole Results'!$E$13:$E$2000="Non-Compliant")),0)</f>
        <v>0</v>
      </c>
      <c r="Q7" s="31">
        <f t="shared" si="2"/>
        <v>1</v>
      </c>
      <c r="R7" s="31">
        <f t="shared" si="3"/>
        <v>5</v>
      </c>
      <c r="S7" s="49">
        <f t="shared" si="4"/>
        <v>5</v>
      </c>
      <c r="T7" s="31">
        <f>IF('Field Teams'!$I$8="Inactive","",ROUND((Q7*Settings!$D$6+R7*Settings!$D$7+O7*Settings!$D$10+S7*Settings!$D$12+AO7*Settings!$D$13)/Settings!$D$14,1))</f>
        <v>3.1</v>
      </c>
      <c r="U7" s="115" t="str">
        <f>IF('Field Teams'!$I$8="Inactive","",IF(Q7="","",IF(Q7&gt;=4.5,"★★★★★",IF(Q7&gt;=3.5,"★★★★☆",IF(Q7&gt;=2.5,"★★★☆☆",IF(Q7&gt;=1.5,"★★☆☆☆","★☆☆☆☆"))))))</f>
        <v>★☆☆☆☆</v>
      </c>
      <c r="V7" s="115" t="str">
        <f>IF('Field Teams'!$I$8="Inactive","",IF(R7="","",IF(R7&gt;=4.5,"★★★★★",IF(R7&gt;=3.5,"★★★★☆",IF(R7&gt;=2.5,"★★★☆☆",IF(R7&gt;=1.5,"★★☆☆☆","★☆☆☆☆"))))))</f>
        <v>★★★★★</v>
      </c>
      <c r="W7" s="115" t="str">
        <f>IF('Field Teams'!$I$8="Inactive","",IF(O7="","",IF(O7&gt;=4.5,"★★★★★",IF(O7&gt;=3.5,"★★★★☆",IF(O7&gt;=2.5,"★★★☆☆",IF(O7&gt;=1.5,"★★☆☆☆","★☆☆☆☆"))))))</f>
        <v>★★★★★</v>
      </c>
      <c r="X7" s="115" t="str">
        <f>IF('Field Teams'!$I$8="Inactive","",IF(S7="","",IF(S7&gt;=4.5,"★★★★★",IF(S7&gt;=3.5,"★★★★☆",IF(S7&gt;=2.5,"★★★☆☆",IF(S7&gt;=1.5,"★★☆☆☆","★☆☆☆☆"))))))</f>
        <v>★★★★★</v>
      </c>
      <c r="Y7" s="115" t="str">
        <f>IF('Field Teams'!$I$8="Inactive","",IF(AO7="","",IF(AO7&gt;=4.5,"★★★★★",IF(AO7&gt;=3.5,"★★★★☆",IF(AO7&gt;=2.5,"★★★☆☆",IF(AO7&gt;=1.5,"★★☆☆☆","★☆☆☆☆"))))))</f>
        <v>★★★☆☆</v>
      </c>
      <c r="Z7" s="115" t="str">
        <f>IF('Field Teams'!$I$5="Inactive","",IF(T7="","",IF(T7&gt;=4.5,"★★★★★",IF(T7&gt;=3.5,"★★★★☆",IF(T7&gt;=2.5,"★★★☆☆",IF(T7&gt;=1.5,"★★☆☆☆","★☆☆☆☆"))))))</f>
        <v>★★★☆☆</v>
      </c>
      <c r="AA7" s="31" t="str">
        <f>IF('Field Teams'!$I$8="Inactive","",IF(M7="YES","HIGH",IF(Q7&lt;=Settings!$D$26,"HIGH",IF(T7&lt;=Settings!$D$23,"HIGH",IF(T7&lt;=Settings!$D$24,"MEDIUM","LOW")))))</f>
        <v>HIGH</v>
      </c>
      <c r="AB7" s="31">
        <f>IF('Field Teams'!$I$5="Inactive",-1,IFERROR((6-T7)+(77-ROW())*0.0001,0))</f>
        <v>2.907</v>
      </c>
      <c r="AC7" s="35">
        <f>IF('Field Teams'!$I$5="Inactive",999,IFERROR((6-T7)+(ROW()-3)*0.0001,99))</f>
        <v>2.9003999999999999</v>
      </c>
      <c r="AD7" s="31">
        <f>IF('Field Teams'!$I$8="Inactive",999,IFERROR(AB7+(ROW()-3)*0.0001,99))</f>
        <v>2.9074</v>
      </c>
      <c r="AE7" s="29">
        <v>0</v>
      </c>
      <c r="AF7" s="31" t="str">
        <f>IF('Field Teams'!$I$8="Inactive","",IF(AA7="HIGH","YES - within 5 working days",""))</f>
        <v>YES - within 5 working days</v>
      </c>
      <c r="AG7" s="105"/>
      <c r="AH7" s="49">
        <f>IFERROR(SUMPRODUCT(ISNUMBER(SEARCH(B7,'Pole Results'!$A$13:$A$2000))*('Pole Results'!$B$13:$B$2000&gt;=$AG$3)*('Pole Results'!$B$13:$B$2000&lt;=$AE$3)),0)</f>
        <v>0</v>
      </c>
      <c r="AI7" s="49">
        <f>IFERROR(SUMPRODUCT(ISNUMBER(SEARCH(B7,'Pole Results'!$A$13:$A$2000))*('Pole Results'!$B$13:$B$2000&gt;=$AG$3)*('Pole Results'!$B$13:$B$2000&lt;=$AE$3)*('Pole Results'!$E$13:$E$2000="Compliant")),0)</f>
        <v>0</v>
      </c>
      <c r="AJ7" s="105"/>
      <c r="AK7" s="106">
        <f>IF('Field Teams'!$I$8="Inactive",-1,IF(AA7="HIGH",AB7,-1))</f>
        <v>2.907</v>
      </c>
      <c r="AL7" s="106">
        <f>IF('Field Teams'!$I$8="Inactive",-1,IF(OR(AA7="HIGH",AA7="MEDIUM"),AB7,-1))</f>
        <v>2.907</v>
      </c>
      <c r="AM7" t="str">
        <f>IF('Field Teams'!$I$8="Inactive","",IF(IFERROR(LOOKUP(2,1/('Historical Scores'!C8:N8&lt;&gt;""),'Historical Scores'!C8:N8),"")="","New",IF(T7=""," ",IF(T7&gt;IFERROR(LOOKUP(2,1/('Historical Scores'!C8:N8&lt;&gt;""),'Historical Scores'!C8:N8),""),"▲ Worsening",IF(T7&lt;IFERROR(LOOKUP(2,1/('Historical Scores'!C8:N8&lt;&gt;""),'Historical Scores'!C8:N8),""),"▼ Improving","► Stable")))))</f>
        <v>New</v>
      </c>
      <c r="AN7">
        <f>IFERROR(SUMPRODUCT((ISNUMBER(SEARCH(B7,'Data - SSV'!AE$6:AE$3000)))*('Data - SSV'!AF$6:AF$3000&gt;=(AJ$3-90))*('Data - SSV'!AF$6:AF$3000&lt;=AJ$3)*('Data - SSV'!AH$6:AH$3000&lt;&gt;"")),0)</f>
        <v>0</v>
      </c>
      <c r="AO7">
        <f>IF('Field Teams'!$I$8="Inactive","",IF(AN7=0,3,IF(AN7=1,IF(IFERROR(SUMPRODUCT((ISNUMBER(SEARCH(B7,'Data - SSV'!AE$6:AE$3000)))*('Data - SSV'!AF$6:AF$3000&gt;=(AJ$3-90))*('Data - SSV'!AF$6:AF$3000&lt;=AJ$3)*('Data - SSV'!AH$6:AH$3000&lt;&gt;"")*IF('Data - SSV'!AH$6:AH$3000="",0,'Data - SSV'!AH$6:AH$3000))/AN7,3)=4,4,IF(IFERROR(SUMPRODUCT((ISNUMBER(SEARCH(B7,'Data - SSV'!AE$6:AE$3000)))*('Data - SSV'!AF$6:AF$3000&gt;=(AJ$3-90))*('Data - SSV'!AF$6:AF$3000&lt;=AJ$3)*('Data - SSV'!AH$6:AH$3000&lt;&gt;"")*IF('Data - SSV'!AH$6:AH$3000="",0,'Data - SSV'!AH$6:AH$3000))/AN7,3)&gt;=3,3,IF(IFERROR(SUMPRODUCT((ISNUMBER(SEARCH(B7,'Data - SSV'!AE$6:AE$3000)))*('Data - SSV'!AF$6:AF$3000&gt;=(AJ$3-90))*('Data - SSV'!AF$6:AF$3000&lt;=AJ$3)*('Data - SSV'!AH$6:AH$3000&lt;&gt;"")*IF('Data - SSV'!AH$6:AH$3000="",0,'Data - SSV'!AH$6:AH$3000))/AN7,3)&gt;=2,2,1))),IF(IFERROR(SUMPRODUCT((ISNUMBER(SEARCH(B7,'Data - SSV'!AE$6:AE$3000)))*('Data - SSV'!AF$6:AF$3000&gt;=(AJ$3-90))*('Data - SSV'!AF$6:AF$3000&lt;=AJ$3)*('Data - SSV'!AH$6:AH$3000&lt;&gt;"")*IF('Data - SSV'!AH$6:AH$3000="",0,'Data - SSV'!AH$6:AH$3000))/AN7,3)=4,5,IF(IFERROR(SUMPRODUCT((ISNUMBER(SEARCH(B7,'Data - SSV'!AE$6:AE$3000)))*('Data - SSV'!AF$6:AF$3000&gt;=(AJ$3-90))*('Data - SSV'!AF$6:AF$3000&lt;=AJ$3)*('Data - SSV'!AH$6:AH$3000&lt;&gt;"")*IF('Data - SSV'!AH$6:AH$3000="",0,'Data - SSV'!AH$6:AH$3000))/AN7,3)&gt;=3.5,4,IF(IFERROR(SUMPRODUCT((ISNUMBER(SEARCH(B7,'Data - SSV'!AE$6:AE$3000)))*('Data - SSV'!AF$6:AF$3000&gt;=(AJ$3-90))*('Data - SSV'!AF$6:AF$3000&lt;=AJ$3)*('Data - SSV'!AH$6:AH$3000&lt;&gt;"")*IF('Data - SSV'!AH$6:AH$3000="",0,'Data - SSV'!AH$6:AH$3000))/AN7,3)&gt;=3,3,IF(IFERROR(SUMPRODUCT((ISNUMBER(SEARCH(B7,'Data - SSV'!AE$6:AE$3000)))*('Data - SSV'!AF$6:AF$3000&gt;=(AJ$3-90))*('Data - SSV'!AF$6:AF$3000&lt;=AJ$3)*('Data - SSV'!AH$6:AH$3000&lt;&gt;"")*IF('Data - SSV'!AH$6:AH$3000="",0,'Data - SSV'!AH$6:AH$3000))/AN7,3)&gt;=2,2,1)))))))</f>
        <v>3</v>
      </c>
    </row>
    <row r="8" spans="1:41" ht="19.5" customHeight="1" x14ac:dyDescent="0.15">
      <c r="A8" s="10" t="str">
        <f>'Field Teams'!A9</f>
        <v>FT-005</v>
      </c>
      <c r="B8" s="30" t="str">
        <f>'Field Teams'!B9</f>
        <v>D &amp; R Landscapes</v>
      </c>
      <c r="C8" s="30" t="str">
        <f>'Field Teams'!C9</f>
        <v>Utility Arboriculture</v>
      </c>
      <c r="D8" s="10" t="str">
        <f>'Field Teams'!D9</f>
        <v>Donovan  Gosher</v>
      </c>
      <c r="E8" s="10" t="str">
        <f>'Field Teams'!E9</f>
        <v>Barry Bright</v>
      </c>
      <c r="F8" s="10">
        <f>'Field Teams'!F9</f>
        <v>0</v>
      </c>
      <c r="G8" s="10">
        <f>'Field Teams'!G9</f>
        <v>0</v>
      </c>
      <c r="H8" s="31">
        <f>'Field Teams'!H9</f>
        <v>6</v>
      </c>
      <c r="I8" s="31">
        <f t="shared" si="0"/>
        <v>12</v>
      </c>
      <c r="J8" s="31">
        <f>IFERROR(SUMPRODUCT((((ISNUMBER(SEARCH(B8,'Data - HSQE Events'!V$6:V$3000))+ISNUMBER(SEARCH(B8,'Data - HSQE Events'!H$6:H$3000)))&gt;0))*('Data - HSQE Events'!F$6:F$3000&gt;=$AG$3)*('Data - HSQE Events'!F$6:F$3000&lt;=$AJ$3)*('Data - HSQE Events'!R$6:R$3000="Opportunity")),0)</f>
        <v>0</v>
      </c>
      <c r="K8" s="31">
        <f>IFERROR(SUMPRODUCT((((ISNUMBER(SEARCH(B8,'Data - HSQE Events'!V$6:V$3000))+ISNUMBER(SEARCH(B8,'Data - HSQE Events'!H$6:H$3000)))&gt;0))*('Data - HSQE Events'!F$6:F$3000&gt;=$AG$3)*('Data - HSQE Events'!F$6:F$3000&lt;=$AJ$3)*('Data - HSQE Events'!R$6:R$3000="Minor")),0)</f>
        <v>0</v>
      </c>
      <c r="L8" s="31">
        <f>IFERROR(SUMPRODUCT((((ISNUMBER(SEARCH(B8,'Data - HSQE Events'!V$6:V$3000))+ISNUMBER(SEARCH(B8,'Data - HSQE Events'!H$6:H$3000)))&gt;0))*('Data - HSQE Events'!F$6:F$3000&gt;=$AG$3)*('Data - HSQE Events'!F$6:F$3000&lt;=$AJ$3)*(('Data - HSQE Events'!R$6:R$3000="Moderate")+('Data - HSQE Events'!R$6:R$3000="Major"))),0)</f>
        <v>0</v>
      </c>
      <c r="M8" s="31" t="str">
        <f>IF(IFERROR(SUMPRODUCT((((ISNUMBER(SEARCH(B8,'Data - HSQE Events'!V$6:V$3000))+ISNUMBER(SEARCH(B8,'Data - HSQE Events'!H$6:H$3000)))&gt;0))*('Data - HSQE Events'!F$6:F$3000&gt;=$AG$3)*('Data - HSQE Events'!F$6:F$3000&lt;=$AJ$3)*('Data - HSQE Events'!R$6:R$3000="Major")),0)&gt;0,"YES","NO")</f>
        <v>NO</v>
      </c>
      <c r="N8" s="31">
        <f>IFERROR(SUMPRODUCT(('Data - Skillko'!B$6:B$3000=B8)*('Data - Skillko'!C$6:C$3000="Total")*('Data - Skillko'!E$6:E$3000))*100,0)</f>
        <v>79</v>
      </c>
      <c r="O8" s="31">
        <f t="shared" si="1"/>
        <v>4.2</v>
      </c>
      <c r="P8" s="31">
        <f>IFERROR(SUMPRODUCT(ISNUMBER(SEARCH(B8,'Pole Results'!$A$13:$A$2000))*('Pole Results'!$B$13:$B$2000&gt;=$AG$3)*('Pole Results'!$B$13:$B$2000&lt;=$AE$3)*('Pole Results'!$E$13:$E$2000="Non-Compliant")),0)</f>
        <v>0</v>
      </c>
      <c r="Q8" s="31">
        <f t="shared" si="2"/>
        <v>1</v>
      </c>
      <c r="R8" s="31">
        <f t="shared" si="3"/>
        <v>5</v>
      </c>
      <c r="S8" s="49">
        <f t="shared" si="4"/>
        <v>5</v>
      </c>
      <c r="T8" s="31">
        <f>IF('Field Teams'!$I$9="Inactive","",ROUND((Q8*Settings!$D$6+R8*Settings!$D$7+O8*Settings!$D$10+S8*Settings!$D$12+AO8*Settings!$D$13)/Settings!$D$14,1))</f>
        <v>3</v>
      </c>
      <c r="U8" s="115" t="str">
        <f>IF('Field Teams'!$I$9="Inactive","",IF(Q8="","",IF(Q8&gt;=4.5,"★★★★★",IF(Q8&gt;=3.5,"★★★★☆",IF(Q8&gt;=2.5,"★★★☆☆",IF(Q8&gt;=1.5,"★★☆☆☆","★☆☆☆☆"))))))</f>
        <v>★☆☆☆☆</v>
      </c>
      <c r="V8" s="115" t="str">
        <f>IF('Field Teams'!$I$9="Inactive","",IF(R8="","",IF(R8&gt;=4.5,"★★★★★",IF(R8&gt;=3.5,"★★★★☆",IF(R8&gt;=2.5,"★★★☆☆",IF(R8&gt;=1.5,"★★☆☆☆","★☆☆☆☆"))))))</f>
        <v>★★★★★</v>
      </c>
      <c r="W8" s="115" t="str">
        <f>IF('Field Teams'!$I$9="Inactive","",IF(O8="","",IF(O8&gt;=4.5,"★★★★★",IF(O8&gt;=3.5,"★★★★☆",IF(O8&gt;=2.5,"★★★☆☆",IF(O8&gt;=1.5,"★★☆☆☆","★☆☆☆☆"))))))</f>
        <v>★★★★☆</v>
      </c>
      <c r="X8" s="115" t="str">
        <f>IF('Field Teams'!$I$9="Inactive","",IF(S8="","",IF(S8&gt;=4.5,"★★★★★",IF(S8&gt;=3.5,"★★★★☆",IF(S8&gt;=2.5,"★★★☆☆",IF(S8&gt;=1.5,"★★☆☆☆","★☆☆☆☆"))))))</f>
        <v>★★★★★</v>
      </c>
      <c r="Y8" s="115" t="str">
        <f>IF('Field Teams'!$I$9="Inactive","",IF(AO8="","",IF(AO8&gt;=4.5,"★★★★★",IF(AO8&gt;=3.5,"★★★★☆",IF(AO8&gt;=2.5,"★★★☆☆",IF(AO8&gt;=1.5,"★★☆☆☆","★☆☆☆☆"))))))</f>
        <v>★★★☆☆</v>
      </c>
      <c r="Z8" s="115" t="str">
        <f>IF('Field Teams'!$I$5="Inactive","",IF(T8="","",IF(T8&gt;=4.5,"★★★★★",IF(T8&gt;=3.5,"★★★★☆",IF(T8&gt;=2.5,"★★★☆☆",IF(T8&gt;=1.5,"★★☆☆☆","★☆☆☆☆"))))))</f>
        <v>★★★☆☆</v>
      </c>
      <c r="AA8" s="31" t="str">
        <f>IF('Field Teams'!$I$9="Inactive","",IF(M8="YES","HIGH",IF(Q8&lt;=Settings!$D$26,"HIGH",IF(T8&lt;=Settings!$D$23,"HIGH",IF(T8&lt;=Settings!$D$24,"MEDIUM","LOW")))))</f>
        <v>HIGH</v>
      </c>
      <c r="AB8" s="31">
        <f>IF('Field Teams'!$I$5="Inactive",-1,IFERROR((6-T8)+(77-ROW())*0.0001,0))</f>
        <v>3.0068999999999999</v>
      </c>
      <c r="AC8" s="35">
        <f>IF('Field Teams'!$I$5="Inactive",999,IFERROR((6-T8)+(ROW()-3)*0.0001,99))</f>
        <v>3.0005000000000002</v>
      </c>
      <c r="AD8" s="31">
        <f>IF('Field Teams'!$I$9="Inactive",999,IFERROR(AB8+(ROW()-3)*0.0001,99))</f>
        <v>3.0074000000000001</v>
      </c>
      <c r="AE8" s="29">
        <v>0</v>
      </c>
      <c r="AF8" s="31" t="str">
        <f>IF('Field Teams'!$I$9="Inactive","",IF(AA8="HIGH","YES - within 5 working days",""))</f>
        <v>YES - within 5 working days</v>
      </c>
      <c r="AG8" s="105"/>
      <c r="AH8" s="49">
        <f>IFERROR(SUMPRODUCT(ISNUMBER(SEARCH(B8,'Pole Results'!$A$13:$A$2000))*('Pole Results'!$B$13:$B$2000&gt;=$AG$3)*('Pole Results'!$B$13:$B$2000&lt;=$AE$3)),0)</f>
        <v>0</v>
      </c>
      <c r="AI8" s="49">
        <f>IFERROR(SUMPRODUCT(ISNUMBER(SEARCH(B8,'Pole Results'!$A$13:$A$2000))*('Pole Results'!$B$13:$B$2000&gt;=$AG$3)*('Pole Results'!$B$13:$B$2000&lt;=$AE$3)*('Pole Results'!$E$13:$E$2000="Compliant")),0)</f>
        <v>0</v>
      </c>
      <c r="AJ8" s="105"/>
      <c r="AK8" s="106">
        <f>IF('Field Teams'!$I$9="Inactive",-1,IF(AA8="HIGH",AB8,-1))</f>
        <v>3.0068999999999999</v>
      </c>
      <c r="AL8" s="106">
        <f>IF('Field Teams'!$I$9="Inactive",-1,IF(OR(AA8="HIGH",AA8="MEDIUM"),AB8,-1))</f>
        <v>3.0068999999999999</v>
      </c>
      <c r="AM8" t="str">
        <f>IF('Field Teams'!$I$9="Inactive","",IF(IFERROR(LOOKUP(2,1/('Historical Scores'!C9:N9&lt;&gt;""),'Historical Scores'!C9:N9),"")="","New",IF(T8=""," ",IF(T8&gt;IFERROR(LOOKUP(2,1/('Historical Scores'!C9:N9&lt;&gt;""),'Historical Scores'!C9:N9),""),"▲ Worsening",IF(T8&lt;IFERROR(LOOKUP(2,1/('Historical Scores'!C9:N9&lt;&gt;""),'Historical Scores'!C9:N9),""),"▼ Improving","► Stable")))))</f>
        <v>New</v>
      </c>
      <c r="AN8">
        <f>IFERROR(SUMPRODUCT((ISNUMBER(SEARCH(B8,'Data - SSV'!AE$6:AE$3000)))*('Data - SSV'!AF$6:AF$3000&gt;=(AJ$3-90))*('Data - SSV'!AF$6:AF$3000&lt;=AJ$3)*('Data - SSV'!AH$6:AH$3000&lt;&gt;"")),0)</f>
        <v>0</v>
      </c>
      <c r="AO8">
        <f>IF('Field Teams'!$I$9="Inactive","",IF(AN8=0,3,IF(AN8=1,IF(IFERROR(SUMPRODUCT((ISNUMBER(SEARCH(B8,'Data - SSV'!AE$6:AE$3000)))*('Data - SSV'!AF$6:AF$3000&gt;=(AJ$3-90))*('Data - SSV'!AF$6:AF$3000&lt;=AJ$3)*('Data - SSV'!AH$6:AH$3000&lt;&gt;"")*IF('Data - SSV'!AH$6:AH$3000="",0,'Data - SSV'!AH$6:AH$3000))/AN8,3)=4,4,IF(IFERROR(SUMPRODUCT((ISNUMBER(SEARCH(B8,'Data - SSV'!AE$6:AE$3000)))*('Data - SSV'!AF$6:AF$3000&gt;=(AJ$3-90))*('Data - SSV'!AF$6:AF$3000&lt;=AJ$3)*('Data - SSV'!AH$6:AH$3000&lt;&gt;"")*IF('Data - SSV'!AH$6:AH$3000="",0,'Data - SSV'!AH$6:AH$3000))/AN8,3)&gt;=3,3,IF(IFERROR(SUMPRODUCT((ISNUMBER(SEARCH(B8,'Data - SSV'!AE$6:AE$3000)))*('Data - SSV'!AF$6:AF$3000&gt;=(AJ$3-90))*('Data - SSV'!AF$6:AF$3000&lt;=AJ$3)*('Data - SSV'!AH$6:AH$3000&lt;&gt;"")*IF('Data - SSV'!AH$6:AH$3000="",0,'Data - SSV'!AH$6:AH$3000))/AN8,3)&gt;=2,2,1))),IF(IFERROR(SUMPRODUCT((ISNUMBER(SEARCH(B8,'Data - SSV'!AE$6:AE$3000)))*('Data - SSV'!AF$6:AF$3000&gt;=(AJ$3-90))*('Data - SSV'!AF$6:AF$3000&lt;=AJ$3)*('Data - SSV'!AH$6:AH$3000&lt;&gt;"")*IF('Data - SSV'!AH$6:AH$3000="",0,'Data - SSV'!AH$6:AH$3000))/AN8,3)=4,5,IF(IFERROR(SUMPRODUCT((ISNUMBER(SEARCH(B8,'Data - SSV'!AE$6:AE$3000)))*('Data - SSV'!AF$6:AF$3000&gt;=(AJ$3-90))*('Data - SSV'!AF$6:AF$3000&lt;=AJ$3)*('Data - SSV'!AH$6:AH$3000&lt;&gt;"")*IF('Data - SSV'!AH$6:AH$3000="",0,'Data - SSV'!AH$6:AH$3000))/AN8,3)&gt;=3.5,4,IF(IFERROR(SUMPRODUCT((ISNUMBER(SEARCH(B8,'Data - SSV'!AE$6:AE$3000)))*('Data - SSV'!AF$6:AF$3000&gt;=(AJ$3-90))*('Data - SSV'!AF$6:AF$3000&lt;=AJ$3)*('Data - SSV'!AH$6:AH$3000&lt;&gt;"")*IF('Data - SSV'!AH$6:AH$3000="",0,'Data - SSV'!AH$6:AH$3000))/AN8,3)&gt;=3,3,IF(IFERROR(SUMPRODUCT((ISNUMBER(SEARCH(B8,'Data - SSV'!AE$6:AE$3000)))*('Data - SSV'!AF$6:AF$3000&gt;=(AJ$3-90))*('Data - SSV'!AF$6:AF$3000&lt;=AJ$3)*('Data - SSV'!AH$6:AH$3000&lt;&gt;"")*IF('Data - SSV'!AH$6:AH$3000="",0,'Data - SSV'!AH$6:AH$3000))/AN8,3)&gt;=2,2,1)))))))</f>
        <v>3</v>
      </c>
    </row>
    <row r="9" spans="1:41" ht="19.5" customHeight="1" x14ac:dyDescent="0.15">
      <c r="A9" s="6" t="str">
        <f>'Field Teams'!A10</f>
        <v>FT-006</v>
      </c>
      <c r="B9" s="28" t="str">
        <f>'Field Teams'!B10</f>
        <v>Eastwoodbury Tree Services Ltd</v>
      </c>
      <c r="C9" s="28" t="str">
        <f>'Field Teams'!C10</f>
        <v>Utility Arboriculture</v>
      </c>
      <c r="D9" s="6" t="str">
        <f>'Field Teams'!D10</f>
        <v>Donovan  Gosher</v>
      </c>
      <c r="E9" s="6" t="str">
        <f>'Field Teams'!E10</f>
        <v>Barry Bright</v>
      </c>
      <c r="F9" s="6">
        <f>'Field Teams'!F10</f>
        <v>0</v>
      </c>
      <c r="G9" s="6">
        <f>'Field Teams'!G10</f>
        <v>0</v>
      </c>
      <c r="H9" s="31">
        <f>'Field Teams'!H10</f>
        <v>6</v>
      </c>
      <c r="I9" s="31">
        <f t="shared" si="0"/>
        <v>12</v>
      </c>
      <c r="J9" s="31">
        <f>IFERROR(SUMPRODUCT((((ISNUMBER(SEARCH(B9,'Data - HSQE Events'!V$6:V$3000))+ISNUMBER(SEARCH(B9,'Data - HSQE Events'!H$6:H$3000)))&gt;0))*('Data - HSQE Events'!F$6:F$3000&gt;=$AG$3)*('Data - HSQE Events'!F$6:F$3000&lt;=$AJ$3)*('Data - HSQE Events'!R$6:R$3000="Opportunity")),0)</f>
        <v>0</v>
      </c>
      <c r="K9" s="31">
        <f>IFERROR(SUMPRODUCT((((ISNUMBER(SEARCH(B9,'Data - HSQE Events'!V$6:V$3000))+ISNUMBER(SEARCH(B9,'Data - HSQE Events'!H$6:H$3000)))&gt;0))*('Data - HSQE Events'!F$6:F$3000&gt;=$AG$3)*('Data - HSQE Events'!F$6:F$3000&lt;=$AJ$3)*('Data - HSQE Events'!R$6:R$3000="Minor")),0)</f>
        <v>0</v>
      </c>
      <c r="L9" s="31">
        <f>IFERROR(SUMPRODUCT((((ISNUMBER(SEARCH(B9,'Data - HSQE Events'!V$6:V$3000))+ISNUMBER(SEARCH(B9,'Data - HSQE Events'!H$6:H$3000)))&gt;0))*('Data - HSQE Events'!F$6:F$3000&gt;=$AG$3)*('Data - HSQE Events'!F$6:F$3000&lt;=$AJ$3)*(('Data - HSQE Events'!R$6:R$3000="Moderate")+('Data - HSQE Events'!R$6:R$3000="Major"))),0)</f>
        <v>0</v>
      </c>
      <c r="M9" s="31" t="str">
        <f>IF(IFERROR(SUMPRODUCT((((ISNUMBER(SEARCH(B9,'Data - HSQE Events'!V$6:V$3000))+ISNUMBER(SEARCH(B9,'Data - HSQE Events'!H$6:H$3000)))&gt;0))*('Data - HSQE Events'!F$6:F$3000&gt;=$AG$3)*('Data - HSQE Events'!F$6:F$3000&lt;=$AJ$3)*('Data - HSQE Events'!R$6:R$3000="Major")),0)&gt;0,"YES","NO")</f>
        <v>NO</v>
      </c>
      <c r="N9" s="31">
        <f>IFERROR(SUMPRODUCT(('Data - Skillko'!B$6:B$3000=B9)*('Data - Skillko'!C$6:C$3000="Total")*('Data - Skillko'!E$6:E$3000))*100,0)</f>
        <v>76</v>
      </c>
      <c r="O9" s="31">
        <f t="shared" si="1"/>
        <v>4</v>
      </c>
      <c r="P9" s="31">
        <f>IFERROR(SUMPRODUCT(ISNUMBER(SEARCH(B9,'Pole Results'!$A$13:$A$2000))*('Pole Results'!$B$13:$B$2000&gt;=$AG$3)*('Pole Results'!$B$13:$B$2000&lt;=$AE$3)*('Pole Results'!$E$13:$E$2000="Non-Compliant")),0)</f>
        <v>0</v>
      </c>
      <c r="Q9" s="31">
        <f t="shared" si="2"/>
        <v>1</v>
      </c>
      <c r="R9" s="31">
        <f t="shared" si="3"/>
        <v>5</v>
      </c>
      <c r="S9" s="49">
        <f t="shared" si="4"/>
        <v>5</v>
      </c>
      <c r="T9" s="31">
        <f>IF('Field Teams'!$I$10="Inactive","",ROUND((Q9*Settings!$D$6+R9*Settings!$D$7+O9*Settings!$D$10+S9*Settings!$D$12+AO9*Settings!$D$13)/Settings!$D$14,1))</f>
        <v>3</v>
      </c>
      <c r="U9" s="115" t="str">
        <f>IF('Field Teams'!$I$10="Inactive","",IF(Q9="","",IF(Q9&gt;=4.5,"★★★★★",IF(Q9&gt;=3.5,"★★★★☆",IF(Q9&gt;=2.5,"★★★☆☆",IF(Q9&gt;=1.5,"★★☆☆☆","★☆☆☆☆"))))))</f>
        <v>★☆☆☆☆</v>
      </c>
      <c r="V9" s="115" t="str">
        <f>IF('Field Teams'!$I$10="Inactive","",IF(R9="","",IF(R9&gt;=4.5,"★★★★★",IF(R9&gt;=3.5,"★★★★☆",IF(R9&gt;=2.5,"★★★☆☆",IF(R9&gt;=1.5,"★★☆☆☆","★☆☆☆☆"))))))</f>
        <v>★★★★★</v>
      </c>
      <c r="W9" s="115" t="str">
        <f>IF('Field Teams'!$I$10="Inactive","",IF(O9="","",IF(O9&gt;=4.5,"★★★★★",IF(O9&gt;=3.5,"★★★★☆",IF(O9&gt;=2.5,"★★★☆☆",IF(O9&gt;=1.5,"★★☆☆☆","★☆☆☆☆"))))))</f>
        <v>★★★★☆</v>
      </c>
      <c r="X9" s="115" t="str">
        <f>IF('Field Teams'!$I$10="Inactive","",IF(S9="","",IF(S9&gt;=4.5,"★★★★★",IF(S9&gt;=3.5,"★★★★☆",IF(S9&gt;=2.5,"★★★☆☆",IF(S9&gt;=1.5,"★★☆☆☆","★☆☆☆☆"))))))</f>
        <v>★★★★★</v>
      </c>
      <c r="Y9" s="115" t="str">
        <f>IF('Field Teams'!$I$10="Inactive","",IF(AO9="","",IF(AO9&gt;=4.5,"★★★★★",IF(AO9&gt;=3.5,"★★★★☆",IF(AO9&gt;=2.5,"★★★☆☆",IF(AO9&gt;=1.5,"★★☆☆☆","★☆☆☆☆"))))))</f>
        <v>★★★☆☆</v>
      </c>
      <c r="Z9" s="115" t="str">
        <f>IF('Field Teams'!$I$5="Inactive","",IF(T9="","",IF(T9&gt;=4.5,"★★★★★",IF(T9&gt;=3.5,"★★★★☆",IF(T9&gt;=2.5,"★★★☆☆",IF(T9&gt;=1.5,"★★☆☆☆","★☆☆☆☆"))))))</f>
        <v>★★★☆☆</v>
      </c>
      <c r="AA9" s="31" t="str">
        <f>IF('Field Teams'!$I$10="Inactive","",IF(M9="YES","HIGH",IF(Q9&lt;=Settings!$D$26,"HIGH",IF(T9&lt;=Settings!$D$23,"HIGH",IF(T9&lt;=Settings!$D$24,"MEDIUM","LOW")))))</f>
        <v>HIGH</v>
      </c>
      <c r="AB9" s="31">
        <f>IF('Field Teams'!$I$5="Inactive",-1,IFERROR((6-T9)+(77-ROW())*0.0001,0))</f>
        <v>3.0068000000000001</v>
      </c>
      <c r="AC9" s="35">
        <f>IF('Field Teams'!$I$5="Inactive",999,IFERROR((6-T9)+(ROW()-3)*0.0001,99))</f>
        <v>3.0005999999999999</v>
      </c>
      <c r="AD9" s="31">
        <f>IF('Field Teams'!$I$10="Inactive",999,IFERROR(AB9+(ROW()-3)*0.0001,99))</f>
        <v>3.0074000000000001</v>
      </c>
      <c r="AE9" s="29">
        <v>0</v>
      </c>
      <c r="AF9" s="31" t="str">
        <f>IF('Field Teams'!$I$10="Inactive","",IF(AA9="HIGH","YES - within 5 working days",""))</f>
        <v>YES - within 5 working days</v>
      </c>
      <c r="AG9" s="105"/>
      <c r="AH9" s="49">
        <f>IFERROR(SUMPRODUCT(ISNUMBER(SEARCH(B9,'Pole Results'!$A$13:$A$2000))*('Pole Results'!$B$13:$B$2000&gt;=$AG$3)*('Pole Results'!$B$13:$B$2000&lt;=$AE$3)),0)</f>
        <v>0</v>
      </c>
      <c r="AI9" s="49">
        <f>IFERROR(SUMPRODUCT(ISNUMBER(SEARCH(B9,'Pole Results'!$A$13:$A$2000))*('Pole Results'!$B$13:$B$2000&gt;=$AG$3)*('Pole Results'!$B$13:$B$2000&lt;=$AE$3)*('Pole Results'!$E$13:$E$2000="Compliant")),0)</f>
        <v>0</v>
      </c>
      <c r="AJ9" s="105"/>
      <c r="AK9" s="106">
        <f>IF('Field Teams'!$I$10="Inactive",-1,IF(AA9="HIGH",AB9,-1))</f>
        <v>3.0068000000000001</v>
      </c>
      <c r="AL9" s="106">
        <f>IF('Field Teams'!$I$10="Inactive",-1,IF(OR(AA9="HIGH",AA9="MEDIUM"),AB9,-1))</f>
        <v>3.0068000000000001</v>
      </c>
      <c r="AM9" t="str">
        <f>IF('Field Teams'!$I$10="Inactive","",IF(IFERROR(LOOKUP(2,1/('Historical Scores'!C10:N10&lt;&gt;""),'Historical Scores'!C10:N10),"")="","New",IF(T9=""," ",IF(T9&gt;IFERROR(LOOKUP(2,1/('Historical Scores'!C10:N10&lt;&gt;""),'Historical Scores'!C10:N10),""),"▲ Worsening",IF(T9&lt;IFERROR(LOOKUP(2,1/('Historical Scores'!C10:N10&lt;&gt;""),'Historical Scores'!C10:N10),""),"▼ Improving","► Stable")))))</f>
        <v>New</v>
      </c>
      <c r="AN9">
        <f>IFERROR(SUMPRODUCT((ISNUMBER(SEARCH(B9,'Data - SSV'!AE$6:AE$3000)))*('Data - SSV'!AF$6:AF$3000&gt;=(AJ$3-90))*('Data - SSV'!AF$6:AF$3000&lt;=AJ$3)*('Data - SSV'!AH$6:AH$3000&lt;&gt;"")),0)</f>
        <v>0</v>
      </c>
      <c r="AO9">
        <f>IF('Field Teams'!$I$10="Inactive","",IF(AN9=0,3,IF(AN9=1,IF(IFERROR(SUMPRODUCT((ISNUMBER(SEARCH(B9,'Data - SSV'!AE$6:AE$3000)))*('Data - SSV'!AF$6:AF$3000&gt;=(AJ$3-90))*('Data - SSV'!AF$6:AF$3000&lt;=AJ$3)*('Data - SSV'!AH$6:AH$3000&lt;&gt;"")*IF('Data - SSV'!AH$6:AH$3000="",0,'Data - SSV'!AH$6:AH$3000))/AN9,3)=4,4,IF(IFERROR(SUMPRODUCT((ISNUMBER(SEARCH(B9,'Data - SSV'!AE$6:AE$3000)))*('Data - SSV'!AF$6:AF$3000&gt;=(AJ$3-90))*('Data - SSV'!AF$6:AF$3000&lt;=AJ$3)*('Data - SSV'!AH$6:AH$3000&lt;&gt;"")*IF('Data - SSV'!AH$6:AH$3000="",0,'Data - SSV'!AH$6:AH$3000))/AN9,3)&gt;=3,3,IF(IFERROR(SUMPRODUCT((ISNUMBER(SEARCH(B9,'Data - SSV'!AE$6:AE$3000)))*('Data - SSV'!AF$6:AF$3000&gt;=(AJ$3-90))*('Data - SSV'!AF$6:AF$3000&lt;=AJ$3)*('Data - SSV'!AH$6:AH$3000&lt;&gt;"")*IF('Data - SSV'!AH$6:AH$3000="",0,'Data - SSV'!AH$6:AH$3000))/AN9,3)&gt;=2,2,1))),IF(IFERROR(SUMPRODUCT((ISNUMBER(SEARCH(B9,'Data - SSV'!AE$6:AE$3000)))*('Data - SSV'!AF$6:AF$3000&gt;=(AJ$3-90))*('Data - SSV'!AF$6:AF$3000&lt;=AJ$3)*('Data - SSV'!AH$6:AH$3000&lt;&gt;"")*IF('Data - SSV'!AH$6:AH$3000="",0,'Data - SSV'!AH$6:AH$3000))/AN9,3)=4,5,IF(IFERROR(SUMPRODUCT((ISNUMBER(SEARCH(B9,'Data - SSV'!AE$6:AE$3000)))*('Data - SSV'!AF$6:AF$3000&gt;=(AJ$3-90))*('Data - SSV'!AF$6:AF$3000&lt;=AJ$3)*('Data - SSV'!AH$6:AH$3000&lt;&gt;"")*IF('Data - SSV'!AH$6:AH$3000="",0,'Data - SSV'!AH$6:AH$3000))/AN9,3)&gt;=3.5,4,IF(IFERROR(SUMPRODUCT((ISNUMBER(SEARCH(B9,'Data - SSV'!AE$6:AE$3000)))*('Data - SSV'!AF$6:AF$3000&gt;=(AJ$3-90))*('Data - SSV'!AF$6:AF$3000&lt;=AJ$3)*('Data - SSV'!AH$6:AH$3000&lt;&gt;"")*IF('Data - SSV'!AH$6:AH$3000="",0,'Data - SSV'!AH$6:AH$3000))/AN9,3)&gt;=3,3,IF(IFERROR(SUMPRODUCT((ISNUMBER(SEARCH(B9,'Data - SSV'!AE$6:AE$3000)))*('Data - SSV'!AF$6:AF$3000&gt;=(AJ$3-90))*('Data - SSV'!AF$6:AF$3000&lt;=AJ$3)*('Data - SSV'!AH$6:AH$3000&lt;&gt;"")*IF('Data - SSV'!AH$6:AH$3000="",0,'Data - SSV'!AH$6:AH$3000))/AN9,3)&gt;=2,2,1)))))))</f>
        <v>3</v>
      </c>
    </row>
    <row r="10" spans="1:41" ht="19.5" customHeight="1" x14ac:dyDescent="0.15">
      <c r="A10" s="10" t="str">
        <f>'Field Teams'!A11</f>
        <v>FT-007</v>
      </c>
      <c r="B10" s="30" t="str">
        <f>'Field Teams'!B11</f>
        <v>Green Net Eco Ltd</v>
      </c>
      <c r="C10" s="30" t="str">
        <f>'Field Teams'!C11</f>
        <v>Utility Arboriculture</v>
      </c>
      <c r="D10" s="10" t="str">
        <f>'Field Teams'!D11</f>
        <v>Donovan  Gosher</v>
      </c>
      <c r="E10" s="10" t="str">
        <f>'Field Teams'!E11</f>
        <v>Barry Bright</v>
      </c>
      <c r="F10" s="10">
        <f>'Field Teams'!F11</f>
        <v>0</v>
      </c>
      <c r="G10" s="10">
        <f>'Field Teams'!G11</f>
        <v>0</v>
      </c>
      <c r="H10" s="31">
        <f>'Field Teams'!H11</f>
        <v>3</v>
      </c>
      <c r="I10" s="31">
        <f t="shared" si="0"/>
        <v>6</v>
      </c>
      <c r="J10" s="31">
        <f>IFERROR(SUMPRODUCT((((ISNUMBER(SEARCH(B10,'Data - HSQE Events'!V$6:V$3000))+ISNUMBER(SEARCH(B10,'Data - HSQE Events'!H$6:H$3000)))&gt;0))*('Data - HSQE Events'!F$6:F$3000&gt;=$AG$3)*('Data - HSQE Events'!F$6:F$3000&lt;=$AJ$3)*('Data - HSQE Events'!R$6:R$3000="Opportunity")),0)</f>
        <v>0</v>
      </c>
      <c r="K10" s="31">
        <f>IFERROR(SUMPRODUCT((((ISNUMBER(SEARCH(B10,'Data - HSQE Events'!V$6:V$3000))+ISNUMBER(SEARCH(B10,'Data - HSQE Events'!H$6:H$3000)))&gt;0))*('Data - HSQE Events'!F$6:F$3000&gt;=$AG$3)*('Data - HSQE Events'!F$6:F$3000&lt;=$AJ$3)*('Data - HSQE Events'!R$6:R$3000="Minor")),0)</f>
        <v>0</v>
      </c>
      <c r="L10" s="31">
        <f>IFERROR(SUMPRODUCT((((ISNUMBER(SEARCH(B10,'Data - HSQE Events'!V$6:V$3000))+ISNUMBER(SEARCH(B10,'Data - HSQE Events'!H$6:H$3000)))&gt;0))*('Data - HSQE Events'!F$6:F$3000&gt;=$AG$3)*('Data - HSQE Events'!F$6:F$3000&lt;=$AJ$3)*(('Data - HSQE Events'!R$6:R$3000="Moderate")+('Data - HSQE Events'!R$6:R$3000="Major"))),0)</f>
        <v>0</v>
      </c>
      <c r="M10" s="31" t="str">
        <f>IF(IFERROR(SUMPRODUCT((((ISNUMBER(SEARCH(B10,'Data - HSQE Events'!V$6:V$3000))+ISNUMBER(SEARCH(B10,'Data - HSQE Events'!H$6:H$3000)))&gt;0))*('Data - HSQE Events'!F$6:F$3000&gt;=$AG$3)*('Data - HSQE Events'!F$6:F$3000&lt;=$AJ$3)*('Data - HSQE Events'!R$6:R$3000="Major")),0)&gt;0,"YES","NO")</f>
        <v>NO</v>
      </c>
      <c r="N10" s="31">
        <f>IFERROR(SUMPRODUCT(('Data - Skillko'!B$6:B$3000=B10)*('Data - Skillko'!C$6:C$3000="Total")*('Data - Skillko'!E$6:E$3000))*100,0)</f>
        <v>98</v>
      </c>
      <c r="O10" s="31">
        <f t="shared" si="1"/>
        <v>4.9000000000000004</v>
      </c>
      <c r="P10" s="31">
        <f>IFERROR(SUMPRODUCT(ISNUMBER(SEARCH(B10,'Pole Results'!$A$13:$A$2000))*('Pole Results'!$B$13:$B$2000&gt;=$AG$3)*('Pole Results'!$B$13:$B$2000&lt;=$AE$3)*('Pole Results'!$E$13:$E$2000="Non-Compliant")),0)</f>
        <v>0</v>
      </c>
      <c r="Q10" s="31">
        <f t="shared" si="2"/>
        <v>1</v>
      </c>
      <c r="R10" s="31">
        <f t="shared" si="3"/>
        <v>5</v>
      </c>
      <c r="S10" s="49">
        <f t="shared" si="4"/>
        <v>5</v>
      </c>
      <c r="T10" s="31">
        <f>IF('Field Teams'!$I$11="Inactive","",ROUND((Q10*Settings!$D$6+R10*Settings!$D$7+O10*Settings!$D$10+S10*Settings!$D$12+AO10*Settings!$D$13)/Settings!$D$14,1))</f>
        <v>3.1</v>
      </c>
      <c r="U10" s="115" t="str">
        <f>IF('Field Teams'!$I$11="Inactive","",IF(Q10="","",IF(Q10&gt;=4.5,"★★★★★",IF(Q10&gt;=3.5,"★★★★☆",IF(Q10&gt;=2.5,"★★★☆☆",IF(Q10&gt;=1.5,"★★☆☆☆","★☆☆☆☆"))))))</f>
        <v>★☆☆☆☆</v>
      </c>
      <c r="V10" s="115" t="str">
        <f>IF('Field Teams'!$I$11="Inactive","",IF(R10="","",IF(R10&gt;=4.5,"★★★★★",IF(R10&gt;=3.5,"★★★★☆",IF(R10&gt;=2.5,"★★★☆☆",IF(R10&gt;=1.5,"★★☆☆☆","★☆☆☆☆"))))))</f>
        <v>★★★★★</v>
      </c>
      <c r="W10" s="115" t="str">
        <f>IF('Field Teams'!$I$11="Inactive","",IF(O10="","",IF(O10&gt;=4.5,"★★★★★",IF(O10&gt;=3.5,"★★★★☆",IF(O10&gt;=2.5,"★★★☆☆",IF(O10&gt;=1.5,"★★☆☆☆","★☆☆☆☆"))))))</f>
        <v>★★★★★</v>
      </c>
      <c r="X10" s="115" t="str">
        <f>IF('Field Teams'!$I$11="Inactive","",IF(S10="","",IF(S10&gt;=4.5,"★★★★★",IF(S10&gt;=3.5,"★★★★☆",IF(S10&gt;=2.5,"★★★☆☆",IF(S10&gt;=1.5,"★★☆☆☆","★☆☆☆☆"))))))</f>
        <v>★★★★★</v>
      </c>
      <c r="Y10" s="115" t="str">
        <f>IF('Field Teams'!$I$11="Inactive","",IF(AO10="","",IF(AO10&gt;=4.5,"★★★★★",IF(AO10&gt;=3.5,"★★★★☆",IF(AO10&gt;=2.5,"★★★☆☆",IF(AO10&gt;=1.5,"★★☆☆☆","★☆☆☆☆"))))))</f>
        <v>★★★☆☆</v>
      </c>
      <c r="Z10" s="115" t="str">
        <f>IF('Field Teams'!$I$5="Inactive","",IF(T10="","",IF(T10&gt;=4.5,"★★★★★",IF(T10&gt;=3.5,"★★★★☆",IF(T10&gt;=2.5,"★★★☆☆",IF(T10&gt;=1.5,"★★☆☆☆","★☆☆☆☆"))))))</f>
        <v>★★★☆☆</v>
      </c>
      <c r="AA10" s="31" t="str">
        <f>IF('Field Teams'!$I$11="Inactive","",IF(M10="YES","HIGH",IF(Q10&lt;=Settings!$D$26,"HIGH",IF(T10&lt;=Settings!$D$23,"HIGH",IF(T10&lt;=Settings!$D$24,"MEDIUM","LOW")))))</f>
        <v>HIGH</v>
      </c>
      <c r="AB10" s="31">
        <f>IF('Field Teams'!$I$5="Inactive",-1,IFERROR((6-T10)+(77-ROW())*0.0001,0))</f>
        <v>2.9066999999999998</v>
      </c>
      <c r="AC10" s="35">
        <f>IF('Field Teams'!$I$5="Inactive",999,IFERROR((6-T10)+(ROW()-3)*0.0001,99))</f>
        <v>2.9007000000000001</v>
      </c>
      <c r="AD10" s="31">
        <f>IF('Field Teams'!$I$11="Inactive",999,IFERROR(AB10+(ROW()-3)*0.0001,99))</f>
        <v>2.9074</v>
      </c>
      <c r="AE10" s="29">
        <v>0</v>
      </c>
      <c r="AF10" s="31" t="str">
        <f>IF('Field Teams'!$I$11="Inactive","",IF(AA10="HIGH","YES - within 5 working days",""))</f>
        <v>YES - within 5 working days</v>
      </c>
      <c r="AG10" s="105"/>
      <c r="AH10" s="49">
        <f>IFERROR(SUMPRODUCT(ISNUMBER(SEARCH(B10,'Pole Results'!$A$13:$A$2000))*('Pole Results'!$B$13:$B$2000&gt;=$AG$3)*('Pole Results'!$B$13:$B$2000&lt;=$AE$3)),0)</f>
        <v>0</v>
      </c>
      <c r="AI10" s="49">
        <f>IFERROR(SUMPRODUCT(ISNUMBER(SEARCH(B10,'Pole Results'!$A$13:$A$2000))*('Pole Results'!$B$13:$B$2000&gt;=$AG$3)*('Pole Results'!$B$13:$B$2000&lt;=$AE$3)*('Pole Results'!$E$13:$E$2000="Compliant")),0)</f>
        <v>0</v>
      </c>
      <c r="AJ10" s="105"/>
      <c r="AK10" s="106">
        <f>IF('Field Teams'!$I$11="Inactive",-1,IF(AA10="HIGH",AB10,-1))</f>
        <v>2.9066999999999998</v>
      </c>
      <c r="AL10" s="106">
        <f>IF('Field Teams'!$I$11="Inactive",-1,IF(OR(AA10="HIGH",AA10="MEDIUM"),AB10,-1))</f>
        <v>2.9066999999999998</v>
      </c>
      <c r="AM10" t="str">
        <f>IF('Field Teams'!$I$11="Inactive","",IF(IFERROR(LOOKUP(2,1/('Historical Scores'!C11:N11&lt;&gt;""),'Historical Scores'!C11:N11),"")="","New",IF(T10=""," ",IF(T10&gt;IFERROR(LOOKUP(2,1/('Historical Scores'!C11:N11&lt;&gt;""),'Historical Scores'!C11:N11),""),"▲ Worsening",IF(T10&lt;IFERROR(LOOKUP(2,1/('Historical Scores'!C11:N11&lt;&gt;""),'Historical Scores'!C11:N11),""),"▼ Improving","► Stable")))))</f>
        <v>New</v>
      </c>
      <c r="AN10">
        <f>IFERROR(SUMPRODUCT((ISNUMBER(SEARCH(B10,'Data - SSV'!AE$6:AE$3000)))*('Data - SSV'!AF$6:AF$3000&gt;=(AJ$3-90))*('Data - SSV'!AF$6:AF$3000&lt;=AJ$3)*('Data - SSV'!AH$6:AH$3000&lt;&gt;"")),0)</f>
        <v>0</v>
      </c>
      <c r="AO10">
        <f>IF('Field Teams'!$I$11="Inactive","",IF(AN10=0,3,IF(AN10=1,IF(IFERROR(SUMPRODUCT((ISNUMBER(SEARCH(B10,'Data - SSV'!AE$6:AE$3000)))*('Data - SSV'!AF$6:AF$3000&gt;=(AJ$3-90))*('Data - SSV'!AF$6:AF$3000&lt;=AJ$3)*('Data - SSV'!AH$6:AH$3000&lt;&gt;"")*IF('Data - SSV'!AH$6:AH$3000="",0,'Data - SSV'!AH$6:AH$3000))/AN10,3)=4,4,IF(IFERROR(SUMPRODUCT((ISNUMBER(SEARCH(B10,'Data - SSV'!AE$6:AE$3000)))*('Data - SSV'!AF$6:AF$3000&gt;=(AJ$3-90))*('Data - SSV'!AF$6:AF$3000&lt;=AJ$3)*('Data - SSV'!AH$6:AH$3000&lt;&gt;"")*IF('Data - SSV'!AH$6:AH$3000="",0,'Data - SSV'!AH$6:AH$3000))/AN10,3)&gt;=3,3,IF(IFERROR(SUMPRODUCT((ISNUMBER(SEARCH(B10,'Data - SSV'!AE$6:AE$3000)))*('Data - SSV'!AF$6:AF$3000&gt;=(AJ$3-90))*('Data - SSV'!AF$6:AF$3000&lt;=AJ$3)*('Data - SSV'!AH$6:AH$3000&lt;&gt;"")*IF('Data - SSV'!AH$6:AH$3000="",0,'Data - SSV'!AH$6:AH$3000))/AN10,3)&gt;=2,2,1))),IF(IFERROR(SUMPRODUCT((ISNUMBER(SEARCH(B10,'Data - SSV'!AE$6:AE$3000)))*('Data - SSV'!AF$6:AF$3000&gt;=(AJ$3-90))*('Data - SSV'!AF$6:AF$3000&lt;=AJ$3)*('Data - SSV'!AH$6:AH$3000&lt;&gt;"")*IF('Data - SSV'!AH$6:AH$3000="",0,'Data - SSV'!AH$6:AH$3000))/AN10,3)=4,5,IF(IFERROR(SUMPRODUCT((ISNUMBER(SEARCH(B10,'Data - SSV'!AE$6:AE$3000)))*('Data - SSV'!AF$6:AF$3000&gt;=(AJ$3-90))*('Data - SSV'!AF$6:AF$3000&lt;=AJ$3)*('Data - SSV'!AH$6:AH$3000&lt;&gt;"")*IF('Data - SSV'!AH$6:AH$3000="",0,'Data - SSV'!AH$6:AH$3000))/AN10,3)&gt;=3.5,4,IF(IFERROR(SUMPRODUCT((ISNUMBER(SEARCH(B10,'Data - SSV'!AE$6:AE$3000)))*('Data - SSV'!AF$6:AF$3000&gt;=(AJ$3-90))*('Data - SSV'!AF$6:AF$3000&lt;=AJ$3)*('Data - SSV'!AH$6:AH$3000&lt;&gt;"")*IF('Data - SSV'!AH$6:AH$3000="",0,'Data - SSV'!AH$6:AH$3000))/AN10,3)&gt;=3,3,IF(IFERROR(SUMPRODUCT((ISNUMBER(SEARCH(B10,'Data - SSV'!AE$6:AE$3000)))*('Data - SSV'!AF$6:AF$3000&gt;=(AJ$3-90))*('Data - SSV'!AF$6:AF$3000&lt;=AJ$3)*('Data - SSV'!AH$6:AH$3000&lt;&gt;"")*IF('Data - SSV'!AH$6:AH$3000="",0,'Data - SSV'!AH$6:AH$3000))/AN10,3)&gt;=2,2,1)))))))</f>
        <v>3</v>
      </c>
    </row>
    <row r="11" spans="1:41" ht="19.5" customHeight="1" x14ac:dyDescent="0.15">
      <c r="A11" s="6" t="str">
        <f>'Field Teams'!A12</f>
        <v>FT-008</v>
      </c>
      <c r="B11" s="28" t="str">
        <f>'Field Teams'!B12</f>
        <v>Hope Ground and Tree Care</v>
      </c>
      <c r="C11" s="28" t="str">
        <f>'Field Teams'!C12</f>
        <v>Utility Arboriculture</v>
      </c>
      <c r="D11" s="6" t="str">
        <f>'Field Teams'!D12</f>
        <v>Donovan  Gosher</v>
      </c>
      <c r="E11" s="6" t="str">
        <f>'Field Teams'!E12</f>
        <v>Barry Bright</v>
      </c>
      <c r="F11" s="6">
        <f>'Field Teams'!F12</f>
        <v>0</v>
      </c>
      <c r="G11" s="6">
        <f>'Field Teams'!G12</f>
        <v>0</v>
      </c>
      <c r="H11" s="31">
        <f>'Field Teams'!H12</f>
        <v>2</v>
      </c>
      <c r="I11" s="31">
        <f t="shared" si="0"/>
        <v>4</v>
      </c>
      <c r="J11" s="31">
        <f>IFERROR(SUMPRODUCT((((ISNUMBER(SEARCH(B11,'Data - HSQE Events'!V$6:V$3000))+ISNUMBER(SEARCH(B11,'Data - HSQE Events'!H$6:H$3000)))&gt;0))*('Data - HSQE Events'!F$6:F$3000&gt;=$AG$3)*('Data - HSQE Events'!F$6:F$3000&lt;=$AJ$3)*('Data - HSQE Events'!R$6:R$3000="Opportunity")),0)</f>
        <v>0</v>
      </c>
      <c r="K11" s="31">
        <f>IFERROR(SUMPRODUCT((((ISNUMBER(SEARCH(B11,'Data - HSQE Events'!V$6:V$3000))+ISNUMBER(SEARCH(B11,'Data - HSQE Events'!H$6:H$3000)))&gt;0))*('Data - HSQE Events'!F$6:F$3000&gt;=$AG$3)*('Data - HSQE Events'!F$6:F$3000&lt;=$AJ$3)*('Data - HSQE Events'!R$6:R$3000="Minor")),0)</f>
        <v>0</v>
      </c>
      <c r="L11" s="31">
        <f>IFERROR(SUMPRODUCT((((ISNUMBER(SEARCH(B11,'Data - HSQE Events'!V$6:V$3000))+ISNUMBER(SEARCH(B11,'Data - HSQE Events'!H$6:H$3000)))&gt;0))*('Data - HSQE Events'!F$6:F$3000&gt;=$AG$3)*('Data - HSQE Events'!F$6:F$3000&lt;=$AJ$3)*(('Data - HSQE Events'!R$6:R$3000="Moderate")+('Data - HSQE Events'!R$6:R$3000="Major"))),0)</f>
        <v>0</v>
      </c>
      <c r="M11" s="31" t="str">
        <f>IF(IFERROR(SUMPRODUCT((((ISNUMBER(SEARCH(B11,'Data - HSQE Events'!V$6:V$3000))+ISNUMBER(SEARCH(B11,'Data - HSQE Events'!H$6:H$3000)))&gt;0))*('Data - HSQE Events'!F$6:F$3000&gt;=$AG$3)*('Data - HSQE Events'!F$6:F$3000&lt;=$AJ$3)*('Data - HSQE Events'!R$6:R$3000="Major")),0)&gt;0,"YES","NO")</f>
        <v>NO</v>
      </c>
      <c r="N11" s="31">
        <f>IFERROR(SUMPRODUCT(('Data - Skillko'!B$6:B$3000=B11)*('Data - Skillko'!C$6:C$3000="Total")*('Data - Skillko'!E$6:E$3000))*100,0)</f>
        <v>93</v>
      </c>
      <c r="O11" s="31">
        <f t="shared" si="1"/>
        <v>4.7</v>
      </c>
      <c r="P11" s="31">
        <f>IFERROR(SUMPRODUCT(ISNUMBER(SEARCH(B11,'Pole Results'!$A$13:$A$2000))*('Pole Results'!$B$13:$B$2000&gt;=$AG$3)*('Pole Results'!$B$13:$B$2000&lt;=$AE$3)*('Pole Results'!$E$13:$E$2000="Non-Compliant")),0)</f>
        <v>0</v>
      </c>
      <c r="Q11" s="31">
        <f t="shared" si="2"/>
        <v>1</v>
      </c>
      <c r="R11" s="31">
        <f t="shared" si="3"/>
        <v>5</v>
      </c>
      <c r="S11" s="49">
        <f t="shared" si="4"/>
        <v>5</v>
      </c>
      <c r="T11" s="31">
        <f>IF('Field Teams'!$I$12="Inactive","",ROUND((Q11*Settings!$D$6+R11*Settings!$D$7+O11*Settings!$D$10+S11*Settings!$D$12+AO11*Settings!$D$13)/Settings!$D$14,1))</f>
        <v>3.1</v>
      </c>
      <c r="U11" s="115" t="str">
        <f>IF('Field Teams'!$I$12="Inactive","",IF(Q11="","",IF(Q11&gt;=4.5,"★★★★★",IF(Q11&gt;=3.5,"★★★★☆",IF(Q11&gt;=2.5,"★★★☆☆",IF(Q11&gt;=1.5,"★★☆☆☆","★☆☆☆☆"))))))</f>
        <v>★☆☆☆☆</v>
      </c>
      <c r="V11" s="115" t="str">
        <f>IF('Field Teams'!$I$12="Inactive","",IF(R11="","",IF(R11&gt;=4.5,"★★★★★",IF(R11&gt;=3.5,"★★★★☆",IF(R11&gt;=2.5,"★★★☆☆",IF(R11&gt;=1.5,"★★☆☆☆","★☆☆☆☆"))))))</f>
        <v>★★★★★</v>
      </c>
      <c r="W11" s="115" t="str">
        <f>IF('Field Teams'!$I$12="Inactive","",IF(O11="","",IF(O11&gt;=4.5,"★★★★★",IF(O11&gt;=3.5,"★★★★☆",IF(O11&gt;=2.5,"★★★☆☆",IF(O11&gt;=1.5,"★★☆☆☆","★☆☆☆☆"))))))</f>
        <v>★★★★★</v>
      </c>
      <c r="X11" s="115" t="str">
        <f>IF('Field Teams'!$I$12="Inactive","",IF(S11="","",IF(S11&gt;=4.5,"★★★★★",IF(S11&gt;=3.5,"★★★★☆",IF(S11&gt;=2.5,"★★★☆☆",IF(S11&gt;=1.5,"★★☆☆☆","★☆☆☆☆"))))))</f>
        <v>★★★★★</v>
      </c>
      <c r="Y11" s="115" t="str">
        <f>IF('Field Teams'!$I$12="Inactive","",IF(AO11="","",IF(AO11&gt;=4.5,"★★★★★",IF(AO11&gt;=3.5,"★★★★☆",IF(AO11&gt;=2.5,"★★★☆☆",IF(AO11&gt;=1.5,"★★☆☆☆","★☆☆☆☆"))))))</f>
        <v>★★★☆☆</v>
      </c>
      <c r="Z11" s="115" t="str">
        <f>IF('Field Teams'!$I$5="Inactive","",IF(T11="","",IF(T11&gt;=4.5,"★★★★★",IF(T11&gt;=3.5,"★★★★☆",IF(T11&gt;=2.5,"★★★☆☆",IF(T11&gt;=1.5,"★★☆☆☆","★☆☆☆☆"))))))</f>
        <v>★★★☆☆</v>
      </c>
      <c r="AA11" s="31" t="str">
        <f>IF('Field Teams'!$I$12="Inactive","",IF(M11="YES","HIGH",IF(Q11&lt;=Settings!$D$26,"HIGH",IF(T11&lt;=Settings!$D$23,"HIGH",IF(T11&lt;=Settings!$D$24,"MEDIUM","LOW")))))</f>
        <v>HIGH</v>
      </c>
      <c r="AB11" s="31">
        <f>IF('Field Teams'!$I$5="Inactive",-1,IFERROR((6-T11)+(77-ROW())*0.0001,0))</f>
        <v>2.9066000000000001</v>
      </c>
      <c r="AC11" s="35">
        <f>IF('Field Teams'!$I$5="Inactive",999,IFERROR((6-T11)+(ROW()-3)*0.0001,99))</f>
        <v>2.9007999999999998</v>
      </c>
      <c r="AD11" s="31">
        <f>IF('Field Teams'!$I$12="Inactive",999,IFERROR(AB11+(ROW()-3)*0.0001,99))</f>
        <v>2.9074</v>
      </c>
      <c r="AE11" s="29">
        <v>0</v>
      </c>
      <c r="AF11" s="31" t="str">
        <f>IF('Field Teams'!$I$12="Inactive","",IF(AA11="HIGH","YES - within 5 working days",""))</f>
        <v>YES - within 5 working days</v>
      </c>
      <c r="AG11" s="105"/>
      <c r="AH11" s="49">
        <f>IFERROR(SUMPRODUCT(ISNUMBER(SEARCH(B11,'Pole Results'!$A$13:$A$2000))*('Pole Results'!$B$13:$B$2000&gt;=$AG$3)*('Pole Results'!$B$13:$B$2000&lt;=$AE$3)),0)</f>
        <v>0</v>
      </c>
      <c r="AI11" s="49">
        <f>IFERROR(SUMPRODUCT(ISNUMBER(SEARCH(B11,'Pole Results'!$A$13:$A$2000))*('Pole Results'!$B$13:$B$2000&gt;=$AG$3)*('Pole Results'!$B$13:$B$2000&lt;=$AE$3)*('Pole Results'!$E$13:$E$2000="Compliant")),0)</f>
        <v>0</v>
      </c>
      <c r="AJ11" s="105"/>
      <c r="AK11" s="106">
        <f>IF('Field Teams'!$I$12="Inactive",-1,IF(AA11="HIGH",AB11,-1))</f>
        <v>2.9066000000000001</v>
      </c>
      <c r="AL11" s="106">
        <f>IF('Field Teams'!$I$12="Inactive",-1,IF(OR(AA11="HIGH",AA11="MEDIUM"),AB11,-1))</f>
        <v>2.9066000000000001</v>
      </c>
      <c r="AM11" t="str">
        <f>IF('Field Teams'!$I$12="Inactive","",IF(IFERROR(LOOKUP(2,1/('Historical Scores'!C12:N12&lt;&gt;""),'Historical Scores'!C12:N12),"")="","New",IF(T11=""," ",IF(T11&gt;IFERROR(LOOKUP(2,1/('Historical Scores'!C12:N12&lt;&gt;""),'Historical Scores'!C12:N12),""),"▲ Worsening",IF(T11&lt;IFERROR(LOOKUP(2,1/('Historical Scores'!C12:N12&lt;&gt;""),'Historical Scores'!C12:N12),""),"▼ Improving","► Stable")))))</f>
        <v>New</v>
      </c>
      <c r="AN11">
        <f>IFERROR(SUMPRODUCT((ISNUMBER(SEARCH(B11,'Data - SSV'!AE$6:AE$3000)))*('Data - SSV'!AF$6:AF$3000&gt;=(AJ$3-90))*('Data - SSV'!AF$6:AF$3000&lt;=AJ$3)*('Data - SSV'!AH$6:AH$3000&lt;&gt;"")),0)</f>
        <v>0</v>
      </c>
      <c r="AO11">
        <f>IF('Field Teams'!$I$12="Inactive","",IF(AN11=0,3,IF(AN11=1,IF(IFERROR(SUMPRODUCT((ISNUMBER(SEARCH(B11,'Data - SSV'!AE$6:AE$3000)))*('Data - SSV'!AF$6:AF$3000&gt;=(AJ$3-90))*('Data - SSV'!AF$6:AF$3000&lt;=AJ$3)*('Data - SSV'!AH$6:AH$3000&lt;&gt;"")*IF('Data - SSV'!AH$6:AH$3000="",0,'Data - SSV'!AH$6:AH$3000))/AN11,3)=4,4,IF(IFERROR(SUMPRODUCT((ISNUMBER(SEARCH(B11,'Data - SSV'!AE$6:AE$3000)))*('Data - SSV'!AF$6:AF$3000&gt;=(AJ$3-90))*('Data - SSV'!AF$6:AF$3000&lt;=AJ$3)*('Data - SSV'!AH$6:AH$3000&lt;&gt;"")*IF('Data - SSV'!AH$6:AH$3000="",0,'Data - SSV'!AH$6:AH$3000))/AN11,3)&gt;=3,3,IF(IFERROR(SUMPRODUCT((ISNUMBER(SEARCH(B11,'Data - SSV'!AE$6:AE$3000)))*('Data - SSV'!AF$6:AF$3000&gt;=(AJ$3-90))*('Data - SSV'!AF$6:AF$3000&lt;=AJ$3)*('Data - SSV'!AH$6:AH$3000&lt;&gt;"")*IF('Data - SSV'!AH$6:AH$3000="",0,'Data - SSV'!AH$6:AH$3000))/AN11,3)&gt;=2,2,1))),IF(IFERROR(SUMPRODUCT((ISNUMBER(SEARCH(B11,'Data - SSV'!AE$6:AE$3000)))*('Data - SSV'!AF$6:AF$3000&gt;=(AJ$3-90))*('Data - SSV'!AF$6:AF$3000&lt;=AJ$3)*('Data - SSV'!AH$6:AH$3000&lt;&gt;"")*IF('Data - SSV'!AH$6:AH$3000="",0,'Data - SSV'!AH$6:AH$3000))/AN11,3)=4,5,IF(IFERROR(SUMPRODUCT((ISNUMBER(SEARCH(B11,'Data - SSV'!AE$6:AE$3000)))*('Data - SSV'!AF$6:AF$3000&gt;=(AJ$3-90))*('Data - SSV'!AF$6:AF$3000&lt;=AJ$3)*('Data - SSV'!AH$6:AH$3000&lt;&gt;"")*IF('Data - SSV'!AH$6:AH$3000="",0,'Data - SSV'!AH$6:AH$3000))/AN11,3)&gt;=3.5,4,IF(IFERROR(SUMPRODUCT((ISNUMBER(SEARCH(B11,'Data - SSV'!AE$6:AE$3000)))*('Data - SSV'!AF$6:AF$3000&gt;=(AJ$3-90))*('Data - SSV'!AF$6:AF$3000&lt;=AJ$3)*('Data - SSV'!AH$6:AH$3000&lt;&gt;"")*IF('Data - SSV'!AH$6:AH$3000="",0,'Data - SSV'!AH$6:AH$3000))/AN11,3)&gt;=3,3,IF(IFERROR(SUMPRODUCT((ISNUMBER(SEARCH(B11,'Data - SSV'!AE$6:AE$3000)))*('Data - SSV'!AF$6:AF$3000&gt;=(AJ$3-90))*('Data - SSV'!AF$6:AF$3000&lt;=AJ$3)*('Data - SSV'!AH$6:AH$3000&lt;&gt;"")*IF('Data - SSV'!AH$6:AH$3000="",0,'Data - SSV'!AH$6:AH$3000))/AN11,3)&gt;=2,2,1)))))))</f>
        <v>3</v>
      </c>
    </row>
    <row r="12" spans="1:41" ht="19.5" customHeight="1" x14ac:dyDescent="0.15">
      <c r="A12" s="10" t="str">
        <f>'Field Teams'!A13</f>
        <v>FT-009</v>
      </c>
      <c r="B12" s="30" t="str">
        <f>'Field Teams'!B13</f>
        <v>M G Tree Surgery Ltd</v>
      </c>
      <c r="C12" s="30" t="str">
        <f>'Field Teams'!C13</f>
        <v>Utility Arboriculture</v>
      </c>
      <c r="D12" s="10" t="str">
        <f>'Field Teams'!D13</f>
        <v>Donovan  Gosher</v>
      </c>
      <c r="E12" s="10" t="str">
        <f>'Field Teams'!E13</f>
        <v>Barry Bright</v>
      </c>
      <c r="F12" s="10">
        <f>'Field Teams'!F13</f>
        <v>0</v>
      </c>
      <c r="G12" s="10">
        <f>'Field Teams'!G13</f>
        <v>0</v>
      </c>
      <c r="H12" s="31">
        <f>'Field Teams'!H13</f>
        <v>3</v>
      </c>
      <c r="I12" s="31">
        <f t="shared" si="0"/>
        <v>6</v>
      </c>
      <c r="J12" s="31">
        <f>IFERROR(SUMPRODUCT((((ISNUMBER(SEARCH(B12,'Data - HSQE Events'!V$6:V$3000))+ISNUMBER(SEARCH(B12,'Data - HSQE Events'!H$6:H$3000)))&gt;0))*('Data - HSQE Events'!F$6:F$3000&gt;=$AG$3)*('Data - HSQE Events'!F$6:F$3000&lt;=$AJ$3)*('Data - HSQE Events'!R$6:R$3000="Opportunity")),0)</f>
        <v>0</v>
      </c>
      <c r="K12" s="31">
        <f>IFERROR(SUMPRODUCT((((ISNUMBER(SEARCH(B12,'Data - HSQE Events'!V$6:V$3000))+ISNUMBER(SEARCH(B12,'Data - HSQE Events'!H$6:H$3000)))&gt;0))*('Data - HSQE Events'!F$6:F$3000&gt;=$AG$3)*('Data - HSQE Events'!F$6:F$3000&lt;=$AJ$3)*('Data - HSQE Events'!R$6:R$3000="Minor")),0)</f>
        <v>0</v>
      </c>
      <c r="L12" s="31">
        <f>IFERROR(SUMPRODUCT((((ISNUMBER(SEARCH(B12,'Data - HSQE Events'!V$6:V$3000))+ISNUMBER(SEARCH(B12,'Data - HSQE Events'!H$6:H$3000)))&gt;0))*('Data - HSQE Events'!F$6:F$3000&gt;=$AG$3)*('Data - HSQE Events'!F$6:F$3000&lt;=$AJ$3)*(('Data - HSQE Events'!R$6:R$3000="Moderate")+('Data - HSQE Events'!R$6:R$3000="Major"))),0)</f>
        <v>0</v>
      </c>
      <c r="M12" s="31" t="str">
        <f>IF(IFERROR(SUMPRODUCT((((ISNUMBER(SEARCH(B12,'Data - HSQE Events'!V$6:V$3000))+ISNUMBER(SEARCH(B12,'Data - HSQE Events'!H$6:H$3000)))&gt;0))*('Data - HSQE Events'!F$6:F$3000&gt;=$AG$3)*('Data - HSQE Events'!F$6:F$3000&lt;=$AJ$3)*('Data - HSQE Events'!R$6:R$3000="Major")),0)&gt;0,"YES","NO")</f>
        <v>NO</v>
      </c>
      <c r="N12" s="31">
        <f>IFERROR(SUMPRODUCT(('Data - Skillko'!B$6:B$3000=B12)*('Data - Skillko'!C$6:C$3000="Total")*('Data - Skillko'!E$6:E$3000))*100,0)</f>
        <v>93</v>
      </c>
      <c r="O12" s="31">
        <f t="shared" si="1"/>
        <v>4.7</v>
      </c>
      <c r="P12" s="31">
        <f>IFERROR(SUMPRODUCT(ISNUMBER(SEARCH(B12,'Pole Results'!$A$13:$A$2000))*('Pole Results'!$B$13:$B$2000&gt;=$AG$3)*('Pole Results'!$B$13:$B$2000&lt;=$AE$3)*('Pole Results'!$E$13:$E$2000="Non-Compliant")),0)</f>
        <v>0</v>
      </c>
      <c r="Q12" s="31">
        <f t="shared" si="2"/>
        <v>1</v>
      </c>
      <c r="R12" s="31">
        <f t="shared" si="3"/>
        <v>5</v>
      </c>
      <c r="S12" s="49">
        <f t="shared" si="4"/>
        <v>5</v>
      </c>
      <c r="T12" s="31">
        <f>IF('Field Teams'!$I$13="Inactive","",ROUND((Q12*Settings!$D$6+R12*Settings!$D$7+O12*Settings!$D$10+S12*Settings!$D$12+AO12*Settings!$D$13)/Settings!$D$14,1))</f>
        <v>3.1</v>
      </c>
      <c r="U12" s="115" t="str">
        <f>IF('Field Teams'!$I$13="Inactive","",IF(Q12="","",IF(Q12&gt;=4.5,"★★★★★",IF(Q12&gt;=3.5,"★★★★☆",IF(Q12&gt;=2.5,"★★★☆☆",IF(Q12&gt;=1.5,"★★☆☆☆","★☆☆☆☆"))))))</f>
        <v>★☆☆☆☆</v>
      </c>
      <c r="V12" s="115" t="str">
        <f>IF('Field Teams'!$I$13="Inactive","",IF(R12="","",IF(R12&gt;=4.5,"★★★★★",IF(R12&gt;=3.5,"★★★★☆",IF(R12&gt;=2.5,"★★★☆☆",IF(R12&gt;=1.5,"★★☆☆☆","★☆☆☆☆"))))))</f>
        <v>★★★★★</v>
      </c>
      <c r="W12" s="115" t="str">
        <f>IF('Field Teams'!$I$13="Inactive","",IF(O12="","",IF(O12&gt;=4.5,"★★★★★",IF(O12&gt;=3.5,"★★★★☆",IF(O12&gt;=2.5,"★★★☆☆",IF(O12&gt;=1.5,"★★☆☆☆","★☆☆☆☆"))))))</f>
        <v>★★★★★</v>
      </c>
      <c r="X12" s="115" t="str">
        <f>IF('Field Teams'!$I$13="Inactive","",IF(S12="","",IF(S12&gt;=4.5,"★★★★★",IF(S12&gt;=3.5,"★★★★☆",IF(S12&gt;=2.5,"★★★☆☆",IF(S12&gt;=1.5,"★★☆☆☆","★☆☆☆☆"))))))</f>
        <v>★★★★★</v>
      </c>
      <c r="Y12" s="115" t="str">
        <f>IF('Field Teams'!$I$13="Inactive","",IF(AO12="","",IF(AO12&gt;=4.5,"★★★★★",IF(AO12&gt;=3.5,"★★★★☆",IF(AO12&gt;=2.5,"★★★☆☆",IF(AO12&gt;=1.5,"★★☆☆☆","★☆☆☆☆"))))))</f>
        <v>★★★☆☆</v>
      </c>
      <c r="Z12" s="115" t="str">
        <f>IF('Field Teams'!$I$5="Inactive","",IF(T12="","",IF(T12&gt;=4.5,"★★★★★",IF(T12&gt;=3.5,"★★★★☆",IF(T12&gt;=2.5,"★★★☆☆",IF(T12&gt;=1.5,"★★☆☆☆","★☆☆☆☆"))))))</f>
        <v>★★★☆☆</v>
      </c>
      <c r="AA12" s="31" t="str">
        <f>IF('Field Teams'!$I$13="Inactive","",IF(M12="YES","HIGH",IF(Q12&lt;=Settings!$D$26,"HIGH",IF(T12&lt;=Settings!$D$23,"HIGH",IF(T12&lt;=Settings!$D$24,"MEDIUM","LOW")))))</f>
        <v>HIGH</v>
      </c>
      <c r="AB12" s="31">
        <f>IF('Field Teams'!$I$5="Inactive",-1,IFERROR((6-T12)+(77-ROW())*0.0001,0))</f>
        <v>2.9064999999999999</v>
      </c>
      <c r="AC12" s="35">
        <f>IF('Field Teams'!$I$5="Inactive",999,IFERROR((6-T12)+(ROW()-3)*0.0001,99))</f>
        <v>2.9009</v>
      </c>
      <c r="AD12" s="31">
        <f>IF('Field Teams'!$I$13="Inactive",999,IFERROR(AB12+(ROW()-3)*0.0001,99))</f>
        <v>2.9074</v>
      </c>
      <c r="AE12" s="29">
        <v>0</v>
      </c>
      <c r="AF12" s="31" t="str">
        <f>IF('Field Teams'!$I$13="Inactive","",IF(AA12="HIGH","YES - within 5 working days",""))</f>
        <v>YES - within 5 working days</v>
      </c>
      <c r="AG12" s="105"/>
      <c r="AH12" s="49">
        <f>IFERROR(SUMPRODUCT(ISNUMBER(SEARCH(B12,'Pole Results'!$A$13:$A$2000))*('Pole Results'!$B$13:$B$2000&gt;=$AG$3)*('Pole Results'!$B$13:$B$2000&lt;=$AE$3)),0)</f>
        <v>0</v>
      </c>
      <c r="AI12" s="49">
        <f>IFERROR(SUMPRODUCT(ISNUMBER(SEARCH(B12,'Pole Results'!$A$13:$A$2000))*('Pole Results'!$B$13:$B$2000&gt;=$AG$3)*('Pole Results'!$B$13:$B$2000&lt;=$AE$3)*('Pole Results'!$E$13:$E$2000="Compliant")),0)</f>
        <v>0</v>
      </c>
      <c r="AJ12" s="105"/>
      <c r="AK12" s="106">
        <f>IF('Field Teams'!$I$13="Inactive",-1,IF(AA12="HIGH",AB12,-1))</f>
        <v>2.9064999999999999</v>
      </c>
      <c r="AL12" s="106">
        <f>IF('Field Teams'!$I$13="Inactive",-1,IF(OR(AA12="HIGH",AA12="MEDIUM"),AB12,-1))</f>
        <v>2.9064999999999999</v>
      </c>
      <c r="AM12" t="str">
        <f>IF('Field Teams'!$I$13="Inactive","",IF(IFERROR(LOOKUP(2,1/('Historical Scores'!C13:N13&lt;&gt;""),'Historical Scores'!C13:N13),"")="","New",IF(T12=""," ",IF(T12&gt;IFERROR(LOOKUP(2,1/('Historical Scores'!C13:N13&lt;&gt;""),'Historical Scores'!C13:N13),""),"▲ Worsening",IF(T12&lt;IFERROR(LOOKUP(2,1/('Historical Scores'!C13:N13&lt;&gt;""),'Historical Scores'!C13:N13),""),"▼ Improving","► Stable")))))</f>
        <v>New</v>
      </c>
      <c r="AN12">
        <f>IFERROR(SUMPRODUCT((ISNUMBER(SEARCH(B12,'Data - SSV'!AE$6:AE$3000)))*('Data - SSV'!AF$6:AF$3000&gt;=(AJ$3-90))*('Data - SSV'!AF$6:AF$3000&lt;=AJ$3)*('Data - SSV'!AH$6:AH$3000&lt;&gt;"")),0)</f>
        <v>0</v>
      </c>
      <c r="AO12">
        <f>IF('Field Teams'!$I$13="Inactive","",IF(AN12=0,3,IF(AN12=1,IF(IFERROR(SUMPRODUCT((ISNUMBER(SEARCH(B12,'Data - SSV'!AE$6:AE$3000)))*('Data - SSV'!AF$6:AF$3000&gt;=(AJ$3-90))*('Data - SSV'!AF$6:AF$3000&lt;=AJ$3)*('Data - SSV'!AH$6:AH$3000&lt;&gt;"")*IF('Data - SSV'!AH$6:AH$3000="",0,'Data - SSV'!AH$6:AH$3000))/AN12,3)=4,4,IF(IFERROR(SUMPRODUCT((ISNUMBER(SEARCH(B12,'Data - SSV'!AE$6:AE$3000)))*('Data - SSV'!AF$6:AF$3000&gt;=(AJ$3-90))*('Data - SSV'!AF$6:AF$3000&lt;=AJ$3)*('Data - SSV'!AH$6:AH$3000&lt;&gt;"")*IF('Data - SSV'!AH$6:AH$3000="",0,'Data - SSV'!AH$6:AH$3000))/AN12,3)&gt;=3,3,IF(IFERROR(SUMPRODUCT((ISNUMBER(SEARCH(B12,'Data - SSV'!AE$6:AE$3000)))*('Data - SSV'!AF$6:AF$3000&gt;=(AJ$3-90))*('Data - SSV'!AF$6:AF$3000&lt;=AJ$3)*('Data - SSV'!AH$6:AH$3000&lt;&gt;"")*IF('Data - SSV'!AH$6:AH$3000="",0,'Data - SSV'!AH$6:AH$3000))/AN12,3)&gt;=2,2,1))),IF(IFERROR(SUMPRODUCT((ISNUMBER(SEARCH(B12,'Data - SSV'!AE$6:AE$3000)))*('Data - SSV'!AF$6:AF$3000&gt;=(AJ$3-90))*('Data - SSV'!AF$6:AF$3000&lt;=AJ$3)*('Data - SSV'!AH$6:AH$3000&lt;&gt;"")*IF('Data - SSV'!AH$6:AH$3000="",0,'Data - SSV'!AH$6:AH$3000))/AN12,3)=4,5,IF(IFERROR(SUMPRODUCT((ISNUMBER(SEARCH(B12,'Data - SSV'!AE$6:AE$3000)))*('Data - SSV'!AF$6:AF$3000&gt;=(AJ$3-90))*('Data - SSV'!AF$6:AF$3000&lt;=AJ$3)*('Data - SSV'!AH$6:AH$3000&lt;&gt;"")*IF('Data - SSV'!AH$6:AH$3000="",0,'Data - SSV'!AH$6:AH$3000))/AN12,3)&gt;=3.5,4,IF(IFERROR(SUMPRODUCT((ISNUMBER(SEARCH(B12,'Data - SSV'!AE$6:AE$3000)))*('Data - SSV'!AF$6:AF$3000&gt;=(AJ$3-90))*('Data - SSV'!AF$6:AF$3000&lt;=AJ$3)*('Data - SSV'!AH$6:AH$3000&lt;&gt;"")*IF('Data - SSV'!AH$6:AH$3000="",0,'Data - SSV'!AH$6:AH$3000))/AN12,3)&gt;=3,3,IF(IFERROR(SUMPRODUCT((ISNUMBER(SEARCH(B12,'Data - SSV'!AE$6:AE$3000)))*('Data - SSV'!AF$6:AF$3000&gt;=(AJ$3-90))*('Data - SSV'!AF$6:AF$3000&lt;=AJ$3)*('Data - SSV'!AH$6:AH$3000&lt;&gt;"")*IF('Data - SSV'!AH$6:AH$3000="",0,'Data - SSV'!AH$6:AH$3000))/AN12,3)&gt;=2,2,1)))))))</f>
        <v>3</v>
      </c>
    </row>
    <row r="13" spans="1:41" ht="19.5" customHeight="1" x14ac:dyDescent="0.15">
      <c r="A13" s="6" t="str">
        <f>'Field Teams'!A14</f>
        <v>FT-010</v>
      </c>
      <c r="B13" s="28" t="str">
        <f>'Field Teams'!B14</f>
        <v>MAC Tree Surgery and Fencing Ltd</v>
      </c>
      <c r="C13" s="28" t="str">
        <f>'Field Teams'!C14</f>
        <v>Utility Arboriculture</v>
      </c>
      <c r="D13" s="6" t="str">
        <f>'Field Teams'!D14</f>
        <v>Donovan  Gosher</v>
      </c>
      <c r="E13" s="6" t="str">
        <f>'Field Teams'!E14</f>
        <v>Barry Bright</v>
      </c>
      <c r="F13" s="6">
        <f>'Field Teams'!F14</f>
        <v>0</v>
      </c>
      <c r="G13" s="6">
        <f>'Field Teams'!G14</f>
        <v>0</v>
      </c>
      <c r="H13" s="31">
        <f>'Field Teams'!H14</f>
        <v>3</v>
      </c>
      <c r="I13" s="31">
        <f t="shared" si="0"/>
        <v>6</v>
      </c>
      <c r="J13" s="31">
        <f>IFERROR(SUMPRODUCT((((ISNUMBER(SEARCH(B13,'Data - HSQE Events'!V$6:V$3000))+ISNUMBER(SEARCH(B13,'Data - HSQE Events'!H$6:H$3000)))&gt;0))*('Data - HSQE Events'!F$6:F$3000&gt;=$AG$3)*('Data - HSQE Events'!F$6:F$3000&lt;=$AJ$3)*('Data - HSQE Events'!R$6:R$3000="Opportunity")),0)</f>
        <v>0</v>
      </c>
      <c r="K13" s="31">
        <f>IFERROR(SUMPRODUCT((((ISNUMBER(SEARCH(B13,'Data - HSQE Events'!V$6:V$3000))+ISNUMBER(SEARCH(B13,'Data - HSQE Events'!H$6:H$3000)))&gt;0))*('Data - HSQE Events'!F$6:F$3000&gt;=$AG$3)*('Data - HSQE Events'!F$6:F$3000&lt;=$AJ$3)*('Data - HSQE Events'!R$6:R$3000="Minor")),0)</f>
        <v>0</v>
      </c>
      <c r="L13" s="31">
        <f>IFERROR(SUMPRODUCT((((ISNUMBER(SEARCH(B13,'Data - HSQE Events'!V$6:V$3000))+ISNUMBER(SEARCH(B13,'Data - HSQE Events'!H$6:H$3000)))&gt;0))*('Data - HSQE Events'!F$6:F$3000&gt;=$AG$3)*('Data - HSQE Events'!F$6:F$3000&lt;=$AJ$3)*(('Data - HSQE Events'!R$6:R$3000="Moderate")+('Data - HSQE Events'!R$6:R$3000="Major"))),0)</f>
        <v>0</v>
      </c>
      <c r="M13" s="31" t="str">
        <f>IF(IFERROR(SUMPRODUCT((((ISNUMBER(SEARCH(B13,'Data - HSQE Events'!V$6:V$3000))+ISNUMBER(SEARCH(B13,'Data - HSQE Events'!H$6:H$3000)))&gt;0))*('Data - HSQE Events'!F$6:F$3000&gt;=$AG$3)*('Data - HSQE Events'!F$6:F$3000&lt;=$AJ$3)*('Data - HSQE Events'!R$6:R$3000="Major")),0)&gt;0,"YES","NO")</f>
        <v>NO</v>
      </c>
      <c r="N13" s="31">
        <f>IFERROR(SUMPRODUCT(('Data - Skillko'!B$6:B$3000=B13)*('Data - Skillko'!C$6:C$3000="Total")*('Data - Skillko'!E$6:E$3000))*100,0)</f>
        <v>98</v>
      </c>
      <c r="O13" s="31">
        <f t="shared" si="1"/>
        <v>4.9000000000000004</v>
      </c>
      <c r="P13" s="31">
        <f>IFERROR(SUMPRODUCT(ISNUMBER(SEARCH(B13,'Pole Results'!$A$13:$A$2000))*('Pole Results'!$B$13:$B$2000&gt;=$AG$3)*('Pole Results'!$B$13:$B$2000&lt;=$AE$3)*('Pole Results'!$E$13:$E$2000="Non-Compliant")),0)</f>
        <v>0</v>
      </c>
      <c r="Q13" s="31">
        <f t="shared" si="2"/>
        <v>1</v>
      </c>
      <c r="R13" s="31">
        <f t="shared" si="3"/>
        <v>5</v>
      </c>
      <c r="S13" s="49">
        <f t="shared" si="4"/>
        <v>5</v>
      </c>
      <c r="T13" s="31">
        <f>IF('Field Teams'!$I$14="Inactive","",ROUND((Q13*Settings!$D$6+R13*Settings!$D$7+O13*Settings!$D$10+S13*Settings!$D$12+AO13*Settings!$D$13)/Settings!$D$14,1))</f>
        <v>3.1</v>
      </c>
      <c r="U13" s="115" t="str">
        <f>IF('Field Teams'!$I$14="Inactive","",IF(Q13="","",IF(Q13&gt;=4.5,"★★★★★",IF(Q13&gt;=3.5,"★★★★☆",IF(Q13&gt;=2.5,"★★★☆☆",IF(Q13&gt;=1.5,"★★☆☆☆","★☆☆☆☆"))))))</f>
        <v>★☆☆☆☆</v>
      </c>
      <c r="V13" s="115" t="str">
        <f>IF('Field Teams'!$I$14="Inactive","",IF(R13="","",IF(R13&gt;=4.5,"★★★★★",IF(R13&gt;=3.5,"★★★★☆",IF(R13&gt;=2.5,"★★★☆☆",IF(R13&gt;=1.5,"★★☆☆☆","★☆☆☆☆"))))))</f>
        <v>★★★★★</v>
      </c>
      <c r="W13" s="115" t="str">
        <f>IF('Field Teams'!$I$14="Inactive","",IF(O13="","",IF(O13&gt;=4.5,"★★★★★",IF(O13&gt;=3.5,"★★★★☆",IF(O13&gt;=2.5,"★★★☆☆",IF(O13&gt;=1.5,"★★☆☆☆","★☆☆☆☆"))))))</f>
        <v>★★★★★</v>
      </c>
      <c r="X13" s="115" t="str">
        <f>IF('Field Teams'!$I$14="Inactive","",IF(S13="","",IF(S13&gt;=4.5,"★★★★★",IF(S13&gt;=3.5,"★★★★☆",IF(S13&gt;=2.5,"★★★☆☆",IF(S13&gt;=1.5,"★★☆☆☆","★☆☆☆☆"))))))</f>
        <v>★★★★★</v>
      </c>
      <c r="Y13" s="115" t="str">
        <f>IF('Field Teams'!$I$14="Inactive","",IF(AO13="","",IF(AO13&gt;=4.5,"★★★★★",IF(AO13&gt;=3.5,"★★★★☆",IF(AO13&gt;=2.5,"★★★☆☆",IF(AO13&gt;=1.5,"★★☆☆☆","★☆☆☆☆"))))))</f>
        <v>★★★☆☆</v>
      </c>
      <c r="Z13" s="115" t="str">
        <f>IF('Field Teams'!$I$5="Inactive","",IF(T13="","",IF(T13&gt;=4.5,"★★★★★",IF(T13&gt;=3.5,"★★★★☆",IF(T13&gt;=2.5,"★★★☆☆",IF(T13&gt;=1.5,"★★☆☆☆","★☆☆☆☆"))))))</f>
        <v>★★★☆☆</v>
      </c>
      <c r="AA13" s="31" t="str">
        <f>IF('Field Teams'!$I$14="Inactive","",IF(M13="YES","HIGH",IF(Q13&lt;=Settings!$D$26,"HIGH",IF(T13&lt;=Settings!$D$23,"HIGH",IF(T13&lt;=Settings!$D$24,"MEDIUM","LOW")))))</f>
        <v>HIGH</v>
      </c>
      <c r="AB13" s="31">
        <f>IF('Field Teams'!$I$5="Inactive",-1,IFERROR((6-T13)+(77-ROW())*0.0001,0))</f>
        <v>2.9064000000000001</v>
      </c>
      <c r="AC13" s="35">
        <f>IF('Field Teams'!$I$5="Inactive",999,IFERROR((6-T13)+(ROW()-3)*0.0001,99))</f>
        <v>2.9009999999999998</v>
      </c>
      <c r="AD13" s="31">
        <f>IF('Field Teams'!$I$14="Inactive",999,IFERROR(AB13+(ROW()-3)*0.0001,99))</f>
        <v>2.9074</v>
      </c>
      <c r="AE13" s="29">
        <v>0</v>
      </c>
      <c r="AF13" s="31" t="str">
        <f>IF('Field Teams'!$I$14="Inactive","",IF(AA13="HIGH","YES - within 5 working days",""))</f>
        <v>YES - within 5 working days</v>
      </c>
      <c r="AG13" s="105"/>
      <c r="AH13" s="49">
        <f>IFERROR(SUMPRODUCT(ISNUMBER(SEARCH(B13,'Pole Results'!$A$13:$A$2000))*('Pole Results'!$B$13:$B$2000&gt;=$AG$3)*('Pole Results'!$B$13:$B$2000&lt;=$AE$3)),0)</f>
        <v>0</v>
      </c>
      <c r="AI13" s="49">
        <f>IFERROR(SUMPRODUCT(ISNUMBER(SEARCH(B13,'Pole Results'!$A$13:$A$2000))*('Pole Results'!$B$13:$B$2000&gt;=$AG$3)*('Pole Results'!$B$13:$B$2000&lt;=$AE$3)*('Pole Results'!$E$13:$E$2000="Compliant")),0)</f>
        <v>0</v>
      </c>
      <c r="AJ13" s="105"/>
      <c r="AK13" s="106">
        <f>IF('Field Teams'!$I$14="Inactive",-1,IF(AA13="HIGH",AB13,-1))</f>
        <v>2.9064000000000001</v>
      </c>
      <c r="AL13" s="106">
        <f>IF('Field Teams'!$I$14="Inactive",-1,IF(OR(AA13="HIGH",AA13="MEDIUM"),AB13,-1))</f>
        <v>2.9064000000000001</v>
      </c>
      <c r="AM13" t="str">
        <f>IF('Field Teams'!$I$14="Inactive","",IF(IFERROR(LOOKUP(2,1/('Historical Scores'!C14:N14&lt;&gt;""),'Historical Scores'!C14:N14),"")="","New",IF(T13=""," ",IF(T13&gt;IFERROR(LOOKUP(2,1/('Historical Scores'!C14:N14&lt;&gt;""),'Historical Scores'!C14:N14),""),"▲ Worsening",IF(T13&lt;IFERROR(LOOKUP(2,1/('Historical Scores'!C14:N14&lt;&gt;""),'Historical Scores'!C14:N14),""),"▼ Improving","► Stable")))))</f>
        <v>New</v>
      </c>
      <c r="AN13">
        <f>IFERROR(SUMPRODUCT((ISNUMBER(SEARCH(B13,'Data - SSV'!AE$6:AE$3000)))*('Data - SSV'!AF$6:AF$3000&gt;=(AJ$3-90))*('Data - SSV'!AF$6:AF$3000&lt;=AJ$3)*('Data - SSV'!AH$6:AH$3000&lt;&gt;"")),0)</f>
        <v>0</v>
      </c>
      <c r="AO13">
        <f>IF('Field Teams'!$I$14="Inactive","",IF(AN13=0,3,IF(AN13=1,IF(IFERROR(SUMPRODUCT((ISNUMBER(SEARCH(B13,'Data - SSV'!AE$6:AE$3000)))*('Data - SSV'!AF$6:AF$3000&gt;=(AJ$3-90))*('Data - SSV'!AF$6:AF$3000&lt;=AJ$3)*('Data - SSV'!AH$6:AH$3000&lt;&gt;"")*IF('Data - SSV'!AH$6:AH$3000="",0,'Data - SSV'!AH$6:AH$3000))/AN13,3)=4,4,IF(IFERROR(SUMPRODUCT((ISNUMBER(SEARCH(B13,'Data - SSV'!AE$6:AE$3000)))*('Data - SSV'!AF$6:AF$3000&gt;=(AJ$3-90))*('Data - SSV'!AF$6:AF$3000&lt;=AJ$3)*('Data - SSV'!AH$6:AH$3000&lt;&gt;"")*IF('Data - SSV'!AH$6:AH$3000="",0,'Data - SSV'!AH$6:AH$3000))/AN13,3)&gt;=3,3,IF(IFERROR(SUMPRODUCT((ISNUMBER(SEARCH(B13,'Data - SSV'!AE$6:AE$3000)))*('Data - SSV'!AF$6:AF$3000&gt;=(AJ$3-90))*('Data - SSV'!AF$6:AF$3000&lt;=AJ$3)*('Data - SSV'!AH$6:AH$3000&lt;&gt;"")*IF('Data - SSV'!AH$6:AH$3000="",0,'Data - SSV'!AH$6:AH$3000))/AN13,3)&gt;=2,2,1))),IF(IFERROR(SUMPRODUCT((ISNUMBER(SEARCH(B13,'Data - SSV'!AE$6:AE$3000)))*('Data - SSV'!AF$6:AF$3000&gt;=(AJ$3-90))*('Data - SSV'!AF$6:AF$3000&lt;=AJ$3)*('Data - SSV'!AH$6:AH$3000&lt;&gt;"")*IF('Data - SSV'!AH$6:AH$3000="",0,'Data - SSV'!AH$6:AH$3000))/AN13,3)=4,5,IF(IFERROR(SUMPRODUCT((ISNUMBER(SEARCH(B13,'Data - SSV'!AE$6:AE$3000)))*('Data - SSV'!AF$6:AF$3000&gt;=(AJ$3-90))*('Data - SSV'!AF$6:AF$3000&lt;=AJ$3)*('Data - SSV'!AH$6:AH$3000&lt;&gt;"")*IF('Data - SSV'!AH$6:AH$3000="",0,'Data - SSV'!AH$6:AH$3000))/AN13,3)&gt;=3.5,4,IF(IFERROR(SUMPRODUCT((ISNUMBER(SEARCH(B13,'Data - SSV'!AE$6:AE$3000)))*('Data - SSV'!AF$6:AF$3000&gt;=(AJ$3-90))*('Data - SSV'!AF$6:AF$3000&lt;=AJ$3)*('Data - SSV'!AH$6:AH$3000&lt;&gt;"")*IF('Data - SSV'!AH$6:AH$3000="",0,'Data - SSV'!AH$6:AH$3000))/AN13,3)&gt;=3,3,IF(IFERROR(SUMPRODUCT((ISNUMBER(SEARCH(B13,'Data - SSV'!AE$6:AE$3000)))*('Data - SSV'!AF$6:AF$3000&gt;=(AJ$3-90))*('Data - SSV'!AF$6:AF$3000&lt;=AJ$3)*('Data - SSV'!AH$6:AH$3000&lt;&gt;"")*IF('Data - SSV'!AH$6:AH$3000="",0,'Data - SSV'!AH$6:AH$3000))/AN13,3)&gt;=2,2,1)))))))</f>
        <v>3</v>
      </c>
    </row>
    <row r="14" spans="1:41" ht="19.5" customHeight="1" x14ac:dyDescent="0.15">
      <c r="A14" s="10" t="str">
        <f>'Field Teams'!A15</f>
        <v>FT-011</v>
      </c>
      <c r="B14" s="30" t="str">
        <f>'Field Teams'!B15</f>
        <v>Optimum Tree Services</v>
      </c>
      <c r="C14" s="30" t="str">
        <f>'Field Teams'!C15</f>
        <v>Utility Arboriculture</v>
      </c>
      <c r="D14" s="10" t="str">
        <f>'Field Teams'!D15</f>
        <v>Donovan  Gosher</v>
      </c>
      <c r="E14" s="10" t="str">
        <f>'Field Teams'!E15</f>
        <v>Barry Bright</v>
      </c>
      <c r="F14" s="10">
        <f>'Field Teams'!F15</f>
        <v>0</v>
      </c>
      <c r="G14" s="10">
        <f>'Field Teams'!G15</f>
        <v>0</v>
      </c>
      <c r="H14" s="31">
        <f>'Field Teams'!H15</f>
        <v>2</v>
      </c>
      <c r="I14" s="31">
        <f t="shared" si="0"/>
        <v>4</v>
      </c>
      <c r="J14" s="31">
        <f>IFERROR(SUMPRODUCT((((ISNUMBER(SEARCH(B14,'Data - HSQE Events'!V$6:V$3000))+ISNUMBER(SEARCH(B14,'Data - HSQE Events'!H$6:H$3000)))&gt;0))*('Data - HSQE Events'!F$6:F$3000&gt;=$AG$3)*('Data - HSQE Events'!F$6:F$3000&lt;=$AJ$3)*('Data - HSQE Events'!R$6:R$3000="Opportunity")),0)</f>
        <v>0</v>
      </c>
      <c r="K14" s="31">
        <f>IFERROR(SUMPRODUCT((((ISNUMBER(SEARCH(B14,'Data - HSQE Events'!V$6:V$3000))+ISNUMBER(SEARCH(B14,'Data - HSQE Events'!H$6:H$3000)))&gt;0))*('Data - HSQE Events'!F$6:F$3000&gt;=$AG$3)*('Data - HSQE Events'!F$6:F$3000&lt;=$AJ$3)*('Data - HSQE Events'!R$6:R$3000="Minor")),0)</f>
        <v>0</v>
      </c>
      <c r="L14" s="31">
        <f>IFERROR(SUMPRODUCT((((ISNUMBER(SEARCH(B14,'Data - HSQE Events'!V$6:V$3000))+ISNUMBER(SEARCH(B14,'Data - HSQE Events'!H$6:H$3000)))&gt;0))*('Data - HSQE Events'!F$6:F$3000&gt;=$AG$3)*('Data - HSQE Events'!F$6:F$3000&lt;=$AJ$3)*(('Data - HSQE Events'!R$6:R$3000="Moderate")+('Data - HSQE Events'!R$6:R$3000="Major"))),0)</f>
        <v>0</v>
      </c>
      <c r="M14" s="31" t="str">
        <f>IF(IFERROR(SUMPRODUCT((((ISNUMBER(SEARCH(B14,'Data - HSQE Events'!V$6:V$3000))+ISNUMBER(SEARCH(B14,'Data - HSQE Events'!H$6:H$3000)))&gt;0))*('Data - HSQE Events'!F$6:F$3000&gt;=$AG$3)*('Data - HSQE Events'!F$6:F$3000&lt;=$AJ$3)*('Data - HSQE Events'!R$6:R$3000="Major")),0)&gt;0,"YES","NO")</f>
        <v>NO</v>
      </c>
      <c r="N14" s="31">
        <f>IFERROR(SUMPRODUCT(('Data - Skillko'!B$6:B$3000=B14)*('Data - Skillko'!C$6:C$3000="Total")*('Data - Skillko'!E$6:E$3000))*100,0)</f>
        <v>85</v>
      </c>
      <c r="O14" s="31">
        <f t="shared" si="1"/>
        <v>4.4000000000000004</v>
      </c>
      <c r="P14" s="31">
        <f>IFERROR(SUMPRODUCT(ISNUMBER(SEARCH(B14,'Pole Results'!$A$13:$A$2000))*('Pole Results'!$B$13:$B$2000&gt;=$AG$3)*('Pole Results'!$B$13:$B$2000&lt;=$AE$3)*('Pole Results'!$E$13:$E$2000="Non-Compliant")),0)</f>
        <v>0</v>
      </c>
      <c r="Q14" s="31">
        <f t="shared" si="2"/>
        <v>1</v>
      </c>
      <c r="R14" s="31">
        <f t="shared" si="3"/>
        <v>5</v>
      </c>
      <c r="S14" s="49">
        <f t="shared" si="4"/>
        <v>5</v>
      </c>
      <c r="T14" s="31">
        <f>IF('Field Teams'!$I$15="Inactive","",ROUND((Q14*Settings!$D$6+R14*Settings!$D$7+O14*Settings!$D$10+S14*Settings!$D$12+AO14*Settings!$D$13)/Settings!$D$14,1))</f>
        <v>3</v>
      </c>
      <c r="U14" s="115" t="str">
        <f>IF('Field Teams'!$I$15="Inactive","",IF(Q14="","",IF(Q14&gt;=4.5,"★★★★★",IF(Q14&gt;=3.5,"★★★★☆",IF(Q14&gt;=2.5,"★★★☆☆",IF(Q14&gt;=1.5,"★★☆☆☆","★☆☆☆☆"))))))</f>
        <v>★☆☆☆☆</v>
      </c>
      <c r="V14" s="115" t="str">
        <f>IF('Field Teams'!$I$15="Inactive","",IF(R14="","",IF(R14&gt;=4.5,"★★★★★",IF(R14&gt;=3.5,"★★★★☆",IF(R14&gt;=2.5,"★★★☆☆",IF(R14&gt;=1.5,"★★☆☆☆","★☆☆☆☆"))))))</f>
        <v>★★★★★</v>
      </c>
      <c r="W14" s="115" t="str">
        <f>IF('Field Teams'!$I$15="Inactive","",IF(O14="","",IF(O14&gt;=4.5,"★★★★★",IF(O14&gt;=3.5,"★★★★☆",IF(O14&gt;=2.5,"★★★☆☆",IF(O14&gt;=1.5,"★★☆☆☆","★☆☆☆☆"))))))</f>
        <v>★★★★☆</v>
      </c>
      <c r="X14" s="115" t="str">
        <f>IF('Field Teams'!$I$15="Inactive","",IF(S14="","",IF(S14&gt;=4.5,"★★★★★",IF(S14&gt;=3.5,"★★★★☆",IF(S14&gt;=2.5,"★★★☆☆",IF(S14&gt;=1.5,"★★☆☆☆","★☆☆☆☆"))))))</f>
        <v>★★★★★</v>
      </c>
      <c r="Y14" s="115" t="str">
        <f>IF('Field Teams'!$I$15="Inactive","",IF(AO14="","",IF(AO14&gt;=4.5,"★★★★★",IF(AO14&gt;=3.5,"★★★★☆",IF(AO14&gt;=2.5,"★★★☆☆",IF(AO14&gt;=1.5,"★★☆☆☆","★☆☆☆☆"))))))</f>
        <v>★★★☆☆</v>
      </c>
      <c r="Z14" s="115" t="str">
        <f>IF('Field Teams'!$I$5="Inactive","",IF(T14="","",IF(T14&gt;=4.5,"★★★★★",IF(T14&gt;=3.5,"★★★★☆",IF(T14&gt;=2.5,"★★★☆☆",IF(T14&gt;=1.5,"★★☆☆☆","★☆☆☆☆"))))))</f>
        <v>★★★☆☆</v>
      </c>
      <c r="AA14" s="31" t="str">
        <f>IF('Field Teams'!$I$15="Inactive","",IF(M14="YES","HIGH",IF(Q14&lt;=Settings!$D$26,"HIGH",IF(T14&lt;=Settings!$D$23,"HIGH",IF(T14&lt;=Settings!$D$24,"MEDIUM","LOW")))))</f>
        <v>HIGH</v>
      </c>
      <c r="AB14" s="31">
        <f>IF('Field Teams'!$I$5="Inactive",-1,IFERROR((6-T14)+(77-ROW())*0.0001,0))</f>
        <v>3.0063</v>
      </c>
      <c r="AC14" s="35">
        <f>IF('Field Teams'!$I$5="Inactive",999,IFERROR((6-T14)+(ROW()-3)*0.0001,99))</f>
        <v>3.0011000000000001</v>
      </c>
      <c r="AD14" s="31">
        <f>IF('Field Teams'!$I$15="Inactive",999,IFERROR(AB14+(ROW()-3)*0.0001,99))</f>
        <v>3.0074000000000001</v>
      </c>
      <c r="AE14" s="29">
        <v>0</v>
      </c>
      <c r="AF14" s="31" t="str">
        <f>IF('Field Teams'!$I$15="Inactive","",IF(AA14="HIGH","YES - within 5 working days",""))</f>
        <v>YES - within 5 working days</v>
      </c>
      <c r="AG14" s="105"/>
      <c r="AH14" s="49">
        <f>IFERROR(SUMPRODUCT(ISNUMBER(SEARCH(B14,'Pole Results'!$A$13:$A$2000))*('Pole Results'!$B$13:$B$2000&gt;=$AG$3)*('Pole Results'!$B$13:$B$2000&lt;=$AE$3)),0)</f>
        <v>0</v>
      </c>
      <c r="AI14" s="49">
        <f>IFERROR(SUMPRODUCT(ISNUMBER(SEARCH(B14,'Pole Results'!$A$13:$A$2000))*('Pole Results'!$B$13:$B$2000&gt;=$AG$3)*('Pole Results'!$B$13:$B$2000&lt;=$AE$3)*('Pole Results'!$E$13:$E$2000="Compliant")),0)</f>
        <v>0</v>
      </c>
      <c r="AJ14" s="105"/>
      <c r="AK14" s="106">
        <f>IF('Field Teams'!$I$15="Inactive",-1,IF(AA14="HIGH",AB14,-1))</f>
        <v>3.0063</v>
      </c>
      <c r="AL14" s="106">
        <f>IF('Field Teams'!$I$15="Inactive",-1,IF(OR(AA14="HIGH",AA14="MEDIUM"),AB14,-1))</f>
        <v>3.0063</v>
      </c>
      <c r="AM14" t="str">
        <f>IF('Field Teams'!$I$15="Inactive","",IF(IFERROR(LOOKUP(2,1/('Historical Scores'!C15:N15&lt;&gt;""),'Historical Scores'!C15:N15),"")="","New",IF(T14=""," ",IF(T14&gt;IFERROR(LOOKUP(2,1/('Historical Scores'!C15:N15&lt;&gt;""),'Historical Scores'!C15:N15),""),"▲ Worsening",IF(T14&lt;IFERROR(LOOKUP(2,1/('Historical Scores'!C15:N15&lt;&gt;""),'Historical Scores'!C15:N15),""),"▼ Improving","► Stable")))))</f>
        <v>New</v>
      </c>
      <c r="AN14">
        <f>IFERROR(SUMPRODUCT((ISNUMBER(SEARCH(B14,'Data - SSV'!AE$6:AE$3000)))*('Data - SSV'!AF$6:AF$3000&gt;=(AJ$3-90))*('Data - SSV'!AF$6:AF$3000&lt;=AJ$3)*('Data - SSV'!AH$6:AH$3000&lt;&gt;"")),0)</f>
        <v>0</v>
      </c>
      <c r="AO14">
        <f>IF('Field Teams'!$I$15="Inactive","",IF(AN14=0,3,IF(AN14=1,IF(IFERROR(SUMPRODUCT((ISNUMBER(SEARCH(B14,'Data - SSV'!AE$6:AE$3000)))*('Data - SSV'!AF$6:AF$3000&gt;=(AJ$3-90))*('Data - SSV'!AF$6:AF$3000&lt;=AJ$3)*('Data - SSV'!AH$6:AH$3000&lt;&gt;"")*IF('Data - SSV'!AH$6:AH$3000="",0,'Data - SSV'!AH$6:AH$3000))/AN14,3)=4,4,IF(IFERROR(SUMPRODUCT((ISNUMBER(SEARCH(B14,'Data - SSV'!AE$6:AE$3000)))*('Data - SSV'!AF$6:AF$3000&gt;=(AJ$3-90))*('Data - SSV'!AF$6:AF$3000&lt;=AJ$3)*('Data - SSV'!AH$6:AH$3000&lt;&gt;"")*IF('Data - SSV'!AH$6:AH$3000="",0,'Data - SSV'!AH$6:AH$3000))/AN14,3)&gt;=3,3,IF(IFERROR(SUMPRODUCT((ISNUMBER(SEARCH(B14,'Data - SSV'!AE$6:AE$3000)))*('Data - SSV'!AF$6:AF$3000&gt;=(AJ$3-90))*('Data - SSV'!AF$6:AF$3000&lt;=AJ$3)*('Data - SSV'!AH$6:AH$3000&lt;&gt;"")*IF('Data - SSV'!AH$6:AH$3000="",0,'Data - SSV'!AH$6:AH$3000))/AN14,3)&gt;=2,2,1))),IF(IFERROR(SUMPRODUCT((ISNUMBER(SEARCH(B14,'Data - SSV'!AE$6:AE$3000)))*('Data - SSV'!AF$6:AF$3000&gt;=(AJ$3-90))*('Data - SSV'!AF$6:AF$3000&lt;=AJ$3)*('Data - SSV'!AH$6:AH$3000&lt;&gt;"")*IF('Data - SSV'!AH$6:AH$3000="",0,'Data - SSV'!AH$6:AH$3000))/AN14,3)=4,5,IF(IFERROR(SUMPRODUCT((ISNUMBER(SEARCH(B14,'Data - SSV'!AE$6:AE$3000)))*('Data - SSV'!AF$6:AF$3000&gt;=(AJ$3-90))*('Data - SSV'!AF$6:AF$3000&lt;=AJ$3)*('Data - SSV'!AH$6:AH$3000&lt;&gt;"")*IF('Data - SSV'!AH$6:AH$3000="",0,'Data - SSV'!AH$6:AH$3000))/AN14,3)&gt;=3.5,4,IF(IFERROR(SUMPRODUCT((ISNUMBER(SEARCH(B14,'Data - SSV'!AE$6:AE$3000)))*('Data - SSV'!AF$6:AF$3000&gt;=(AJ$3-90))*('Data - SSV'!AF$6:AF$3000&lt;=AJ$3)*('Data - SSV'!AH$6:AH$3000&lt;&gt;"")*IF('Data - SSV'!AH$6:AH$3000="",0,'Data - SSV'!AH$6:AH$3000))/AN14,3)&gt;=3,3,IF(IFERROR(SUMPRODUCT((ISNUMBER(SEARCH(B14,'Data - SSV'!AE$6:AE$3000)))*('Data - SSV'!AF$6:AF$3000&gt;=(AJ$3-90))*('Data - SSV'!AF$6:AF$3000&lt;=AJ$3)*('Data - SSV'!AH$6:AH$3000&lt;&gt;"")*IF('Data - SSV'!AH$6:AH$3000="",0,'Data - SSV'!AH$6:AH$3000))/AN14,3)&gt;=2,2,1)))))))</f>
        <v>3</v>
      </c>
    </row>
    <row r="15" spans="1:41" ht="19.5" customHeight="1" x14ac:dyDescent="0.15">
      <c r="A15" s="6" t="str">
        <f>'Field Teams'!A16</f>
        <v>FT-012</v>
      </c>
      <c r="B15" s="28" t="str">
        <f>'Field Teams'!B16</f>
        <v>S6 Tree Specialists Ltd</v>
      </c>
      <c r="C15" s="28" t="str">
        <f>'Field Teams'!C16</f>
        <v>Utility Arboriculture</v>
      </c>
      <c r="D15" s="6" t="str">
        <f>'Field Teams'!D16</f>
        <v>Donovan  Gosher</v>
      </c>
      <c r="E15" s="6" t="str">
        <f>'Field Teams'!E16</f>
        <v>Barry Bright</v>
      </c>
      <c r="F15" s="6">
        <f>'Field Teams'!F16</f>
        <v>0</v>
      </c>
      <c r="G15" s="6">
        <f>'Field Teams'!G16</f>
        <v>0</v>
      </c>
      <c r="H15" s="31">
        <f>'Field Teams'!H16</f>
        <v>2</v>
      </c>
      <c r="I15" s="31">
        <f t="shared" si="0"/>
        <v>4</v>
      </c>
      <c r="J15" s="31">
        <f>IFERROR(SUMPRODUCT((((ISNUMBER(SEARCH(B15,'Data - HSQE Events'!V$6:V$3000))+ISNUMBER(SEARCH(B15,'Data - HSQE Events'!H$6:H$3000)))&gt;0))*('Data - HSQE Events'!F$6:F$3000&gt;=$AG$3)*('Data - HSQE Events'!F$6:F$3000&lt;=$AJ$3)*('Data - HSQE Events'!R$6:R$3000="Opportunity")),0)</f>
        <v>0</v>
      </c>
      <c r="K15" s="31">
        <f>IFERROR(SUMPRODUCT((((ISNUMBER(SEARCH(B15,'Data - HSQE Events'!V$6:V$3000))+ISNUMBER(SEARCH(B15,'Data - HSQE Events'!H$6:H$3000)))&gt;0))*('Data - HSQE Events'!F$6:F$3000&gt;=$AG$3)*('Data - HSQE Events'!F$6:F$3000&lt;=$AJ$3)*('Data - HSQE Events'!R$6:R$3000="Minor")),0)</f>
        <v>0</v>
      </c>
      <c r="L15" s="31">
        <f>IFERROR(SUMPRODUCT((((ISNUMBER(SEARCH(B15,'Data - HSQE Events'!V$6:V$3000))+ISNUMBER(SEARCH(B15,'Data - HSQE Events'!H$6:H$3000)))&gt;0))*('Data - HSQE Events'!F$6:F$3000&gt;=$AG$3)*('Data - HSQE Events'!F$6:F$3000&lt;=$AJ$3)*(('Data - HSQE Events'!R$6:R$3000="Moderate")+('Data - HSQE Events'!R$6:R$3000="Major"))),0)</f>
        <v>0</v>
      </c>
      <c r="M15" s="31" t="str">
        <f>IF(IFERROR(SUMPRODUCT((((ISNUMBER(SEARCH(B15,'Data - HSQE Events'!V$6:V$3000))+ISNUMBER(SEARCH(B15,'Data - HSQE Events'!H$6:H$3000)))&gt;0))*('Data - HSQE Events'!F$6:F$3000&gt;=$AG$3)*('Data - HSQE Events'!F$6:F$3000&lt;=$AJ$3)*('Data - HSQE Events'!R$6:R$3000="Major")),0)&gt;0,"YES","NO")</f>
        <v>NO</v>
      </c>
      <c r="N15" s="31">
        <f>IFERROR(SUMPRODUCT(('Data - Skillko'!B$6:B$3000=B15)*('Data - Skillko'!C$6:C$3000="Total")*('Data - Skillko'!E$6:E$3000))*100,0)</f>
        <v>89</v>
      </c>
      <c r="O15" s="31">
        <f t="shared" si="1"/>
        <v>4.5999999999999996</v>
      </c>
      <c r="P15" s="31">
        <f>IFERROR(SUMPRODUCT(ISNUMBER(SEARCH(B15,'Pole Results'!$A$13:$A$2000))*('Pole Results'!$B$13:$B$2000&gt;=$AG$3)*('Pole Results'!$B$13:$B$2000&lt;=$AE$3)*('Pole Results'!$E$13:$E$2000="Non-Compliant")),0)</f>
        <v>0</v>
      </c>
      <c r="Q15" s="31">
        <f t="shared" si="2"/>
        <v>1</v>
      </c>
      <c r="R15" s="31">
        <f t="shared" si="3"/>
        <v>5</v>
      </c>
      <c r="S15" s="49">
        <f t="shared" si="4"/>
        <v>5</v>
      </c>
      <c r="T15" s="31">
        <f>IF('Field Teams'!$I$16="Inactive","",ROUND((Q15*Settings!$D$6+R15*Settings!$D$7+O15*Settings!$D$10+S15*Settings!$D$12+AO15*Settings!$D$13)/Settings!$D$14,1))</f>
        <v>3.1</v>
      </c>
      <c r="U15" s="115" t="str">
        <f>IF('Field Teams'!$I$16="Inactive","",IF(Q15="","",IF(Q15&gt;=4.5,"★★★★★",IF(Q15&gt;=3.5,"★★★★☆",IF(Q15&gt;=2.5,"★★★☆☆",IF(Q15&gt;=1.5,"★★☆☆☆","★☆☆☆☆"))))))</f>
        <v>★☆☆☆☆</v>
      </c>
      <c r="V15" s="115" t="str">
        <f>IF('Field Teams'!$I$16="Inactive","",IF(R15="","",IF(R15&gt;=4.5,"★★★★★",IF(R15&gt;=3.5,"★★★★☆",IF(R15&gt;=2.5,"★★★☆☆",IF(R15&gt;=1.5,"★★☆☆☆","★☆☆☆☆"))))))</f>
        <v>★★★★★</v>
      </c>
      <c r="W15" s="115" t="str">
        <f>IF('Field Teams'!$I$16="Inactive","",IF(O15="","",IF(O15&gt;=4.5,"★★★★★",IF(O15&gt;=3.5,"★★★★☆",IF(O15&gt;=2.5,"★★★☆☆",IF(O15&gt;=1.5,"★★☆☆☆","★☆☆☆☆"))))))</f>
        <v>★★★★★</v>
      </c>
      <c r="X15" s="115" t="str">
        <f>IF('Field Teams'!$I$16="Inactive","",IF(S15="","",IF(S15&gt;=4.5,"★★★★★",IF(S15&gt;=3.5,"★★★★☆",IF(S15&gt;=2.5,"★★★☆☆",IF(S15&gt;=1.5,"★★☆☆☆","★☆☆☆☆"))))))</f>
        <v>★★★★★</v>
      </c>
      <c r="Y15" s="115" t="str">
        <f>IF('Field Teams'!$I$16="Inactive","",IF(AO15="","",IF(AO15&gt;=4.5,"★★★★★",IF(AO15&gt;=3.5,"★★★★☆",IF(AO15&gt;=2.5,"★★★☆☆",IF(AO15&gt;=1.5,"★★☆☆☆","★☆☆☆☆"))))))</f>
        <v>★★★☆☆</v>
      </c>
      <c r="Z15" s="115" t="str">
        <f>IF('Field Teams'!$I$5="Inactive","",IF(T15="","",IF(T15&gt;=4.5,"★★★★★",IF(T15&gt;=3.5,"★★★★☆",IF(T15&gt;=2.5,"★★★☆☆",IF(T15&gt;=1.5,"★★☆☆☆","★☆☆☆☆"))))))</f>
        <v>★★★☆☆</v>
      </c>
      <c r="AA15" s="31" t="str">
        <f>IF('Field Teams'!$I$16="Inactive","",IF(M15="YES","HIGH",IF(Q15&lt;=Settings!$D$26,"HIGH",IF(T15&lt;=Settings!$D$23,"HIGH",IF(T15&lt;=Settings!$D$24,"MEDIUM","LOW")))))</f>
        <v>HIGH</v>
      </c>
      <c r="AB15" s="31">
        <f>IF('Field Teams'!$I$5="Inactive",-1,IFERROR((6-T15)+(77-ROW())*0.0001,0))</f>
        <v>2.9062000000000001</v>
      </c>
      <c r="AC15" s="35">
        <f>IF('Field Teams'!$I$5="Inactive",999,IFERROR((6-T15)+(ROW()-3)*0.0001,99))</f>
        <v>2.9011999999999998</v>
      </c>
      <c r="AD15" s="31">
        <f>IF('Field Teams'!$I$16="Inactive",999,IFERROR(AB15+(ROW()-3)*0.0001,99))</f>
        <v>2.9074</v>
      </c>
      <c r="AE15" s="29">
        <v>0</v>
      </c>
      <c r="AF15" s="31" t="str">
        <f>IF('Field Teams'!$I$16="Inactive","",IF(AA15="HIGH","YES - within 5 working days",""))</f>
        <v>YES - within 5 working days</v>
      </c>
      <c r="AG15" s="105"/>
      <c r="AH15" s="49">
        <f>IFERROR(SUMPRODUCT(ISNUMBER(SEARCH(B15,'Pole Results'!$A$13:$A$2000))*('Pole Results'!$B$13:$B$2000&gt;=$AG$3)*('Pole Results'!$B$13:$B$2000&lt;=$AE$3)),0)</f>
        <v>0</v>
      </c>
      <c r="AI15" s="49">
        <f>IFERROR(SUMPRODUCT(ISNUMBER(SEARCH(B15,'Pole Results'!$A$13:$A$2000))*('Pole Results'!$B$13:$B$2000&gt;=$AG$3)*('Pole Results'!$B$13:$B$2000&lt;=$AE$3)*('Pole Results'!$E$13:$E$2000="Compliant")),0)</f>
        <v>0</v>
      </c>
      <c r="AJ15" s="105"/>
      <c r="AK15" s="106">
        <f>IF('Field Teams'!$I$16="Inactive",-1,IF(AA15="HIGH",AB15,-1))</f>
        <v>2.9062000000000001</v>
      </c>
      <c r="AL15" s="106">
        <f>IF('Field Teams'!$I$16="Inactive",-1,IF(OR(AA15="HIGH",AA15="MEDIUM"),AB15,-1))</f>
        <v>2.9062000000000001</v>
      </c>
      <c r="AM15" t="str">
        <f>IF('Field Teams'!$I$16="Inactive","",IF(IFERROR(LOOKUP(2,1/('Historical Scores'!C16:N16&lt;&gt;""),'Historical Scores'!C16:N16),"")="","New",IF(T15=""," ",IF(T15&gt;IFERROR(LOOKUP(2,1/('Historical Scores'!C16:N16&lt;&gt;""),'Historical Scores'!C16:N16),""),"▲ Worsening",IF(T15&lt;IFERROR(LOOKUP(2,1/('Historical Scores'!C16:N16&lt;&gt;""),'Historical Scores'!C16:N16),""),"▼ Improving","► Stable")))))</f>
        <v>New</v>
      </c>
      <c r="AN15">
        <f>IFERROR(SUMPRODUCT((ISNUMBER(SEARCH(B15,'Data - SSV'!AE$6:AE$3000)))*('Data - SSV'!AF$6:AF$3000&gt;=(AJ$3-90))*('Data - SSV'!AF$6:AF$3000&lt;=AJ$3)*('Data - SSV'!AH$6:AH$3000&lt;&gt;"")),0)</f>
        <v>0</v>
      </c>
      <c r="AO15">
        <f>IF('Field Teams'!$I$16="Inactive","",IF(AN15=0,3,IF(AN15=1,IF(IFERROR(SUMPRODUCT((ISNUMBER(SEARCH(B15,'Data - SSV'!AE$6:AE$3000)))*('Data - SSV'!AF$6:AF$3000&gt;=(AJ$3-90))*('Data - SSV'!AF$6:AF$3000&lt;=AJ$3)*('Data - SSV'!AH$6:AH$3000&lt;&gt;"")*IF('Data - SSV'!AH$6:AH$3000="",0,'Data - SSV'!AH$6:AH$3000))/AN15,3)=4,4,IF(IFERROR(SUMPRODUCT((ISNUMBER(SEARCH(B15,'Data - SSV'!AE$6:AE$3000)))*('Data - SSV'!AF$6:AF$3000&gt;=(AJ$3-90))*('Data - SSV'!AF$6:AF$3000&lt;=AJ$3)*('Data - SSV'!AH$6:AH$3000&lt;&gt;"")*IF('Data - SSV'!AH$6:AH$3000="",0,'Data - SSV'!AH$6:AH$3000))/AN15,3)&gt;=3,3,IF(IFERROR(SUMPRODUCT((ISNUMBER(SEARCH(B15,'Data - SSV'!AE$6:AE$3000)))*('Data - SSV'!AF$6:AF$3000&gt;=(AJ$3-90))*('Data - SSV'!AF$6:AF$3000&lt;=AJ$3)*('Data - SSV'!AH$6:AH$3000&lt;&gt;"")*IF('Data - SSV'!AH$6:AH$3000="",0,'Data - SSV'!AH$6:AH$3000))/AN15,3)&gt;=2,2,1))),IF(IFERROR(SUMPRODUCT((ISNUMBER(SEARCH(B15,'Data - SSV'!AE$6:AE$3000)))*('Data - SSV'!AF$6:AF$3000&gt;=(AJ$3-90))*('Data - SSV'!AF$6:AF$3000&lt;=AJ$3)*('Data - SSV'!AH$6:AH$3000&lt;&gt;"")*IF('Data - SSV'!AH$6:AH$3000="",0,'Data - SSV'!AH$6:AH$3000))/AN15,3)=4,5,IF(IFERROR(SUMPRODUCT((ISNUMBER(SEARCH(B15,'Data - SSV'!AE$6:AE$3000)))*('Data - SSV'!AF$6:AF$3000&gt;=(AJ$3-90))*('Data - SSV'!AF$6:AF$3000&lt;=AJ$3)*('Data - SSV'!AH$6:AH$3000&lt;&gt;"")*IF('Data - SSV'!AH$6:AH$3000="",0,'Data - SSV'!AH$6:AH$3000))/AN15,3)&gt;=3.5,4,IF(IFERROR(SUMPRODUCT((ISNUMBER(SEARCH(B15,'Data - SSV'!AE$6:AE$3000)))*('Data - SSV'!AF$6:AF$3000&gt;=(AJ$3-90))*('Data - SSV'!AF$6:AF$3000&lt;=AJ$3)*('Data - SSV'!AH$6:AH$3000&lt;&gt;"")*IF('Data - SSV'!AH$6:AH$3000="",0,'Data - SSV'!AH$6:AH$3000))/AN15,3)&gt;=3,3,IF(IFERROR(SUMPRODUCT((ISNUMBER(SEARCH(B15,'Data - SSV'!AE$6:AE$3000)))*('Data - SSV'!AF$6:AF$3000&gt;=(AJ$3-90))*('Data - SSV'!AF$6:AF$3000&lt;=AJ$3)*('Data - SSV'!AH$6:AH$3000&lt;&gt;"")*IF('Data - SSV'!AH$6:AH$3000="",0,'Data - SSV'!AH$6:AH$3000))/AN15,3)&gt;=2,2,1)))))))</f>
        <v>3</v>
      </c>
    </row>
    <row r="16" spans="1:41" ht="19.5" customHeight="1" x14ac:dyDescent="0.15">
      <c r="A16" s="10" t="str">
        <f>'Field Teams'!A17</f>
        <v>FT-013</v>
      </c>
      <c r="B16" s="30" t="str">
        <f>'Field Teams'!B17</f>
        <v>Tree Tech Suffolk Ltd</v>
      </c>
      <c r="C16" s="30" t="str">
        <f>'Field Teams'!C17</f>
        <v>Utility Arboriculture</v>
      </c>
      <c r="D16" s="10" t="str">
        <f>'Field Teams'!D17</f>
        <v>Donovan  Gosher</v>
      </c>
      <c r="E16" s="10" t="str">
        <f>'Field Teams'!E17</f>
        <v>Barry Bright</v>
      </c>
      <c r="F16" s="10">
        <f>'Field Teams'!F17</f>
        <v>0</v>
      </c>
      <c r="G16" s="10">
        <f>'Field Teams'!G17</f>
        <v>0</v>
      </c>
      <c r="H16" s="31">
        <f>'Field Teams'!H17</f>
        <v>3</v>
      </c>
      <c r="I16" s="31">
        <f t="shared" si="0"/>
        <v>6</v>
      </c>
      <c r="J16" s="31">
        <f>IFERROR(SUMPRODUCT((((ISNUMBER(SEARCH(B16,'Data - HSQE Events'!V$6:V$3000))+ISNUMBER(SEARCH(B16,'Data - HSQE Events'!H$6:H$3000)))&gt;0))*('Data - HSQE Events'!F$6:F$3000&gt;=$AG$3)*('Data - HSQE Events'!F$6:F$3000&lt;=$AJ$3)*('Data - HSQE Events'!R$6:R$3000="Opportunity")),0)</f>
        <v>0</v>
      </c>
      <c r="K16" s="31">
        <f>IFERROR(SUMPRODUCT((((ISNUMBER(SEARCH(B16,'Data - HSQE Events'!V$6:V$3000))+ISNUMBER(SEARCH(B16,'Data - HSQE Events'!H$6:H$3000)))&gt;0))*('Data - HSQE Events'!F$6:F$3000&gt;=$AG$3)*('Data - HSQE Events'!F$6:F$3000&lt;=$AJ$3)*('Data - HSQE Events'!R$6:R$3000="Minor")),0)</f>
        <v>0</v>
      </c>
      <c r="L16" s="31">
        <f>IFERROR(SUMPRODUCT((((ISNUMBER(SEARCH(B16,'Data - HSQE Events'!V$6:V$3000))+ISNUMBER(SEARCH(B16,'Data - HSQE Events'!H$6:H$3000)))&gt;0))*('Data - HSQE Events'!F$6:F$3000&gt;=$AG$3)*('Data - HSQE Events'!F$6:F$3000&lt;=$AJ$3)*(('Data - HSQE Events'!R$6:R$3000="Moderate")+('Data - HSQE Events'!R$6:R$3000="Major"))),0)</f>
        <v>0</v>
      </c>
      <c r="M16" s="31" t="str">
        <f>IF(IFERROR(SUMPRODUCT((((ISNUMBER(SEARCH(B16,'Data - HSQE Events'!V$6:V$3000))+ISNUMBER(SEARCH(B16,'Data - HSQE Events'!H$6:H$3000)))&gt;0))*('Data - HSQE Events'!F$6:F$3000&gt;=$AG$3)*('Data - HSQE Events'!F$6:F$3000&lt;=$AJ$3)*('Data - HSQE Events'!R$6:R$3000="Major")),0)&gt;0,"YES","NO")</f>
        <v>NO</v>
      </c>
      <c r="N16" s="31">
        <f>IFERROR(SUMPRODUCT(('Data - Skillko'!B$6:B$3000=B16)*('Data - Skillko'!C$6:C$3000="Total")*('Data - Skillko'!E$6:E$3000))*100,0)</f>
        <v>87</v>
      </c>
      <c r="O16" s="31">
        <f t="shared" si="1"/>
        <v>4.5</v>
      </c>
      <c r="P16" s="31">
        <f>IFERROR(SUMPRODUCT(ISNUMBER(SEARCH(B16,'Pole Results'!$A$13:$A$2000))*('Pole Results'!$B$13:$B$2000&gt;=$AG$3)*('Pole Results'!$B$13:$B$2000&lt;=$AE$3)*('Pole Results'!$E$13:$E$2000="Non-Compliant")),0)</f>
        <v>0</v>
      </c>
      <c r="Q16" s="31">
        <f t="shared" si="2"/>
        <v>1</v>
      </c>
      <c r="R16" s="31">
        <f t="shared" si="3"/>
        <v>5</v>
      </c>
      <c r="S16" s="49">
        <f t="shared" si="4"/>
        <v>5</v>
      </c>
      <c r="T16" s="31">
        <f>IF('Field Teams'!$I$17="Inactive","",ROUND((Q16*Settings!$D$6+R16*Settings!$D$7+O16*Settings!$D$10+S16*Settings!$D$12+AO16*Settings!$D$13)/Settings!$D$14,1))</f>
        <v>3</v>
      </c>
      <c r="U16" s="115" t="str">
        <f>IF('Field Teams'!$I$17="Inactive","",IF(Q16="","",IF(Q16&gt;=4.5,"★★★★★",IF(Q16&gt;=3.5,"★★★★☆",IF(Q16&gt;=2.5,"★★★☆☆",IF(Q16&gt;=1.5,"★★☆☆☆","★☆☆☆☆"))))))</f>
        <v>★☆☆☆☆</v>
      </c>
      <c r="V16" s="115" t="str">
        <f>IF('Field Teams'!$I$17="Inactive","",IF(R16="","",IF(R16&gt;=4.5,"★★★★★",IF(R16&gt;=3.5,"★★★★☆",IF(R16&gt;=2.5,"★★★☆☆",IF(R16&gt;=1.5,"★★☆☆☆","★☆☆☆☆"))))))</f>
        <v>★★★★★</v>
      </c>
      <c r="W16" s="115" t="str">
        <f>IF('Field Teams'!$I$17="Inactive","",IF(O16="","",IF(O16&gt;=4.5,"★★★★★",IF(O16&gt;=3.5,"★★★★☆",IF(O16&gt;=2.5,"★★★☆☆",IF(O16&gt;=1.5,"★★☆☆☆","★☆☆☆☆"))))))</f>
        <v>★★★★★</v>
      </c>
      <c r="X16" s="115" t="str">
        <f>IF('Field Teams'!$I$17="Inactive","",IF(S16="","",IF(S16&gt;=4.5,"★★★★★",IF(S16&gt;=3.5,"★★★★☆",IF(S16&gt;=2.5,"★★★☆☆",IF(S16&gt;=1.5,"★★☆☆☆","★☆☆☆☆"))))))</f>
        <v>★★★★★</v>
      </c>
      <c r="Y16" s="115" t="str">
        <f>IF('Field Teams'!$I$17="Inactive","",IF(AO16="","",IF(AO16&gt;=4.5,"★★★★★",IF(AO16&gt;=3.5,"★★★★☆",IF(AO16&gt;=2.5,"★★★☆☆",IF(AO16&gt;=1.5,"★★☆☆☆","★☆☆☆☆"))))))</f>
        <v>★★★☆☆</v>
      </c>
      <c r="Z16" s="115" t="str">
        <f>IF('Field Teams'!$I$5="Inactive","",IF(T16="","",IF(T16&gt;=4.5,"★★★★★",IF(T16&gt;=3.5,"★★★★☆",IF(T16&gt;=2.5,"★★★☆☆",IF(T16&gt;=1.5,"★★☆☆☆","★☆☆☆☆"))))))</f>
        <v>★★★☆☆</v>
      </c>
      <c r="AA16" s="31" t="str">
        <f>IF('Field Teams'!$I$17="Inactive","",IF(M16="YES","HIGH",IF(Q16&lt;=Settings!$D$26,"HIGH",IF(T16&lt;=Settings!$D$23,"HIGH",IF(T16&lt;=Settings!$D$24,"MEDIUM","LOW")))))</f>
        <v>HIGH</v>
      </c>
      <c r="AB16" s="31">
        <f>IF('Field Teams'!$I$5="Inactive",-1,IFERROR((6-T16)+(77-ROW())*0.0001,0))</f>
        <v>3.0061</v>
      </c>
      <c r="AC16" s="35">
        <f>IF('Field Teams'!$I$5="Inactive",999,IFERROR((6-T16)+(ROW()-3)*0.0001,99))</f>
        <v>3.0013000000000001</v>
      </c>
      <c r="AD16" s="31">
        <f>IF('Field Teams'!$I$17="Inactive",999,IFERROR(AB16+(ROW()-3)*0.0001,99))</f>
        <v>3.0074000000000001</v>
      </c>
      <c r="AE16" s="29">
        <v>0</v>
      </c>
      <c r="AF16" s="31" t="str">
        <f>IF('Field Teams'!$I$17="Inactive","",IF(AA16="HIGH","YES - within 5 working days",""))</f>
        <v>YES - within 5 working days</v>
      </c>
      <c r="AG16" s="105"/>
      <c r="AH16" s="49">
        <f>IFERROR(SUMPRODUCT(ISNUMBER(SEARCH(B16,'Pole Results'!$A$13:$A$2000))*('Pole Results'!$B$13:$B$2000&gt;=$AG$3)*('Pole Results'!$B$13:$B$2000&lt;=$AE$3)),0)</f>
        <v>0</v>
      </c>
      <c r="AI16" s="49">
        <f>IFERROR(SUMPRODUCT(ISNUMBER(SEARCH(B16,'Pole Results'!$A$13:$A$2000))*('Pole Results'!$B$13:$B$2000&gt;=$AG$3)*('Pole Results'!$B$13:$B$2000&lt;=$AE$3)*('Pole Results'!$E$13:$E$2000="Compliant")),0)</f>
        <v>0</v>
      </c>
      <c r="AJ16" s="105"/>
      <c r="AK16" s="106">
        <f>IF('Field Teams'!$I$17="Inactive",-1,IF(AA16="HIGH",AB16,-1))</f>
        <v>3.0061</v>
      </c>
      <c r="AL16" s="106">
        <f>IF('Field Teams'!$I$17="Inactive",-1,IF(OR(AA16="HIGH",AA16="MEDIUM"),AB16,-1))</f>
        <v>3.0061</v>
      </c>
      <c r="AM16" t="str">
        <f>IF('Field Teams'!$I$17="Inactive","",IF(IFERROR(LOOKUP(2,1/('Historical Scores'!C17:N17&lt;&gt;""),'Historical Scores'!C17:N17),"")="","New",IF(T16=""," ",IF(T16&gt;IFERROR(LOOKUP(2,1/('Historical Scores'!C17:N17&lt;&gt;""),'Historical Scores'!C17:N17),""),"▲ Worsening",IF(T16&lt;IFERROR(LOOKUP(2,1/('Historical Scores'!C17:N17&lt;&gt;""),'Historical Scores'!C17:N17),""),"▼ Improving","► Stable")))))</f>
        <v>New</v>
      </c>
      <c r="AN16">
        <f>IFERROR(SUMPRODUCT((ISNUMBER(SEARCH(B16,'Data - SSV'!AE$6:AE$3000)))*('Data - SSV'!AF$6:AF$3000&gt;=(AJ$3-90))*('Data - SSV'!AF$6:AF$3000&lt;=AJ$3)*('Data - SSV'!AH$6:AH$3000&lt;&gt;"")),0)</f>
        <v>0</v>
      </c>
      <c r="AO16">
        <f>IF('Field Teams'!$I$17="Inactive","",IF(AN16=0,3,IF(AN16=1,IF(IFERROR(SUMPRODUCT((ISNUMBER(SEARCH(B16,'Data - SSV'!AE$6:AE$3000)))*('Data - SSV'!AF$6:AF$3000&gt;=(AJ$3-90))*('Data - SSV'!AF$6:AF$3000&lt;=AJ$3)*('Data - SSV'!AH$6:AH$3000&lt;&gt;"")*IF('Data - SSV'!AH$6:AH$3000="",0,'Data - SSV'!AH$6:AH$3000))/AN16,3)=4,4,IF(IFERROR(SUMPRODUCT((ISNUMBER(SEARCH(B16,'Data - SSV'!AE$6:AE$3000)))*('Data - SSV'!AF$6:AF$3000&gt;=(AJ$3-90))*('Data - SSV'!AF$6:AF$3000&lt;=AJ$3)*('Data - SSV'!AH$6:AH$3000&lt;&gt;"")*IF('Data - SSV'!AH$6:AH$3000="",0,'Data - SSV'!AH$6:AH$3000))/AN16,3)&gt;=3,3,IF(IFERROR(SUMPRODUCT((ISNUMBER(SEARCH(B16,'Data - SSV'!AE$6:AE$3000)))*('Data - SSV'!AF$6:AF$3000&gt;=(AJ$3-90))*('Data - SSV'!AF$6:AF$3000&lt;=AJ$3)*('Data - SSV'!AH$6:AH$3000&lt;&gt;"")*IF('Data - SSV'!AH$6:AH$3000="",0,'Data - SSV'!AH$6:AH$3000))/AN16,3)&gt;=2,2,1))),IF(IFERROR(SUMPRODUCT((ISNUMBER(SEARCH(B16,'Data - SSV'!AE$6:AE$3000)))*('Data - SSV'!AF$6:AF$3000&gt;=(AJ$3-90))*('Data - SSV'!AF$6:AF$3000&lt;=AJ$3)*('Data - SSV'!AH$6:AH$3000&lt;&gt;"")*IF('Data - SSV'!AH$6:AH$3000="",0,'Data - SSV'!AH$6:AH$3000))/AN16,3)=4,5,IF(IFERROR(SUMPRODUCT((ISNUMBER(SEARCH(B16,'Data - SSV'!AE$6:AE$3000)))*('Data - SSV'!AF$6:AF$3000&gt;=(AJ$3-90))*('Data - SSV'!AF$6:AF$3000&lt;=AJ$3)*('Data - SSV'!AH$6:AH$3000&lt;&gt;"")*IF('Data - SSV'!AH$6:AH$3000="",0,'Data - SSV'!AH$6:AH$3000))/AN16,3)&gt;=3.5,4,IF(IFERROR(SUMPRODUCT((ISNUMBER(SEARCH(B16,'Data - SSV'!AE$6:AE$3000)))*('Data - SSV'!AF$6:AF$3000&gt;=(AJ$3-90))*('Data - SSV'!AF$6:AF$3000&lt;=AJ$3)*('Data - SSV'!AH$6:AH$3000&lt;&gt;"")*IF('Data - SSV'!AH$6:AH$3000="",0,'Data - SSV'!AH$6:AH$3000))/AN16,3)&gt;=3,3,IF(IFERROR(SUMPRODUCT((ISNUMBER(SEARCH(B16,'Data - SSV'!AE$6:AE$3000)))*('Data - SSV'!AF$6:AF$3000&gt;=(AJ$3-90))*('Data - SSV'!AF$6:AF$3000&lt;=AJ$3)*('Data - SSV'!AH$6:AH$3000&lt;&gt;"")*IF('Data - SSV'!AH$6:AH$3000="",0,'Data - SSV'!AH$6:AH$3000))/AN16,3)&gt;=2,2,1)))))))</f>
        <v>3</v>
      </c>
    </row>
    <row r="17" spans="1:41" ht="19.5" customHeight="1" x14ac:dyDescent="0.15">
      <c r="A17" s="6" t="str">
        <f>'Field Teams'!A18</f>
        <v>FT-014</v>
      </c>
      <c r="B17" s="28" t="str">
        <f>'Field Teams'!B18</f>
        <v>Tree Tops Arborist</v>
      </c>
      <c r="C17" s="28" t="str">
        <f>'Field Teams'!C18</f>
        <v>Utility Arboriculture</v>
      </c>
      <c r="D17" s="6" t="str">
        <f>'Field Teams'!D18</f>
        <v>Donovan  Gosher</v>
      </c>
      <c r="E17" s="6" t="str">
        <f>'Field Teams'!E18</f>
        <v>Barry Bright</v>
      </c>
      <c r="F17" s="6">
        <f>'Field Teams'!F18</f>
        <v>0</v>
      </c>
      <c r="G17" s="6">
        <f>'Field Teams'!G18</f>
        <v>0</v>
      </c>
      <c r="H17" s="31">
        <f>'Field Teams'!H18</f>
        <v>2</v>
      </c>
      <c r="I17" s="31">
        <f t="shared" si="0"/>
        <v>4</v>
      </c>
      <c r="J17" s="31">
        <f>IFERROR(SUMPRODUCT((((ISNUMBER(SEARCH(B17,'Data - HSQE Events'!V$6:V$3000))+ISNUMBER(SEARCH(B17,'Data - HSQE Events'!H$6:H$3000)))&gt;0))*('Data - HSQE Events'!F$6:F$3000&gt;=$AG$3)*('Data - HSQE Events'!F$6:F$3000&lt;=$AJ$3)*('Data - HSQE Events'!R$6:R$3000="Opportunity")),0)</f>
        <v>0</v>
      </c>
      <c r="K17" s="31">
        <f>IFERROR(SUMPRODUCT((((ISNUMBER(SEARCH(B17,'Data - HSQE Events'!V$6:V$3000))+ISNUMBER(SEARCH(B17,'Data - HSQE Events'!H$6:H$3000)))&gt;0))*('Data - HSQE Events'!F$6:F$3000&gt;=$AG$3)*('Data - HSQE Events'!F$6:F$3000&lt;=$AJ$3)*('Data - HSQE Events'!R$6:R$3000="Minor")),0)</f>
        <v>0</v>
      </c>
      <c r="L17" s="31">
        <f>IFERROR(SUMPRODUCT((((ISNUMBER(SEARCH(B17,'Data - HSQE Events'!V$6:V$3000))+ISNUMBER(SEARCH(B17,'Data - HSQE Events'!H$6:H$3000)))&gt;0))*('Data - HSQE Events'!F$6:F$3000&gt;=$AG$3)*('Data - HSQE Events'!F$6:F$3000&lt;=$AJ$3)*(('Data - HSQE Events'!R$6:R$3000="Moderate")+('Data - HSQE Events'!R$6:R$3000="Major"))),0)</f>
        <v>0</v>
      </c>
      <c r="M17" s="31" t="str">
        <f>IF(IFERROR(SUMPRODUCT((((ISNUMBER(SEARCH(B17,'Data - HSQE Events'!V$6:V$3000))+ISNUMBER(SEARCH(B17,'Data - HSQE Events'!H$6:H$3000)))&gt;0))*('Data - HSQE Events'!F$6:F$3000&gt;=$AG$3)*('Data - HSQE Events'!F$6:F$3000&lt;=$AJ$3)*('Data - HSQE Events'!R$6:R$3000="Major")),0)&gt;0,"YES","NO")</f>
        <v>NO</v>
      </c>
      <c r="N17" s="31">
        <f>IFERROR(SUMPRODUCT(('Data - Skillko'!B$6:B$3000=B17)*('Data - Skillko'!C$6:C$3000="Total")*('Data - Skillko'!E$6:E$3000))*100,0)</f>
        <v>100</v>
      </c>
      <c r="O17" s="31">
        <f t="shared" si="1"/>
        <v>5</v>
      </c>
      <c r="P17" s="31">
        <f>IFERROR(SUMPRODUCT(ISNUMBER(SEARCH(B17,'Pole Results'!$A$13:$A$2000))*('Pole Results'!$B$13:$B$2000&gt;=$AG$3)*('Pole Results'!$B$13:$B$2000&lt;=$AE$3)*('Pole Results'!$E$13:$E$2000="Non-Compliant")),0)</f>
        <v>0</v>
      </c>
      <c r="Q17" s="31">
        <f t="shared" si="2"/>
        <v>1</v>
      </c>
      <c r="R17" s="31">
        <f t="shared" si="3"/>
        <v>5</v>
      </c>
      <c r="S17" s="49">
        <f t="shared" si="4"/>
        <v>5</v>
      </c>
      <c r="T17" s="31">
        <f>IF('Field Teams'!$I$18="Inactive","",ROUND((Q17*Settings!$D$6+R17*Settings!$D$7+O17*Settings!$D$10+S17*Settings!$D$12+AO17*Settings!$D$13)/Settings!$D$14,1))</f>
        <v>3.1</v>
      </c>
      <c r="U17" s="115" t="str">
        <f>IF('Field Teams'!$I$18="Inactive","",IF(Q17="","",IF(Q17&gt;=4.5,"★★★★★",IF(Q17&gt;=3.5,"★★★★☆",IF(Q17&gt;=2.5,"★★★☆☆",IF(Q17&gt;=1.5,"★★☆☆☆","★☆☆☆☆"))))))</f>
        <v>★☆☆☆☆</v>
      </c>
      <c r="V17" s="115" t="str">
        <f>IF('Field Teams'!$I$18="Inactive","",IF(R17="","",IF(R17&gt;=4.5,"★★★★★",IF(R17&gt;=3.5,"★★★★☆",IF(R17&gt;=2.5,"★★★☆☆",IF(R17&gt;=1.5,"★★☆☆☆","★☆☆☆☆"))))))</f>
        <v>★★★★★</v>
      </c>
      <c r="W17" s="115" t="str">
        <f>IF('Field Teams'!$I$18="Inactive","",IF(O17="","",IF(O17&gt;=4.5,"★★★★★",IF(O17&gt;=3.5,"★★★★☆",IF(O17&gt;=2.5,"★★★☆☆",IF(O17&gt;=1.5,"★★☆☆☆","★☆☆☆☆"))))))</f>
        <v>★★★★★</v>
      </c>
      <c r="X17" s="115" t="str">
        <f>IF('Field Teams'!$I$18="Inactive","",IF(S17="","",IF(S17&gt;=4.5,"★★★★★",IF(S17&gt;=3.5,"★★★★☆",IF(S17&gt;=2.5,"★★★☆☆",IF(S17&gt;=1.5,"★★☆☆☆","★☆☆☆☆"))))))</f>
        <v>★★★★★</v>
      </c>
      <c r="Y17" s="115" t="str">
        <f>IF('Field Teams'!$I$18="Inactive","",IF(AO17="","",IF(AO17&gt;=4.5,"★★★★★",IF(AO17&gt;=3.5,"★★★★☆",IF(AO17&gt;=2.5,"★★★☆☆",IF(AO17&gt;=1.5,"★★☆☆☆","★☆☆☆☆"))))))</f>
        <v>★★★☆☆</v>
      </c>
      <c r="Z17" s="115" t="str">
        <f>IF('Field Teams'!$I$5="Inactive","",IF(T17="","",IF(T17&gt;=4.5,"★★★★★",IF(T17&gt;=3.5,"★★★★☆",IF(T17&gt;=2.5,"★★★☆☆",IF(T17&gt;=1.5,"★★☆☆☆","★☆☆☆☆"))))))</f>
        <v>★★★☆☆</v>
      </c>
      <c r="AA17" s="31" t="str">
        <f>IF('Field Teams'!$I$18="Inactive","",IF(M17="YES","HIGH",IF(Q17&lt;=Settings!$D$26,"HIGH",IF(T17&lt;=Settings!$D$23,"HIGH",IF(T17&lt;=Settings!$D$24,"MEDIUM","LOW")))))</f>
        <v>HIGH</v>
      </c>
      <c r="AB17" s="31">
        <f>IF('Field Teams'!$I$5="Inactive",-1,IFERROR((6-T17)+(77-ROW())*0.0001,0))</f>
        <v>2.9059999999999997</v>
      </c>
      <c r="AC17" s="35">
        <f>IF('Field Teams'!$I$5="Inactive",999,IFERROR((6-T17)+(ROW()-3)*0.0001,99))</f>
        <v>2.9013999999999998</v>
      </c>
      <c r="AD17" s="31">
        <f>IF('Field Teams'!$I$18="Inactive",999,IFERROR(AB17+(ROW()-3)*0.0001,99))</f>
        <v>2.9073999999999995</v>
      </c>
      <c r="AE17" s="29">
        <v>0</v>
      </c>
      <c r="AF17" s="31" t="str">
        <f>IF('Field Teams'!$I$18="Inactive","",IF(AA17="HIGH","YES - within 5 working days",""))</f>
        <v>YES - within 5 working days</v>
      </c>
      <c r="AG17" s="105"/>
      <c r="AH17" s="49">
        <f>IFERROR(SUMPRODUCT(ISNUMBER(SEARCH(B17,'Pole Results'!$A$13:$A$2000))*('Pole Results'!$B$13:$B$2000&gt;=$AG$3)*('Pole Results'!$B$13:$B$2000&lt;=$AE$3)),0)</f>
        <v>0</v>
      </c>
      <c r="AI17" s="49">
        <f>IFERROR(SUMPRODUCT(ISNUMBER(SEARCH(B17,'Pole Results'!$A$13:$A$2000))*('Pole Results'!$B$13:$B$2000&gt;=$AG$3)*('Pole Results'!$B$13:$B$2000&lt;=$AE$3)*('Pole Results'!$E$13:$E$2000="Compliant")),0)</f>
        <v>0</v>
      </c>
      <c r="AJ17" s="105"/>
      <c r="AK17" s="106">
        <f>IF('Field Teams'!$I$18="Inactive",-1,IF(AA17="HIGH",AB17,-1))</f>
        <v>2.9059999999999997</v>
      </c>
      <c r="AL17" s="106">
        <f>IF('Field Teams'!$I$18="Inactive",-1,IF(OR(AA17="HIGH",AA17="MEDIUM"),AB17,-1))</f>
        <v>2.9059999999999997</v>
      </c>
      <c r="AM17" t="str">
        <f>IF('Field Teams'!$I$18="Inactive","",IF(IFERROR(LOOKUP(2,1/('Historical Scores'!C18:N18&lt;&gt;""),'Historical Scores'!C18:N18),"")="","New",IF(T17=""," ",IF(T17&gt;IFERROR(LOOKUP(2,1/('Historical Scores'!C18:N18&lt;&gt;""),'Historical Scores'!C18:N18),""),"▲ Worsening",IF(T17&lt;IFERROR(LOOKUP(2,1/('Historical Scores'!C18:N18&lt;&gt;""),'Historical Scores'!C18:N18),""),"▼ Improving","► Stable")))))</f>
        <v>New</v>
      </c>
      <c r="AN17">
        <f>IFERROR(SUMPRODUCT((ISNUMBER(SEARCH(B17,'Data - SSV'!AE$6:AE$3000)))*('Data - SSV'!AF$6:AF$3000&gt;=(AJ$3-90))*('Data - SSV'!AF$6:AF$3000&lt;=AJ$3)*('Data - SSV'!AH$6:AH$3000&lt;&gt;"")),0)</f>
        <v>0</v>
      </c>
      <c r="AO17">
        <f>IF('Field Teams'!$I$18="Inactive","",IF(AN17=0,3,IF(AN17=1,IF(IFERROR(SUMPRODUCT((ISNUMBER(SEARCH(B17,'Data - SSV'!AE$6:AE$3000)))*('Data - SSV'!AF$6:AF$3000&gt;=(AJ$3-90))*('Data - SSV'!AF$6:AF$3000&lt;=AJ$3)*('Data - SSV'!AH$6:AH$3000&lt;&gt;"")*IF('Data - SSV'!AH$6:AH$3000="",0,'Data - SSV'!AH$6:AH$3000))/AN17,3)=4,4,IF(IFERROR(SUMPRODUCT((ISNUMBER(SEARCH(B17,'Data - SSV'!AE$6:AE$3000)))*('Data - SSV'!AF$6:AF$3000&gt;=(AJ$3-90))*('Data - SSV'!AF$6:AF$3000&lt;=AJ$3)*('Data - SSV'!AH$6:AH$3000&lt;&gt;"")*IF('Data - SSV'!AH$6:AH$3000="",0,'Data - SSV'!AH$6:AH$3000))/AN17,3)&gt;=3,3,IF(IFERROR(SUMPRODUCT((ISNUMBER(SEARCH(B17,'Data - SSV'!AE$6:AE$3000)))*('Data - SSV'!AF$6:AF$3000&gt;=(AJ$3-90))*('Data - SSV'!AF$6:AF$3000&lt;=AJ$3)*('Data - SSV'!AH$6:AH$3000&lt;&gt;"")*IF('Data - SSV'!AH$6:AH$3000="",0,'Data - SSV'!AH$6:AH$3000))/AN17,3)&gt;=2,2,1))),IF(IFERROR(SUMPRODUCT((ISNUMBER(SEARCH(B17,'Data - SSV'!AE$6:AE$3000)))*('Data - SSV'!AF$6:AF$3000&gt;=(AJ$3-90))*('Data - SSV'!AF$6:AF$3000&lt;=AJ$3)*('Data - SSV'!AH$6:AH$3000&lt;&gt;"")*IF('Data - SSV'!AH$6:AH$3000="",0,'Data - SSV'!AH$6:AH$3000))/AN17,3)=4,5,IF(IFERROR(SUMPRODUCT((ISNUMBER(SEARCH(B17,'Data - SSV'!AE$6:AE$3000)))*('Data - SSV'!AF$6:AF$3000&gt;=(AJ$3-90))*('Data - SSV'!AF$6:AF$3000&lt;=AJ$3)*('Data - SSV'!AH$6:AH$3000&lt;&gt;"")*IF('Data - SSV'!AH$6:AH$3000="",0,'Data - SSV'!AH$6:AH$3000))/AN17,3)&gt;=3.5,4,IF(IFERROR(SUMPRODUCT((ISNUMBER(SEARCH(B17,'Data - SSV'!AE$6:AE$3000)))*('Data - SSV'!AF$6:AF$3000&gt;=(AJ$3-90))*('Data - SSV'!AF$6:AF$3000&lt;=AJ$3)*('Data - SSV'!AH$6:AH$3000&lt;&gt;"")*IF('Data - SSV'!AH$6:AH$3000="",0,'Data - SSV'!AH$6:AH$3000))/AN17,3)&gt;=3,3,IF(IFERROR(SUMPRODUCT((ISNUMBER(SEARCH(B17,'Data - SSV'!AE$6:AE$3000)))*('Data - SSV'!AF$6:AF$3000&gt;=(AJ$3-90))*('Data - SSV'!AF$6:AF$3000&lt;=AJ$3)*('Data - SSV'!AH$6:AH$3000&lt;&gt;"")*IF('Data - SSV'!AH$6:AH$3000="",0,'Data - SSV'!AH$6:AH$3000))/AN17,3)&gt;=2,2,1)))))))</f>
        <v>3</v>
      </c>
    </row>
    <row r="18" spans="1:41" ht="19.5" customHeight="1" x14ac:dyDescent="0.15">
      <c r="A18" s="10" t="str">
        <f>'Field Teams'!A19</f>
        <v>FT-015</v>
      </c>
      <c r="B18" s="30" t="str">
        <f>'Field Teams'!B19</f>
        <v>Valiant Arborist Ltd</v>
      </c>
      <c r="C18" s="30" t="str">
        <f>'Field Teams'!C19</f>
        <v>Utility Arboriculture</v>
      </c>
      <c r="D18" s="10" t="str">
        <f>'Field Teams'!D19</f>
        <v>Donovan  Gosher</v>
      </c>
      <c r="E18" s="10" t="str">
        <f>'Field Teams'!E19</f>
        <v>Barry Bright</v>
      </c>
      <c r="F18" s="10">
        <f>'Field Teams'!F19</f>
        <v>0</v>
      </c>
      <c r="G18" s="10">
        <f>'Field Teams'!G19</f>
        <v>0</v>
      </c>
      <c r="H18" s="31">
        <f>'Field Teams'!H19</f>
        <v>5</v>
      </c>
      <c r="I18" s="31">
        <f t="shared" si="0"/>
        <v>10</v>
      </c>
      <c r="J18" s="31">
        <f>IFERROR(SUMPRODUCT((((ISNUMBER(SEARCH(B18,'Data - HSQE Events'!V$6:V$3000))+ISNUMBER(SEARCH(B18,'Data - HSQE Events'!H$6:H$3000)))&gt;0))*('Data - HSQE Events'!F$6:F$3000&gt;=$AG$3)*('Data - HSQE Events'!F$6:F$3000&lt;=$AJ$3)*('Data - HSQE Events'!R$6:R$3000="Opportunity")),0)</f>
        <v>0</v>
      </c>
      <c r="K18" s="31">
        <f>IFERROR(SUMPRODUCT((((ISNUMBER(SEARCH(B18,'Data - HSQE Events'!V$6:V$3000))+ISNUMBER(SEARCH(B18,'Data - HSQE Events'!H$6:H$3000)))&gt;0))*('Data - HSQE Events'!F$6:F$3000&gt;=$AG$3)*('Data - HSQE Events'!F$6:F$3000&lt;=$AJ$3)*('Data - HSQE Events'!R$6:R$3000="Minor")),0)</f>
        <v>0</v>
      </c>
      <c r="L18" s="31">
        <f>IFERROR(SUMPRODUCT((((ISNUMBER(SEARCH(B18,'Data - HSQE Events'!V$6:V$3000))+ISNUMBER(SEARCH(B18,'Data - HSQE Events'!H$6:H$3000)))&gt;0))*('Data - HSQE Events'!F$6:F$3000&gt;=$AG$3)*('Data - HSQE Events'!F$6:F$3000&lt;=$AJ$3)*(('Data - HSQE Events'!R$6:R$3000="Moderate")+('Data - HSQE Events'!R$6:R$3000="Major"))),0)</f>
        <v>0</v>
      </c>
      <c r="M18" s="31" t="str">
        <f>IF(IFERROR(SUMPRODUCT((((ISNUMBER(SEARCH(B18,'Data - HSQE Events'!V$6:V$3000))+ISNUMBER(SEARCH(B18,'Data - HSQE Events'!H$6:H$3000)))&gt;0))*('Data - HSQE Events'!F$6:F$3000&gt;=$AG$3)*('Data - HSQE Events'!F$6:F$3000&lt;=$AJ$3)*('Data - HSQE Events'!R$6:R$3000="Major")),0)&gt;0,"YES","NO")</f>
        <v>NO</v>
      </c>
      <c r="N18" s="31">
        <f>IFERROR(SUMPRODUCT(('Data - Skillko'!B$6:B$3000=B18)*('Data - Skillko'!C$6:C$3000="Total")*('Data - Skillko'!E$6:E$3000))*100,0)</f>
        <v>57.999999999999993</v>
      </c>
      <c r="O18" s="31">
        <f t="shared" si="1"/>
        <v>3.3</v>
      </c>
      <c r="P18" s="31">
        <f>IFERROR(SUMPRODUCT(ISNUMBER(SEARCH(B18,'Pole Results'!$A$13:$A$2000))*('Pole Results'!$B$13:$B$2000&gt;=$AG$3)*('Pole Results'!$B$13:$B$2000&lt;=$AE$3)*('Pole Results'!$E$13:$E$2000="Non-Compliant")),0)</f>
        <v>0</v>
      </c>
      <c r="Q18" s="31">
        <f t="shared" si="2"/>
        <v>1</v>
      </c>
      <c r="R18" s="31">
        <f t="shared" si="3"/>
        <v>5</v>
      </c>
      <c r="S18" s="49">
        <f t="shared" si="4"/>
        <v>5</v>
      </c>
      <c r="T18" s="31">
        <f>IF('Field Teams'!$I$19="Inactive","",ROUND((Q18*Settings!$D$6+R18*Settings!$D$7+O18*Settings!$D$10+S18*Settings!$D$12+AO18*Settings!$D$13)/Settings!$D$14,1))</f>
        <v>2.8</v>
      </c>
      <c r="U18" s="115" t="str">
        <f>IF('Field Teams'!$I$19="Inactive","",IF(Q18="","",IF(Q18&gt;=4.5,"★★★★★",IF(Q18&gt;=3.5,"★★★★☆",IF(Q18&gt;=2.5,"★★★☆☆",IF(Q18&gt;=1.5,"★★☆☆☆","★☆☆☆☆"))))))</f>
        <v>★☆☆☆☆</v>
      </c>
      <c r="V18" s="115" t="str">
        <f>IF('Field Teams'!$I$19="Inactive","",IF(R18="","",IF(R18&gt;=4.5,"★★★★★",IF(R18&gt;=3.5,"★★★★☆",IF(R18&gt;=2.5,"★★★☆☆",IF(R18&gt;=1.5,"★★☆☆☆","★☆☆☆☆"))))))</f>
        <v>★★★★★</v>
      </c>
      <c r="W18" s="115" t="str">
        <f>IF('Field Teams'!$I$19="Inactive","",IF(O18="","",IF(O18&gt;=4.5,"★★★★★",IF(O18&gt;=3.5,"★★★★☆",IF(O18&gt;=2.5,"★★★☆☆",IF(O18&gt;=1.5,"★★☆☆☆","★☆☆☆☆"))))))</f>
        <v>★★★☆☆</v>
      </c>
      <c r="X18" s="115" t="str">
        <f>IF('Field Teams'!$I$19="Inactive","",IF(S18="","",IF(S18&gt;=4.5,"★★★★★",IF(S18&gt;=3.5,"★★★★☆",IF(S18&gt;=2.5,"★★★☆☆",IF(S18&gt;=1.5,"★★☆☆☆","★☆☆☆☆"))))))</f>
        <v>★★★★★</v>
      </c>
      <c r="Y18" s="115" t="str">
        <f>IF('Field Teams'!$I$19="Inactive","",IF(AO18="","",IF(AO18&gt;=4.5,"★★★★★",IF(AO18&gt;=3.5,"★★★★☆",IF(AO18&gt;=2.5,"★★★☆☆",IF(AO18&gt;=1.5,"★★☆☆☆","★☆☆☆☆"))))))</f>
        <v>★★★☆☆</v>
      </c>
      <c r="Z18" s="115" t="str">
        <f>IF('Field Teams'!$I$5="Inactive","",IF(T18="","",IF(T18&gt;=4.5,"★★★★★",IF(T18&gt;=3.5,"★★★★☆",IF(T18&gt;=2.5,"★★★☆☆",IF(T18&gt;=1.5,"★★☆☆☆","★☆☆☆☆"))))))</f>
        <v>★★★☆☆</v>
      </c>
      <c r="AA18" s="31" t="str">
        <f>IF('Field Teams'!$I$19="Inactive","",IF(M18="YES","HIGH",IF(Q18&lt;=Settings!$D$26,"HIGH",IF(T18&lt;=Settings!$D$23,"HIGH",IF(T18&lt;=Settings!$D$24,"MEDIUM","LOW")))))</f>
        <v>HIGH</v>
      </c>
      <c r="AB18" s="31">
        <f>IF('Field Teams'!$I$5="Inactive",-1,IFERROR((6-T18)+(77-ROW())*0.0001,0))</f>
        <v>3.2059000000000002</v>
      </c>
      <c r="AC18" s="35">
        <f>IF('Field Teams'!$I$5="Inactive",999,IFERROR((6-T18)+(ROW()-3)*0.0001,99))</f>
        <v>3.2015000000000002</v>
      </c>
      <c r="AD18" s="31">
        <f>IF('Field Teams'!$I$19="Inactive",999,IFERROR(AB18+(ROW()-3)*0.0001,99))</f>
        <v>3.2074000000000003</v>
      </c>
      <c r="AE18" s="29">
        <v>0</v>
      </c>
      <c r="AF18" s="31" t="str">
        <f>IF('Field Teams'!$I$19="Inactive","",IF(AA18="HIGH","YES - within 5 working days",""))</f>
        <v>YES - within 5 working days</v>
      </c>
      <c r="AG18" s="105"/>
      <c r="AH18" s="49">
        <f>IFERROR(SUMPRODUCT(ISNUMBER(SEARCH(B18,'Pole Results'!$A$13:$A$2000))*('Pole Results'!$B$13:$B$2000&gt;=$AG$3)*('Pole Results'!$B$13:$B$2000&lt;=$AE$3)),0)</f>
        <v>0</v>
      </c>
      <c r="AI18" s="49">
        <f>IFERROR(SUMPRODUCT(ISNUMBER(SEARCH(B18,'Pole Results'!$A$13:$A$2000))*('Pole Results'!$B$13:$B$2000&gt;=$AG$3)*('Pole Results'!$B$13:$B$2000&lt;=$AE$3)*('Pole Results'!$E$13:$E$2000="Compliant")),0)</f>
        <v>0</v>
      </c>
      <c r="AJ18" s="105"/>
      <c r="AK18" s="106">
        <f>IF('Field Teams'!$I$19="Inactive",-1,IF(AA18="HIGH",AB18,-1))</f>
        <v>3.2059000000000002</v>
      </c>
      <c r="AL18" s="106">
        <f>IF('Field Teams'!$I$19="Inactive",-1,IF(OR(AA18="HIGH",AA18="MEDIUM"),AB18,-1))</f>
        <v>3.2059000000000002</v>
      </c>
      <c r="AM18" t="str">
        <f>IF('Field Teams'!$I$19="Inactive","",IF(IFERROR(LOOKUP(2,1/('Historical Scores'!C19:N19&lt;&gt;""),'Historical Scores'!C19:N19),"")="","New",IF(T18=""," ",IF(T18&gt;IFERROR(LOOKUP(2,1/('Historical Scores'!C19:N19&lt;&gt;""),'Historical Scores'!C19:N19),""),"▲ Worsening",IF(T18&lt;IFERROR(LOOKUP(2,1/('Historical Scores'!C19:N19&lt;&gt;""),'Historical Scores'!C19:N19),""),"▼ Improving","► Stable")))))</f>
        <v>New</v>
      </c>
      <c r="AN18">
        <f>IFERROR(SUMPRODUCT((ISNUMBER(SEARCH(B18,'Data - SSV'!AE$6:AE$3000)))*('Data - SSV'!AF$6:AF$3000&gt;=(AJ$3-90))*('Data - SSV'!AF$6:AF$3000&lt;=AJ$3)*('Data - SSV'!AH$6:AH$3000&lt;&gt;"")),0)</f>
        <v>0</v>
      </c>
      <c r="AO18">
        <f>IF('Field Teams'!$I$19="Inactive","",IF(AN18=0,3,IF(AN18=1,IF(IFERROR(SUMPRODUCT((ISNUMBER(SEARCH(B18,'Data - SSV'!AE$6:AE$3000)))*('Data - SSV'!AF$6:AF$3000&gt;=(AJ$3-90))*('Data - SSV'!AF$6:AF$3000&lt;=AJ$3)*('Data - SSV'!AH$6:AH$3000&lt;&gt;"")*IF('Data - SSV'!AH$6:AH$3000="",0,'Data - SSV'!AH$6:AH$3000))/AN18,3)=4,4,IF(IFERROR(SUMPRODUCT((ISNUMBER(SEARCH(B18,'Data - SSV'!AE$6:AE$3000)))*('Data - SSV'!AF$6:AF$3000&gt;=(AJ$3-90))*('Data - SSV'!AF$6:AF$3000&lt;=AJ$3)*('Data - SSV'!AH$6:AH$3000&lt;&gt;"")*IF('Data - SSV'!AH$6:AH$3000="",0,'Data - SSV'!AH$6:AH$3000))/AN18,3)&gt;=3,3,IF(IFERROR(SUMPRODUCT((ISNUMBER(SEARCH(B18,'Data - SSV'!AE$6:AE$3000)))*('Data - SSV'!AF$6:AF$3000&gt;=(AJ$3-90))*('Data - SSV'!AF$6:AF$3000&lt;=AJ$3)*('Data - SSV'!AH$6:AH$3000&lt;&gt;"")*IF('Data - SSV'!AH$6:AH$3000="",0,'Data - SSV'!AH$6:AH$3000))/AN18,3)&gt;=2,2,1))),IF(IFERROR(SUMPRODUCT((ISNUMBER(SEARCH(B18,'Data - SSV'!AE$6:AE$3000)))*('Data - SSV'!AF$6:AF$3000&gt;=(AJ$3-90))*('Data - SSV'!AF$6:AF$3000&lt;=AJ$3)*('Data - SSV'!AH$6:AH$3000&lt;&gt;"")*IF('Data - SSV'!AH$6:AH$3000="",0,'Data - SSV'!AH$6:AH$3000))/AN18,3)=4,5,IF(IFERROR(SUMPRODUCT((ISNUMBER(SEARCH(B18,'Data - SSV'!AE$6:AE$3000)))*('Data - SSV'!AF$6:AF$3000&gt;=(AJ$3-90))*('Data - SSV'!AF$6:AF$3000&lt;=AJ$3)*('Data - SSV'!AH$6:AH$3000&lt;&gt;"")*IF('Data - SSV'!AH$6:AH$3000="",0,'Data - SSV'!AH$6:AH$3000))/AN18,3)&gt;=3.5,4,IF(IFERROR(SUMPRODUCT((ISNUMBER(SEARCH(B18,'Data - SSV'!AE$6:AE$3000)))*('Data - SSV'!AF$6:AF$3000&gt;=(AJ$3-90))*('Data - SSV'!AF$6:AF$3000&lt;=AJ$3)*('Data - SSV'!AH$6:AH$3000&lt;&gt;"")*IF('Data - SSV'!AH$6:AH$3000="",0,'Data - SSV'!AH$6:AH$3000))/AN18,3)&gt;=3,3,IF(IFERROR(SUMPRODUCT((ISNUMBER(SEARCH(B18,'Data - SSV'!AE$6:AE$3000)))*('Data - SSV'!AF$6:AF$3000&gt;=(AJ$3-90))*('Data - SSV'!AF$6:AF$3000&lt;=AJ$3)*('Data - SSV'!AH$6:AH$3000&lt;&gt;"")*IF('Data - SSV'!AH$6:AH$3000="",0,'Data - SSV'!AH$6:AH$3000))/AN18,3)&gt;=2,2,1)))))))</f>
        <v>3</v>
      </c>
    </row>
    <row r="19" spans="1:41" ht="19.5" customHeight="1" x14ac:dyDescent="0.15">
      <c r="A19" s="6" t="str">
        <f>'Field Teams'!A20</f>
        <v>FT-016</v>
      </c>
      <c r="B19" s="28" t="str">
        <f>'Field Teams'!B20</f>
        <v>A J Arborists Ltd</v>
      </c>
      <c r="C19" s="28" t="str">
        <f>'Field Teams'!C20</f>
        <v>Utility Arboriculture</v>
      </c>
      <c r="D19" s="6" t="str">
        <f>'Field Teams'!D20</f>
        <v>Donovan  Gosher</v>
      </c>
      <c r="E19" s="6" t="str">
        <f>'Field Teams'!E20</f>
        <v>Jake Bolwell</v>
      </c>
      <c r="F19" s="6">
        <f>'Field Teams'!F20</f>
        <v>0</v>
      </c>
      <c r="G19" s="6">
        <f>'Field Teams'!G20</f>
        <v>0</v>
      </c>
      <c r="H19" s="31">
        <f>'Field Teams'!H20</f>
        <v>4</v>
      </c>
      <c r="I19" s="31">
        <f t="shared" si="0"/>
        <v>8</v>
      </c>
      <c r="J19" s="31">
        <f>IFERROR(SUMPRODUCT((((ISNUMBER(SEARCH(B19,'Data - HSQE Events'!V$6:V$3000))+ISNUMBER(SEARCH(B19,'Data - HSQE Events'!H$6:H$3000)))&gt;0))*('Data - HSQE Events'!F$6:F$3000&gt;=$AG$3)*('Data - HSQE Events'!F$6:F$3000&lt;=$AJ$3)*('Data - HSQE Events'!R$6:R$3000="Opportunity")),0)</f>
        <v>0</v>
      </c>
      <c r="K19" s="31">
        <f>IFERROR(SUMPRODUCT((((ISNUMBER(SEARCH(B19,'Data - HSQE Events'!V$6:V$3000))+ISNUMBER(SEARCH(B19,'Data - HSQE Events'!H$6:H$3000)))&gt;0))*('Data - HSQE Events'!F$6:F$3000&gt;=$AG$3)*('Data - HSQE Events'!F$6:F$3000&lt;=$AJ$3)*('Data - HSQE Events'!R$6:R$3000="Minor")),0)</f>
        <v>0</v>
      </c>
      <c r="L19" s="31">
        <f>IFERROR(SUMPRODUCT((((ISNUMBER(SEARCH(B19,'Data - HSQE Events'!V$6:V$3000))+ISNUMBER(SEARCH(B19,'Data - HSQE Events'!H$6:H$3000)))&gt;0))*('Data - HSQE Events'!F$6:F$3000&gt;=$AG$3)*('Data - HSQE Events'!F$6:F$3000&lt;=$AJ$3)*(('Data - HSQE Events'!R$6:R$3000="Moderate")+('Data - HSQE Events'!R$6:R$3000="Major"))),0)</f>
        <v>0</v>
      </c>
      <c r="M19" s="31" t="str">
        <f>IF(IFERROR(SUMPRODUCT((((ISNUMBER(SEARCH(B19,'Data - HSQE Events'!V$6:V$3000))+ISNUMBER(SEARCH(B19,'Data - HSQE Events'!H$6:H$3000)))&gt;0))*('Data - HSQE Events'!F$6:F$3000&gt;=$AG$3)*('Data - HSQE Events'!F$6:F$3000&lt;=$AJ$3)*('Data - HSQE Events'!R$6:R$3000="Major")),0)&gt;0,"YES","NO")</f>
        <v>NO</v>
      </c>
      <c r="N19" s="31">
        <f>IFERROR(SUMPRODUCT(('Data - Skillko'!B$6:B$3000=B19)*('Data - Skillko'!C$6:C$3000="Total")*('Data - Skillko'!E$6:E$3000))*100,0)</f>
        <v>65</v>
      </c>
      <c r="O19" s="31">
        <f t="shared" si="1"/>
        <v>3.6</v>
      </c>
      <c r="P19" s="31">
        <f>IFERROR(SUMPRODUCT(ISNUMBER(SEARCH(B19,'Pole Results'!$A$13:$A$2000))*('Pole Results'!$B$13:$B$2000&gt;=$AG$3)*('Pole Results'!$B$13:$B$2000&lt;=$AE$3)*('Pole Results'!$E$13:$E$2000="Non-Compliant")),0)</f>
        <v>0</v>
      </c>
      <c r="Q19" s="31">
        <f t="shared" si="2"/>
        <v>1</v>
      </c>
      <c r="R19" s="31">
        <f t="shared" si="3"/>
        <v>5</v>
      </c>
      <c r="S19" s="49">
        <f t="shared" si="4"/>
        <v>5</v>
      </c>
      <c r="T19" s="31">
        <f>IF('Field Teams'!$I$20="Inactive","",ROUND((Q19*Settings!$D$6+R19*Settings!$D$7+O19*Settings!$D$10+S19*Settings!$D$12+AO19*Settings!$D$13)/Settings!$D$14,1))</f>
        <v>2.9</v>
      </c>
      <c r="U19" s="115" t="str">
        <f>IF('Field Teams'!$I$20="Inactive","",IF(Q19="","",IF(Q19&gt;=4.5,"★★★★★",IF(Q19&gt;=3.5,"★★★★☆",IF(Q19&gt;=2.5,"★★★☆☆",IF(Q19&gt;=1.5,"★★☆☆☆","★☆☆☆☆"))))))</f>
        <v>★☆☆☆☆</v>
      </c>
      <c r="V19" s="115" t="str">
        <f>IF('Field Teams'!$I$20="Inactive","",IF(R19="","",IF(R19&gt;=4.5,"★★★★★",IF(R19&gt;=3.5,"★★★★☆",IF(R19&gt;=2.5,"★★★☆☆",IF(R19&gt;=1.5,"★★☆☆☆","★☆☆☆☆"))))))</f>
        <v>★★★★★</v>
      </c>
      <c r="W19" s="115" t="str">
        <f>IF('Field Teams'!$I$20="Inactive","",IF(O19="","",IF(O19&gt;=4.5,"★★★★★",IF(O19&gt;=3.5,"★★★★☆",IF(O19&gt;=2.5,"★★★☆☆",IF(O19&gt;=1.5,"★★☆☆☆","★☆☆☆☆"))))))</f>
        <v>★★★★☆</v>
      </c>
      <c r="X19" s="115" t="str">
        <f>IF('Field Teams'!$I$20="Inactive","",IF(S19="","",IF(S19&gt;=4.5,"★★★★★",IF(S19&gt;=3.5,"★★★★☆",IF(S19&gt;=2.5,"★★★☆☆",IF(S19&gt;=1.5,"★★☆☆☆","★☆☆☆☆"))))))</f>
        <v>★★★★★</v>
      </c>
      <c r="Y19" s="115" t="str">
        <f>IF('Field Teams'!$I$20="Inactive","",IF(AO19="","",IF(AO19&gt;=4.5,"★★★★★",IF(AO19&gt;=3.5,"★★★★☆",IF(AO19&gt;=2.5,"★★★☆☆",IF(AO19&gt;=1.5,"★★☆☆☆","★☆☆☆☆"))))))</f>
        <v>★★★☆☆</v>
      </c>
      <c r="Z19" s="115" t="str">
        <f>IF('Field Teams'!$I$5="Inactive","",IF(T19="","",IF(T19&gt;=4.5,"★★★★★",IF(T19&gt;=3.5,"★★★★☆",IF(T19&gt;=2.5,"★★★☆☆",IF(T19&gt;=1.5,"★★☆☆☆","★☆☆☆☆"))))))</f>
        <v>★★★☆☆</v>
      </c>
      <c r="AA19" s="31" t="str">
        <f>IF('Field Teams'!$I$20="Inactive","",IF(M19="YES","HIGH",IF(Q19&lt;=Settings!$D$26,"HIGH",IF(T19&lt;=Settings!$D$23,"HIGH",IF(T19&lt;=Settings!$D$24,"MEDIUM","LOW")))))</f>
        <v>HIGH</v>
      </c>
      <c r="AB19" s="31">
        <f>IF('Field Teams'!$I$5="Inactive",-1,IFERROR((6-T19)+(77-ROW())*0.0001,0))</f>
        <v>3.1057999999999999</v>
      </c>
      <c r="AC19" s="35">
        <f>IF('Field Teams'!$I$5="Inactive",999,IFERROR((6-T19)+(ROW()-3)*0.0001,99))</f>
        <v>3.1015999999999999</v>
      </c>
      <c r="AD19" s="31">
        <f>IF('Field Teams'!$I$20="Inactive",999,IFERROR(AB19+(ROW()-3)*0.0001,99))</f>
        <v>3.1073999999999997</v>
      </c>
      <c r="AE19" s="29">
        <v>0</v>
      </c>
      <c r="AF19" s="31" t="str">
        <f>IF('Field Teams'!$I$20="Inactive","",IF(AA19="HIGH","YES - within 5 working days",""))</f>
        <v>YES - within 5 working days</v>
      </c>
      <c r="AG19" s="105"/>
      <c r="AH19" s="49">
        <f>IFERROR(SUMPRODUCT(ISNUMBER(SEARCH(B19,'Pole Results'!$A$13:$A$2000))*('Pole Results'!$B$13:$B$2000&gt;=$AG$3)*('Pole Results'!$B$13:$B$2000&lt;=$AE$3)),0)</f>
        <v>0</v>
      </c>
      <c r="AI19" s="49">
        <f>IFERROR(SUMPRODUCT(ISNUMBER(SEARCH(B19,'Pole Results'!$A$13:$A$2000))*('Pole Results'!$B$13:$B$2000&gt;=$AG$3)*('Pole Results'!$B$13:$B$2000&lt;=$AE$3)*('Pole Results'!$E$13:$E$2000="Compliant")),0)</f>
        <v>0</v>
      </c>
      <c r="AJ19" s="105"/>
      <c r="AK19" s="106">
        <f>IF('Field Teams'!$I$20="Inactive",-1,IF(AA19="HIGH",AB19,-1))</f>
        <v>3.1057999999999999</v>
      </c>
      <c r="AL19" s="106">
        <f>IF('Field Teams'!$I$20="Inactive",-1,IF(OR(AA19="HIGH",AA19="MEDIUM"),AB19,-1))</f>
        <v>3.1057999999999999</v>
      </c>
      <c r="AM19" t="str">
        <f>IF('Field Teams'!$I$20="Inactive","",IF(IFERROR(LOOKUP(2,1/('Historical Scores'!C20:N20&lt;&gt;""),'Historical Scores'!C20:N20),"")="","New",IF(T19=""," ",IF(T19&gt;IFERROR(LOOKUP(2,1/('Historical Scores'!C20:N20&lt;&gt;""),'Historical Scores'!C20:N20),""),"▲ Worsening",IF(T19&lt;IFERROR(LOOKUP(2,1/('Historical Scores'!C20:N20&lt;&gt;""),'Historical Scores'!C20:N20),""),"▼ Improving","► Stable")))))</f>
        <v>New</v>
      </c>
      <c r="AN19">
        <f>IFERROR(SUMPRODUCT((ISNUMBER(SEARCH(B19,'Data - SSV'!AE$6:AE$3000)))*('Data - SSV'!AF$6:AF$3000&gt;=(AJ$3-90))*('Data - SSV'!AF$6:AF$3000&lt;=AJ$3)*('Data - SSV'!AH$6:AH$3000&lt;&gt;"")),0)</f>
        <v>0</v>
      </c>
      <c r="AO19">
        <f>IF('Field Teams'!$I$20="Inactive","",IF(AN19=0,3,IF(AN19=1,IF(IFERROR(SUMPRODUCT((ISNUMBER(SEARCH(B19,'Data - SSV'!AE$6:AE$3000)))*('Data - SSV'!AF$6:AF$3000&gt;=(AJ$3-90))*('Data - SSV'!AF$6:AF$3000&lt;=AJ$3)*('Data - SSV'!AH$6:AH$3000&lt;&gt;"")*IF('Data - SSV'!AH$6:AH$3000="",0,'Data - SSV'!AH$6:AH$3000))/AN19,3)=4,4,IF(IFERROR(SUMPRODUCT((ISNUMBER(SEARCH(B19,'Data - SSV'!AE$6:AE$3000)))*('Data - SSV'!AF$6:AF$3000&gt;=(AJ$3-90))*('Data - SSV'!AF$6:AF$3000&lt;=AJ$3)*('Data - SSV'!AH$6:AH$3000&lt;&gt;"")*IF('Data - SSV'!AH$6:AH$3000="",0,'Data - SSV'!AH$6:AH$3000))/AN19,3)&gt;=3,3,IF(IFERROR(SUMPRODUCT((ISNUMBER(SEARCH(B19,'Data - SSV'!AE$6:AE$3000)))*('Data - SSV'!AF$6:AF$3000&gt;=(AJ$3-90))*('Data - SSV'!AF$6:AF$3000&lt;=AJ$3)*('Data - SSV'!AH$6:AH$3000&lt;&gt;"")*IF('Data - SSV'!AH$6:AH$3000="",0,'Data - SSV'!AH$6:AH$3000))/AN19,3)&gt;=2,2,1))),IF(IFERROR(SUMPRODUCT((ISNUMBER(SEARCH(B19,'Data - SSV'!AE$6:AE$3000)))*('Data - SSV'!AF$6:AF$3000&gt;=(AJ$3-90))*('Data - SSV'!AF$6:AF$3000&lt;=AJ$3)*('Data - SSV'!AH$6:AH$3000&lt;&gt;"")*IF('Data - SSV'!AH$6:AH$3000="",0,'Data - SSV'!AH$6:AH$3000))/AN19,3)=4,5,IF(IFERROR(SUMPRODUCT((ISNUMBER(SEARCH(B19,'Data - SSV'!AE$6:AE$3000)))*('Data - SSV'!AF$6:AF$3000&gt;=(AJ$3-90))*('Data - SSV'!AF$6:AF$3000&lt;=AJ$3)*('Data - SSV'!AH$6:AH$3000&lt;&gt;"")*IF('Data - SSV'!AH$6:AH$3000="",0,'Data - SSV'!AH$6:AH$3000))/AN19,3)&gt;=3.5,4,IF(IFERROR(SUMPRODUCT((ISNUMBER(SEARCH(B19,'Data - SSV'!AE$6:AE$3000)))*('Data - SSV'!AF$6:AF$3000&gt;=(AJ$3-90))*('Data - SSV'!AF$6:AF$3000&lt;=AJ$3)*('Data - SSV'!AH$6:AH$3000&lt;&gt;"")*IF('Data - SSV'!AH$6:AH$3000="",0,'Data - SSV'!AH$6:AH$3000))/AN19,3)&gt;=3,3,IF(IFERROR(SUMPRODUCT((ISNUMBER(SEARCH(B19,'Data - SSV'!AE$6:AE$3000)))*('Data - SSV'!AF$6:AF$3000&gt;=(AJ$3-90))*('Data - SSV'!AF$6:AF$3000&lt;=AJ$3)*('Data - SSV'!AH$6:AH$3000&lt;&gt;"")*IF('Data - SSV'!AH$6:AH$3000="",0,'Data - SSV'!AH$6:AH$3000))/AN19,3)&gt;=2,2,1)))))))</f>
        <v>3</v>
      </c>
    </row>
    <row r="20" spans="1:41" ht="19.5" customHeight="1" x14ac:dyDescent="0.15">
      <c r="A20" s="10" t="str">
        <f>'Field Teams'!A21</f>
        <v>FT-017</v>
      </c>
      <c r="B20" s="30" t="str">
        <f>'Field Teams'!B21</f>
        <v>Andrew Munns Tree Surgery Ltd</v>
      </c>
      <c r="C20" s="30" t="str">
        <f>'Field Teams'!C21</f>
        <v>Utility Arboriculture</v>
      </c>
      <c r="D20" s="10" t="str">
        <f>'Field Teams'!D21</f>
        <v>Donovan  Gosher</v>
      </c>
      <c r="E20" s="10" t="str">
        <f>'Field Teams'!E21</f>
        <v>Jake Bolwell</v>
      </c>
      <c r="F20" s="10">
        <f>'Field Teams'!F21</f>
        <v>0</v>
      </c>
      <c r="G20" s="10">
        <f>'Field Teams'!G21</f>
        <v>0</v>
      </c>
      <c r="H20" s="31">
        <f>'Field Teams'!H21</f>
        <v>7</v>
      </c>
      <c r="I20" s="31">
        <f t="shared" si="0"/>
        <v>14</v>
      </c>
      <c r="J20" s="31">
        <f>IFERROR(SUMPRODUCT((((ISNUMBER(SEARCH(B20,'Data - HSQE Events'!V$6:V$3000))+ISNUMBER(SEARCH(B20,'Data - HSQE Events'!H$6:H$3000)))&gt;0))*('Data - HSQE Events'!F$6:F$3000&gt;=$AG$3)*('Data - HSQE Events'!F$6:F$3000&lt;=$AJ$3)*('Data - HSQE Events'!R$6:R$3000="Opportunity")),0)</f>
        <v>0</v>
      </c>
      <c r="K20" s="31">
        <f>IFERROR(SUMPRODUCT((((ISNUMBER(SEARCH(B20,'Data - HSQE Events'!V$6:V$3000))+ISNUMBER(SEARCH(B20,'Data - HSQE Events'!H$6:H$3000)))&gt;0))*('Data - HSQE Events'!F$6:F$3000&gt;=$AG$3)*('Data - HSQE Events'!F$6:F$3000&lt;=$AJ$3)*('Data - HSQE Events'!R$6:R$3000="Minor")),0)</f>
        <v>0</v>
      </c>
      <c r="L20" s="31">
        <f>IFERROR(SUMPRODUCT((((ISNUMBER(SEARCH(B20,'Data - HSQE Events'!V$6:V$3000))+ISNUMBER(SEARCH(B20,'Data - HSQE Events'!H$6:H$3000)))&gt;0))*('Data - HSQE Events'!F$6:F$3000&gt;=$AG$3)*('Data - HSQE Events'!F$6:F$3000&lt;=$AJ$3)*(('Data - HSQE Events'!R$6:R$3000="Moderate")+('Data - HSQE Events'!R$6:R$3000="Major"))),0)</f>
        <v>0</v>
      </c>
      <c r="M20" s="31" t="str">
        <f>IF(IFERROR(SUMPRODUCT((((ISNUMBER(SEARCH(B20,'Data - HSQE Events'!V$6:V$3000))+ISNUMBER(SEARCH(B20,'Data - HSQE Events'!H$6:H$3000)))&gt;0))*('Data - HSQE Events'!F$6:F$3000&gt;=$AG$3)*('Data - HSQE Events'!F$6:F$3000&lt;=$AJ$3)*('Data - HSQE Events'!R$6:R$3000="Major")),0)&gt;0,"YES","NO")</f>
        <v>NO</v>
      </c>
      <c r="N20" s="31">
        <f>IFERROR(SUMPRODUCT(('Data - Skillko'!B$6:B$3000=B20)*('Data - Skillko'!C$6:C$3000="Total")*('Data - Skillko'!E$6:E$3000))*100,0)</f>
        <v>91</v>
      </c>
      <c r="O20" s="31">
        <f t="shared" si="1"/>
        <v>4.5999999999999996</v>
      </c>
      <c r="P20" s="31">
        <f>IFERROR(SUMPRODUCT(ISNUMBER(SEARCH(B20,'Pole Results'!$A$13:$A$2000))*('Pole Results'!$B$13:$B$2000&gt;=$AG$3)*('Pole Results'!$B$13:$B$2000&lt;=$AE$3)*('Pole Results'!$E$13:$E$2000="Non-Compliant")),0)</f>
        <v>0</v>
      </c>
      <c r="Q20" s="31">
        <f t="shared" si="2"/>
        <v>1</v>
      </c>
      <c r="R20" s="31">
        <f t="shared" si="3"/>
        <v>5</v>
      </c>
      <c r="S20" s="49">
        <f t="shared" si="4"/>
        <v>5</v>
      </c>
      <c r="T20" s="31">
        <f>IF('Field Teams'!$I$21="Inactive","",ROUND((Q20*Settings!$D$6+R20*Settings!$D$7+O20*Settings!$D$10+S20*Settings!$D$12+AO20*Settings!$D$13)/Settings!$D$14,1))</f>
        <v>3.1</v>
      </c>
      <c r="U20" s="115" t="str">
        <f>IF('Field Teams'!$I$21="Inactive","",IF(Q20="","",IF(Q20&gt;=4.5,"★★★★★",IF(Q20&gt;=3.5,"★★★★☆",IF(Q20&gt;=2.5,"★★★☆☆",IF(Q20&gt;=1.5,"★★☆☆☆","★☆☆☆☆"))))))</f>
        <v>★☆☆☆☆</v>
      </c>
      <c r="V20" s="115" t="str">
        <f>IF('Field Teams'!$I$21="Inactive","",IF(R20="","",IF(R20&gt;=4.5,"★★★★★",IF(R20&gt;=3.5,"★★★★☆",IF(R20&gt;=2.5,"★★★☆☆",IF(R20&gt;=1.5,"★★☆☆☆","★☆☆☆☆"))))))</f>
        <v>★★★★★</v>
      </c>
      <c r="W20" s="115" t="str">
        <f>IF('Field Teams'!$I$21="Inactive","",IF(O20="","",IF(O20&gt;=4.5,"★★★★★",IF(O20&gt;=3.5,"★★★★☆",IF(O20&gt;=2.5,"★★★☆☆",IF(O20&gt;=1.5,"★★☆☆☆","★☆☆☆☆"))))))</f>
        <v>★★★★★</v>
      </c>
      <c r="X20" s="115" t="str">
        <f>IF('Field Teams'!$I$21="Inactive","",IF(S20="","",IF(S20&gt;=4.5,"★★★★★",IF(S20&gt;=3.5,"★★★★☆",IF(S20&gt;=2.5,"★★★☆☆",IF(S20&gt;=1.5,"★★☆☆☆","★☆☆☆☆"))))))</f>
        <v>★★★★★</v>
      </c>
      <c r="Y20" s="115" t="str">
        <f>IF('Field Teams'!$I$21="Inactive","",IF(AO20="","",IF(AO20&gt;=4.5,"★★★★★",IF(AO20&gt;=3.5,"★★★★☆",IF(AO20&gt;=2.5,"★★★☆☆",IF(AO20&gt;=1.5,"★★☆☆☆","★☆☆☆☆"))))))</f>
        <v>★★★☆☆</v>
      </c>
      <c r="Z20" s="115" t="str">
        <f>IF('Field Teams'!$I$5="Inactive","",IF(T20="","",IF(T20&gt;=4.5,"★★★★★",IF(T20&gt;=3.5,"★★★★☆",IF(T20&gt;=2.5,"★★★☆☆",IF(T20&gt;=1.5,"★★☆☆☆","★☆☆☆☆"))))))</f>
        <v>★★★☆☆</v>
      </c>
      <c r="AA20" s="31" t="str">
        <f>IF('Field Teams'!$I$21="Inactive","",IF(M20="YES","HIGH",IF(Q20&lt;=Settings!$D$26,"HIGH",IF(T20&lt;=Settings!$D$23,"HIGH",IF(T20&lt;=Settings!$D$24,"MEDIUM","LOW")))))</f>
        <v>HIGH</v>
      </c>
      <c r="AB20" s="31">
        <f>IF('Field Teams'!$I$5="Inactive",-1,IFERROR((6-T20)+(77-ROW())*0.0001,0))</f>
        <v>2.9056999999999999</v>
      </c>
      <c r="AC20" s="35">
        <f>IF('Field Teams'!$I$5="Inactive",999,IFERROR((6-T20)+(ROW()-3)*0.0001,99))</f>
        <v>2.9016999999999999</v>
      </c>
      <c r="AD20" s="31">
        <f>IF('Field Teams'!$I$21="Inactive",999,IFERROR(AB20+(ROW()-3)*0.0001,99))</f>
        <v>2.9074</v>
      </c>
      <c r="AE20" s="29">
        <v>0</v>
      </c>
      <c r="AF20" s="31" t="str">
        <f>IF('Field Teams'!$I$21="Inactive","",IF(AA20="HIGH","YES - within 5 working days",""))</f>
        <v>YES - within 5 working days</v>
      </c>
      <c r="AG20" s="105"/>
      <c r="AH20" s="49">
        <f>IFERROR(SUMPRODUCT(ISNUMBER(SEARCH(B20,'Pole Results'!$A$13:$A$2000))*('Pole Results'!$B$13:$B$2000&gt;=$AG$3)*('Pole Results'!$B$13:$B$2000&lt;=$AE$3)),0)</f>
        <v>0</v>
      </c>
      <c r="AI20" s="49">
        <f>IFERROR(SUMPRODUCT(ISNUMBER(SEARCH(B20,'Pole Results'!$A$13:$A$2000))*('Pole Results'!$B$13:$B$2000&gt;=$AG$3)*('Pole Results'!$B$13:$B$2000&lt;=$AE$3)*('Pole Results'!$E$13:$E$2000="Compliant")),0)</f>
        <v>0</v>
      </c>
      <c r="AJ20" s="105"/>
      <c r="AK20" s="106">
        <f>IF('Field Teams'!$I$21="Inactive",-1,IF(AA20="HIGH",AB20,-1))</f>
        <v>2.9056999999999999</v>
      </c>
      <c r="AL20" s="106">
        <f>IF('Field Teams'!$I$21="Inactive",-1,IF(OR(AA20="HIGH",AA20="MEDIUM"),AB20,-1))</f>
        <v>2.9056999999999999</v>
      </c>
      <c r="AM20" t="str">
        <f>IF('Field Teams'!$I$21="Inactive","",IF(IFERROR(LOOKUP(2,1/('Historical Scores'!C21:N21&lt;&gt;""),'Historical Scores'!C21:N21),"")="","New",IF(T20=""," ",IF(T20&gt;IFERROR(LOOKUP(2,1/('Historical Scores'!C21:N21&lt;&gt;""),'Historical Scores'!C21:N21),""),"▲ Worsening",IF(T20&lt;IFERROR(LOOKUP(2,1/('Historical Scores'!C21:N21&lt;&gt;""),'Historical Scores'!C21:N21),""),"▼ Improving","► Stable")))))</f>
        <v>New</v>
      </c>
      <c r="AN20">
        <f>IFERROR(SUMPRODUCT((ISNUMBER(SEARCH(B20,'Data - SSV'!AE$6:AE$3000)))*('Data - SSV'!AF$6:AF$3000&gt;=(AJ$3-90))*('Data - SSV'!AF$6:AF$3000&lt;=AJ$3)*('Data - SSV'!AH$6:AH$3000&lt;&gt;"")),0)</f>
        <v>0</v>
      </c>
      <c r="AO20">
        <f>IF('Field Teams'!$I$21="Inactive","",IF(AN20=0,3,IF(AN20=1,IF(IFERROR(SUMPRODUCT((ISNUMBER(SEARCH(B20,'Data - SSV'!AE$6:AE$3000)))*('Data - SSV'!AF$6:AF$3000&gt;=(AJ$3-90))*('Data - SSV'!AF$6:AF$3000&lt;=AJ$3)*('Data - SSV'!AH$6:AH$3000&lt;&gt;"")*IF('Data - SSV'!AH$6:AH$3000="",0,'Data - SSV'!AH$6:AH$3000))/AN20,3)=4,4,IF(IFERROR(SUMPRODUCT((ISNUMBER(SEARCH(B20,'Data - SSV'!AE$6:AE$3000)))*('Data - SSV'!AF$6:AF$3000&gt;=(AJ$3-90))*('Data - SSV'!AF$6:AF$3000&lt;=AJ$3)*('Data - SSV'!AH$6:AH$3000&lt;&gt;"")*IF('Data - SSV'!AH$6:AH$3000="",0,'Data - SSV'!AH$6:AH$3000))/AN20,3)&gt;=3,3,IF(IFERROR(SUMPRODUCT((ISNUMBER(SEARCH(B20,'Data - SSV'!AE$6:AE$3000)))*('Data - SSV'!AF$6:AF$3000&gt;=(AJ$3-90))*('Data - SSV'!AF$6:AF$3000&lt;=AJ$3)*('Data - SSV'!AH$6:AH$3000&lt;&gt;"")*IF('Data - SSV'!AH$6:AH$3000="",0,'Data - SSV'!AH$6:AH$3000))/AN20,3)&gt;=2,2,1))),IF(IFERROR(SUMPRODUCT((ISNUMBER(SEARCH(B20,'Data - SSV'!AE$6:AE$3000)))*('Data - SSV'!AF$6:AF$3000&gt;=(AJ$3-90))*('Data - SSV'!AF$6:AF$3000&lt;=AJ$3)*('Data - SSV'!AH$6:AH$3000&lt;&gt;"")*IF('Data - SSV'!AH$6:AH$3000="",0,'Data - SSV'!AH$6:AH$3000))/AN20,3)=4,5,IF(IFERROR(SUMPRODUCT((ISNUMBER(SEARCH(B20,'Data - SSV'!AE$6:AE$3000)))*('Data - SSV'!AF$6:AF$3000&gt;=(AJ$3-90))*('Data - SSV'!AF$6:AF$3000&lt;=AJ$3)*('Data - SSV'!AH$6:AH$3000&lt;&gt;"")*IF('Data - SSV'!AH$6:AH$3000="",0,'Data - SSV'!AH$6:AH$3000))/AN20,3)&gt;=3.5,4,IF(IFERROR(SUMPRODUCT((ISNUMBER(SEARCH(B20,'Data - SSV'!AE$6:AE$3000)))*('Data - SSV'!AF$6:AF$3000&gt;=(AJ$3-90))*('Data - SSV'!AF$6:AF$3000&lt;=AJ$3)*('Data - SSV'!AH$6:AH$3000&lt;&gt;"")*IF('Data - SSV'!AH$6:AH$3000="",0,'Data - SSV'!AH$6:AH$3000))/AN20,3)&gt;=3,3,IF(IFERROR(SUMPRODUCT((ISNUMBER(SEARCH(B20,'Data - SSV'!AE$6:AE$3000)))*('Data - SSV'!AF$6:AF$3000&gt;=(AJ$3-90))*('Data - SSV'!AF$6:AF$3000&lt;=AJ$3)*('Data - SSV'!AH$6:AH$3000&lt;&gt;"")*IF('Data - SSV'!AH$6:AH$3000="",0,'Data - SSV'!AH$6:AH$3000))/AN20,3)&gt;=2,2,1)))))))</f>
        <v>3</v>
      </c>
    </row>
    <row r="21" spans="1:41" ht="19.5" customHeight="1" x14ac:dyDescent="0.15">
      <c r="A21" s="6" t="str">
        <f>'Field Teams'!A22</f>
        <v>FT-018</v>
      </c>
      <c r="B21" s="28" t="str">
        <f>'Field Teams'!B22</f>
        <v>Bourne VP</v>
      </c>
      <c r="C21" s="28" t="str">
        <f>'Field Teams'!C22</f>
        <v>Utility Arboriculture</v>
      </c>
      <c r="D21" s="6" t="str">
        <f>'Field Teams'!D22</f>
        <v>Donovan  Gosher</v>
      </c>
      <c r="E21" s="6" t="str">
        <f>'Field Teams'!E22</f>
        <v>Jake Bolwell</v>
      </c>
      <c r="F21" s="6">
        <f>'Field Teams'!F22</f>
        <v>0</v>
      </c>
      <c r="G21" s="6">
        <f>'Field Teams'!G22</f>
        <v>0</v>
      </c>
      <c r="H21" s="31">
        <f>'Field Teams'!H22</f>
        <v>16</v>
      </c>
      <c r="I21" s="31">
        <f t="shared" si="0"/>
        <v>32</v>
      </c>
      <c r="J21" s="31">
        <f>IFERROR(SUMPRODUCT((((ISNUMBER(SEARCH(B21,'Data - HSQE Events'!V$6:V$3000))+ISNUMBER(SEARCH(B21,'Data - HSQE Events'!H$6:H$3000)))&gt;0))*('Data - HSQE Events'!F$6:F$3000&gt;=$AG$3)*('Data - HSQE Events'!F$6:F$3000&lt;=$AJ$3)*('Data - HSQE Events'!R$6:R$3000="Opportunity")),0)</f>
        <v>0</v>
      </c>
      <c r="K21" s="31">
        <f>IFERROR(SUMPRODUCT((((ISNUMBER(SEARCH(B21,'Data - HSQE Events'!V$6:V$3000))+ISNUMBER(SEARCH(B21,'Data - HSQE Events'!H$6:H$3000)))&gt;0))*('Data - HSQE Events'!F$6:F$3000&gt;=$AG$3)*('Data - HSQE Events'!F$6:F$3000&lt;=$AJ$3)*('Data - HSQE Events'!R$6:R$3000="Minor")),0)</f>
        <v>0</v>
      </c>
      <c r="L21" s="31">
        <f>IFERROR(SUMPRODUCT((((ISNUMBER(SEARCH(B21,'Data - HSQE Events'!V$6:V$3000))+ISNUMBER(SEARCH(B21,'Data - HSQE Events'!H$6:H$3000)))&gt;0))*('Data - HSQE Events'!F$6:F$3000&gt;=$AG$3)*('Data - HSQE Events'!F$6:F$3000&lt;=$AJ$3)*(('Data - HSQE Events'!R$6:R$3000="Moderate")+('Data - HSQE Events'!R$6:R$3000="Major"))),0)</f>
        <v>0</v>
      </c>
      <c r="M21" s="31" t="str">
        <f>IF(IFERROR(SUMPRODUCT((((ISNUMBER(SEARCH(B21,'Data - HSQE Events'!V$6:V$3000))+ISNUMBER(SEARCH(B21,'Data - HSQE Events'!H$6:H$3000)))&gt;0))*('Data - HSQE Events'!F$6:F$3000&gt;=$AG$3)*('Data - HSQE Events'!F$6:F$3000&lt;=$AJ$3)*('Data - HSQE Events'!R$6:R$3000="Major")),0)&gt;0,"YES","NO")</f>
        <v>NO</v>
      </c>
      <c r="N21" s="31">
        <f>IFERROR(SUMPRODUCT(('Data - Skillko'!B$6:B$3000=B21)*('Data - Skillko'!C$6:C$3000="Total")*('Data - Skillko'!E$6:E$3000))*100,0)</f>
        <v>65</v>
      </c>
      <c r="O21" s="31">
        <f t="shared" si="1"/>
        <v>3.6</v>
      </c>
      <c r="P21" s="31">
        <f>IFERROR(SUMPRODUCT(ISNUMBER(SEARCH(B21,'Pole Results'!$A$13:$A$2000))*('Pole Results'!$B$13:$B$2000&gt;=$AG$3)*('Pole Results'!$B$13:$B$2000&lt;=$AE$3)*('Pole Results'!$E$13:$E$2000="Non-Compliant")),0)</f>
        <v>0</v>
      </c>
      <c r="Q21" s="31">
        <f t="shared" si="2"/>
        <v>1</v>
      </c>
      <c r="R21" s="31">
        <f t="shared" si="3"/>
        <v>5</v>
      </c>
      <c r="S21" s="49">
        <f t="shared" si="4"/>
        <v>5</v>
      </c>
      <c r="T21" s="31">
        <f>IF('Field Teams'!$I$22="Inactive","",ROUND((Q21*Settings!$D$6+R21*Settings!$D$7+O21*Settings!$D$10+S21*Settings!$D$12+AO21*Settings!$D$13)/Settings!$D$14,1))</f>
        <v>2.9</v>
      </c>
      <c r="U21" s="115" t="str">
        <f>IF('Field Teams'!$I$22="Inactive","",IF(Q21="","",IF(Q21&gt;=4.5,"★★★★★",IF(Q21&gt;=3.5,"★★★★☆",IF(Q21&gt;=2.5,"★★★☆☆",IF(Q21&gt;=1.5,"★★☆☆☆","★☆☆☆☆"))))))</f>
        <v>★☆☆☆☆</v>
      </c>
      <c r="V21" s="115" t="str">
        <f>IF('Field Teams'!$I$22="Inactive","",IF(R21="","",IF(R21&gt;=4.5,"★★★★★",IF(R21&gt;=3.5,"★★★★☆",IF(R21&gt;=2.5,"★★★☆☆",IF(R21&gt;=1.5,"★★☆☆☆","★☆☆☆☆"))))))</f>
        <v>★★★★★</v>
      </c>
      <c r="W21" s="115" t="str">
        <f>IF('Field Teams'!$I$22="Inactive","",IF(O21="","",IF(O21&gt;=4.5,"★★★★★",IF(O21&gt;=3.5,"★★★★☆",IF(O21&gt;=2.5,"★★★☆☆",IF(O21&gt;=1.5,"★★☆☆☆","★☆☆☆☆"))))))</f>
        <v>★★★★☆</v>
      </c>
      <c r="X21" s="115" t="str">
        <f>IF('Field Teams'!$I$22="Inactive","",IF(S21="","",IF(S21&gt;=4.5,"★★★★★",IF(S21&gt;=3.5,"★★★★☆",IF(S21&gt;=2.5,"★★★☆☆",IF(S21&gt;=1.5,"★★☆☆☆","★☆☆☆☆"))))))</f>
        <v>★★★★★</v>
      </c>
      <c r="Y21" s="115" t="str">
        <f>IF('Field Teams'!$I$22="Inactive","",IF(AO21="","",IF(AO21&gt;=4.5,"★★★★★",IF(AO21&gt;=3.5,"★★★★☆",IF(AO21&gt;=2.5,"★★★☆☆",IF(AO21&gt;=1.5,"★★☆☆☆","★☆☆☆☆"))))))</f>
        <v>★★★☆☆</v>
      </c>
      <c r="Z21" s="115" t="str">
        <f>IF('Field Teams'!$I$5="Inactive","",IF(T21="","",IF(T21&gt;=4.5,"★★★★★",IF(T21&gt;=3.5,"★★★★☆",IF(T21&gt;=2.5,"★★★☆☆",IF(T21&gt;=1.5,"★★☆☆☆","★☆☆☆☆"))))))</f>
        <v>★★★☆☆</v>
      </c>
      <c r="AA21" s="31" t="str">
        <f>IF('Field Teams'!$I$22="Inactive","",IF(M21="YES","HIGH",IF(Q21&lt;=Settings!$D$26,"HIGH",IF(T21&lt;=Settings!$D$23,"HIGH",IF(T21&lt;=Settings!$D$24,"MEDIUM","LOW")))))</f>
        <v>HIGH</v>
      </c>
      <c r="AB21" s="31">
        <f>IF('Field Teams'!$I$5="Inactive",-1,IFERROR((6-T21)+(77-ROW())*0.0001,0))</f>
        <v>3.1055999999999999</v>
      </c>
      <c r="AC21" s="35">
        <f>IF('Field Teams'!$I$5="Inactive",999,IFERROR((6-T21)+(ROW()-3)*0.0001,99))</f>
        <v>3.1017999999999999</v>
      </c>
      <c r="AD21" s="31">
        <f>IF('Field Teams'!$I$22="Inactive",999,IFERROR(AB21+(ROW()-3)*0.0001,99))</f>
        <v>3.1073999999999997</v>
      </c>
      <c r="AE21" s="29">
        <v>0</v>
      </c>
      <c r="AF21" s="31" t="str">
        <f>IF('Field Teams'!$I$22="Inactive","",IF(AA21="HIGH","YES - within 5 working days",""))</f>
        <v>YES - within 5 working days</v>
      </c>
      <c r="AG21" s="105"/>
      <c r="AH21" s="49">
        <f>IFERROR(SUMPRODUCT(ISNUMBER(SEARCH(B21,'Pole Results'!$A$13:$A$2000))*('Pole Results'!$B$13:$B$2000&gt;=$AG$3)*('Pole Results'!$B$13:$B$2000&lt;=$AE$3)),0)</f>
        <v>0</v>
      </c>
      <c r="AI21" s="49">
        <f>IFERROR(SUMPRODUCT(ISNUMBER(SEARCH(B21,'Pole Results'!$A$13:$A$2000))*('Pole Results'!$B$13:$B$2000&gt;=$AG$3)*('Pole Results'!$B$13:$B$2000&lt;=$AE$3)*('Pole Results'!$E$13:$E$2000="Compliant")),0)</f>
        <v>0</v>
      </c>
      <c r="AJ21" s="105"/>
      <c r="AK21" s="106">
        <f>IF('Field Teams'!$I$22="Inactive",-1,IF(AA21="HIGH",AB21,-1))</f>
        <v>3.1055999999999999</v>
      </c>
      <c r="AL21" s="106">
        <f>IF('Field Teams'!$I$22="Inactive",-1,IF(OR(AA21="HIGH",AA21="MEDIUM"),AB21,-1))</f>
        <v>3.1055999999999999</v>
      </c>
      <c r="AM21" t="str">
        <f>IF('Field Teams'!$I$22="Inactive","",IF(IFERROR(LOOKUP(2,1/('Historical Scores'!C22:N22&lt;&gt;""),'Historical Scores'!C22:N22),"")="","New",IF(T21=""," ",IF(T21&gt;IFERROR(LOOKUP(2,1/('Historical Scores'!C22:N22&lt;&gt;""),'Historical Scores'!C22:N22),""),"▲ Worsening",IF(T21&lt;IFERROR(LOOKUP(2,1/('Historical Scores'!C22:N22&lt;&gt;""),'Historical Scores'!C22:N22),""),"▼ Improving","► Stable")))))</f>
        <v>New</v>
      </c>
      <c r="AN21">
        <f>IFERROR(SUMPRODUCT((ISNUMBER(SEARCH(B21,'Data - SSV'!AE$6:AE$3000)))*('Data - SSV'!AF$6:AF$3000&gt;=(AJ$3-90))*('Data - SSV'!AF$6:AF$3000&lt;=AJ$3)*('Data - SSV'!AH$6:AH$3000&lt;&gt;"")),0)</f>
        <v>0</v>
      </c>
      <c r="AO21">
        <f>IF('Field Teams'!$I$22="Inactive","",IF(AN21=0,3,IF(AN21=1,IF(IFERROR(SUMPRODUCT((ISNUMBER(SEARCH(B21,'Data - SSV'!AE$6:AE$3000)))*('Data - SSV'!AF$6:AF$3000&gt;=(AJ$3-90))*('Data - SSV'!AF$6:AF$3000&lt;=AJ$3)*('Data - SSV'!AH$6:AH$3000&lt;&gt;"")*IF('Data - SSV'!AH$6:AH$3000="",0,'Data - SSV'!AH$6:AH$3000))/AN21,3)=4,4,IF(IFERROR(SUMPRODUCT((ISNUMBER(SEARCH(B21,'Data - SSV'!AE$6:AE$3000)))*('Data - SSV'!AF$6:AF$3000&gt;=(AJ$3-90))*('Data - SSV'!AF$6:AF$3000&lt;=AJ$3)*('Data - SSV'!AH$6:AH$3000&lt;&gt;"")*IF('Data - SSV'!AH$6:AH$3000="",0,'Data - SSV'!AH$6:AH$3000))/AN21,3)&gt;=3,3,IF(IFERROR(SUMPRODUCT((ISNUMBER(SEARCH(B21,'Data - SSV'!AE$6:AE$3000)))*('Data - SSV'!AF$6:AF$3000&gt;=(AJ$3-90))*('Data - SSV'!AF$6:AF$3000&lt;=AJ$3)*('Data - SSV'!AH$6:AH$3000&lt;&gt;"")*IF('Data - SSV'!AH$6:AH$3000="",0,'Data - SSV'!AH$6:AH$3000))/AN21,3)&gt;=2,2,1))),IF(IFERROR(SUMPRODUCT((ISNUMBER(SEARCH(B21,'Data - SSV'!AE$6:AE$3000)))*('Data - SSV'!AF$6:AF$3000&gt;=(AJ$3-90))*('Data - SSV'!AF$6:AF$3000&lt;=AJ$3)*('Data - SSV'!AH$6:AH$3000&lt;&gt;"")*IF('Data - SSV'!AH$6:AH$3000="",0,'Data - SSV'!AH$6:AH$3000))/AN21,3)=4,5,IF(IFERROR(SUMPRODUCT((ISNUMBER(SEARCH(B21,'Data - SSV'!AE$6:AE$3000)))*('Data - SSV'!AF$6:AF$3000&gt;=(AJ$3-90))*('Data - SSV'!AF$6:AF$3000&lt;=AJ$3)*('Data - SSV'!AH$6:AH$3000&lt;&gt;"")*IF('Data - SSV'!AH$6:AH$3000="",0,'Data - SSV'!AH$6:AH$3000))/AN21,3)&gt;=3.5,4,IF(IFERROR(SUMPRODUCT((ISNUMBER(SEARCH(B21,'Data - SSV'!AE$6:AE$3000)))*('Data - SSV'!AF$6:AF$3000&gt;=(AJ$3-90))*('Data - SSV'!AF$6:AF$3000&lt;=AJ$3)*('Data - SSV'!AH$6:AH$3000&lt;&gt;"")*IF('Data - SSV'!AH$6:AH$3000="",0,'Data - SSV'!AH$6:AH$3000))/AN21,3)&gt;=3,3,IF(IFERROR(SUMPRODUCT((ISNUMBER(SEARCH(B21,'Data - SSV'!AE$6:AE$3000)))*('Data - SSV'!AF$6:AF$3000&gt;=(AJ$3-90))*('Data - SSV'!AF$6:AF$3000&lt;=AJ$3)*('Data - SSV'!AH$6:AH$3000&lt;&gt;"")*IF('Data - SSV'!AH$6:AH$3000="",0,'Data - SSV'!AH$6:AH$3000))/AN21,3)&gt;=2,2,1)))))))</f>
        <v>3</v>
      </c>
    </row>
    <row r="22" spans="1:41" ht="19.5" customHeight="1" x14ac:dyDescent="0.15">
      <c r="A22" s="10" t="str">
        <f>'Field Teams'!A23</f>
        <v>FT-019</v>
      </c>
      <c r="B22" s="30" t="str">
        <f>'Field Teams'!B23</f>
        <v>Brinksworth Tree Services Ltd</v>
      </c>
      <c r="C22" s="30" t="str">
        <f>'Field Teams'!C23</f>
        <v>Utility Arboriculture</v>
      </c>
      <c r="D22" s="10" t="str">
        <f>'Field Teams'!D23</f>
        <v>Donovan  Gosher</v>
      </c>
      <c r="E22" s="10" t="str">
        <f>'Field Teams'!E23</f>
        <v>Jake Bolwell</v>
      </c>
      <c r="F22" s="10">
        <f>'Field Teams'!F23</f>
        <v>0</v>
      </c>
      <c r="G22" s="10">
        <f>'Field Teams'!G23</f>
        <v>0</v>
      </c>
      <c r="H22" s="31">
        <f>'Field Teams'!H23</f>
        <v>5</v>
      </c>
      <c r="I22" s="31">
        <f t="shared" si="0"/>
        <v>10</v>
      </c>
      <c r="J22" s="31">
        <f>IFERROR(SUMPRODUCT((((ISNUMBER(SEARCH(B22,'Data - HSQE Events'!V$6:V$3000))+ISNUMBER(SEARCH(B22,'Data - HSQE Events'!H$6:H$3000)))&gt;0))*('Data - HSQE Events'!F$6:F$3000&gt;=$AG$3)*('Data - HSQE Events'!F$6:F$3000&lt;=$AJ$3)*('Data - HSQE Events'!R$6:R$3000="Opportunity")),0)</f>
        <v>0</v>
      </c>
      <c r="K22" s="31">
        <f>IFERROR(SUMPRODUCT((((ISNUMBER(SEARCH(B22,'Data - HSQE Events'!V$6:V$3000))+ISNUMBER(SEARCH(B22,'Data - HSQE Events'!H$6:H$3000)))&gt;0))*('Data - HSQE Events'!F$6:F$3000&gt;=$AG$3)*('Data - HSQE Events'!F$6:F$3000&lt;=$AJ$3)*('Data - HSQE Events'!R$6:R$3000="Minor")),0)</f>
        <v>0</v>
      </c>
      <c r="L22" s="31">
        <f>IFERROR(SUMPRODUCT((((ISNUMBER(SEARCH(B22,'Data - HSQE Events'!V$6:V$3000))+ISNUMBER(SEARCH(B22,'Data - HSQE Events'!H$6:H$3000)))&gt;0))*('Data - HSQE Events'!F$6:F$3000&gt;=$AG$3)*('Data - HSQE Events'!F$6:F$3000&lt;=$AJ$3)*(('Data - HSQE Events'!R$6:R$3000="Moderate")+('Data - HSQE Events'!R$6:R$3000="Major"))),0)</f>
        <v>0</v>
      </c>
      <c r="M22" s="31" t="str">
        <f>IF(IFERROR(SUMPRODUCT((((ISNUMBER(SEARCH(B22,'Data - HSQE Events'!V$6:V$3000))+ISNUMBER(SEARCH(B22,'Data - HSQE Events'!H$6:H$3000)))&gt;0))*('Data - HSQE Events'!F$6:F$3000&gt;=$AG$3)*('Data - HSQE Events'!F$6:F$3000&lt;=$AJ$3)*('Data - HSQE Events'!R$6:R$3000="Major")),0)&gt;0,"YES","NO")</f>
        <v>NO</v>
      </c>
      <c r="N22" s="31">
        <f>IFERROR(SUMPRODUCT(('Data - Skillko'!B$6:B$3000=B22)*('Data - Skillko'!C$6:C$3000="Total")*('Data - Skillko'!E$6:E$3000))*100,0)</f>
        <v>75</v>
      </c>
      <c r="O22" s="31">
        <f t="shared" si="1"/>
        <v>4</v>
      </c>
      <c r="P22" s="31">
        <f>IFERROR(SUMPRODUCT(ISNUMBER(SEARCH(B22,'Pole Results'!$A$13:$A$2000))*('Pole Results'!$B$13:$B$2000&gt;=$AG$3)*('Pole Results'!$B$13:$B$2000&lt;=$AE$3)*('Pole Results'!$E$13:$E$2000="Non-Compliant")),0)</f>
        <v>0</v>
      </c>
      <c r="Q22" s="31">
        <f t="shared" si="2"/>
        <v>1</v>
      </c>
      <c r="R22" s="31">
        <f t="shared" si="3"/>
        <v>5</v>
      </c>
      <c r="S22" s="49">
        <f t="shared" si="4"/>
        <v>5</v>
      </c>
      <c r="T22" s="31">
        <f>IF('Field Teams'!$I$23="Inactive","",ROUND((Q22*Settings!$D$6+R22*Settings!$D$7+O22*Settings!$D$10+S22*Settings!$D$12+AO22*Settings!$D$13)/Settings!$D$14,1))</f>
        <v>3</v>
      </c>
      <c r="U22" s="115" t="str">
        <f>IF('Field Teams'!$I$23="Inactive","",IF(Q22="","",IF(Q22&gt;=4.5,"★★★★★",IF(Q22&gt;=3.5,"★★★★☆",IF(Q22&gt;=2.5,"★★★☆☆",IF(Q22&gt;=1.5,"★★☆☆☆","★☆☆☆☆"))))))</f>
        <v>★☆☆☆☆</v>
      </c>
      <c r="V22" s="115" t="str">
        <f>IF('Field Teams'!$I$23="Inactive","",IF(R22="","",IF(R22&gt;=4.5,"★★★★★",IF(R22&gt;=3.5,"★★★★☆",IF(R22&gt;=2.5,"★★★☆☆",IF(R22&gt;=1.5,"★★☆☆☆","★☆☆☆☆"))))))</f>
        <v>★★★★★</v>
      </c>
      <c r="W22" s="115" t="str">
        <f>IF('Field Teams'!$I$23="Inactive","",IF(O22="","",IF(O22&gt;=4.5,"★★★★★",IF(O22&gt;=3.5,"★★★★☆",IF(O22&gt;=2.5,"★★★☆☆",IF(O22&gt;=1.5,"★★☆☆☆","★☆☆☆☆"))))))</f>
        <v>★★★★☆</v>
      </c>
      <c r="X22" s="115" t="str">
        <f>IF('Field Teams'!$I$23="Inactive","",IF(S22="","",IF(S22&gt;=4.5,"★★★★★",IF(S22&gt;=3.5,"★★★★☆",IF(S22&gt;=2.5,"★★★☆☆",IF(S22&gt;=1.5,"★★☆☆☆","★☆☆☆☆"))))))</f>
        <v>★★★★★</v>
      </c>
      <c r="Y22" s="115" t="str">
        <f>IF('Field Teams'!$I$23="Inactive","",IF(AO22="","",IF(AO22&gt;=4.5,"★★★★★",IF(AO22&gt;=3.5,"★★★★☆",IF(AO22&gt;=2.5,"★★★☆☆",IF(AO22&gt;=1.5,"★★☆☆☆","★☆☆☆☆"))))))</f>
        <v>★★★☆☆</v>
      </c>
      <c r="Z22" s="115" t="str">
        <f>IF('Field Teams'!$I$5="Inactive","",IF(T22="","",IF(T22&gt;=4.5,"★★★★★",IF(T22&gt;=3.5,"★★★★☆",IF(T22&gt;=2.5,"★★★☆☆",IF(T22&gt;=1.5,"★★☆☆☆","★☆☆☆☆"))))))</f>
        <v>★★★☆☆</v>
      </c>
      <c r="AA22" s="31" t="str">
        <f>IF('Field Teams'!$I$23="Inactive","",IF(M22="YES","HIGH",IF(Q22&lt;=Settings!$D$26,"HIGH",IF(T22&lt;=Settings!$D$23,"HIGH",IF(T22&lt;=Settings!$D$24,"MEDIUM","LOW")))))</f>
        <v>HIGH</v>
      </c>
      <c r="AB22" s="31">
        <f>IF('Field Teams'!$I$5="Inactive",-1,IFERROR((6-T22)+(77-ROW())*0.0001,0))</f>
        <v>3.0055000000000001</v>
      </c>
      <c r="AC22" s="35">
        <f>IF('Field Teams'!$I$5="Inactive",999,IFERROR((6-T22)+(ROW()-3)*0.0001,99))</f>
        <v>3.0019</v>
      </c>
      <c r="AD22" s="31">
        <f>IF('Field Teams'!$I$23="Inactive",999,IFERROR(AB22+(ROW()-3)*0.0001,99))</f>
        <v>3.0074000000000001</v>
      </c>
      <c r="AE22" s="29">
        <v>0</v>
      </c>
      <c r="AF22" s="31" t="str">
        <f>IF('Field Teams'!$I$23="Inactive","",IF(AA22="HIGH","YES - within 5 working days",""))</f>
        <v>YES - within 5 working days</v>
      </c>
      <c r="AG22" s="105"/>
      <c r="AH22" s="49">
        <f>IFERROR(SUMPRODUCT(ISNUMBER(SEARCH(B22,'Pole Results'!$A$13:$A$2000))*('Pole Results'!$B$13:$B$2000&gt;=$AG$3)*('Pole Results'!$B$13:$B$2000&lt;=$AE$3)),0)</f>
        <v>0</v>
      </c>
      <c r="AI22" s="49">
        <f>IFERROR(SUMPRODUCT(ISNUMBER(SEARCH(B22,'Pole Results'!$A$13:$A$2000))*('Pole Results'!$B$13:$B$2000&gt;=$AG$3)*('Pole Results'!$B$13:$B$2000&lt;=$AE$3)*('Pole Results'!$E$13:$E$2000="Compliant")),0)</f>
        <v>0</v>
      </c>
      <c r="AJ22" s="105"/>
      <c r="AK22" s="106">
        <f>IF('Field Teams'!$I$23="Inactive",-1,IF(AA22="HIGH",AB22,-1))</f>
        <v>3.0055000000000001</v>
      </c>
      <c r="AL22" s="106">
        <f>IF('Field Teams'!$I$23="Inactive",-1,IF(OR(AA22="HIGH",AA22="MEDIUM"),AB22,-1))</f>
        <v>3.0055000000000001</v>
      </c>
      <c r="AM22" t="str">
        <f>IF('Field Teams'!$I$23="Inactive","",IF(IFERROR(LOOKUP(2,1/('Historical Scores'!C23:N23&lt;&gt;""),'Historical Scores'!C23:N23),"")="","New",IF(T22=""," ",IF(T22&gt;IFERROR(LOOKUP(2,1/('Historical Scores'!C23:N23&lt;&gt;""),'Historical Scores'!C23:N23),""),"▲ Worsening",IF(T22&lt;IFERROR(LOOKUP(2,1/('Historical Scores'!C23:N23&lt;&gt;""),'Historical Scores'!C23:N23),""),"▼ Improving","► Stable")))))</f>
        <v>New</v>
      </c>
      <c r="AN22">
        <f>IFERROR(SUMPRODUCT((ISNUMBER(SEARCH(B22,'Data - SSV'!AE$6:AE$3000)))*('Data - SSV'!AF$6:AF$3000&gt;=(AJ$3-90))*('Data - SSV'!AF$6:AF$3000&lt;=AJ$3)*('Data - SSV'!AH$6:AH$3000&lt;&gt;"")),0)</f>
        <v>0</v>
      </c>
      <c r="AO22">
        <f>IF('Field Teams'!$I$23="Inactive","",IF(AN22=0,3,IF(AN22=1,IF(IFERROR(SUMPRODUCT((ISNUMBER(SEARCH(B22,'Data - SSV'!AE$6:AE$3000)))*('Data - SSV'!AF$6:AF$3000&gt;=(AJ$3-90))*('Data - SSV'!AF$6:AF$3000&lt;=AJ$3)*('Data - SSV'!AH$6:AH$3000&lt;&gt;"")*IF('Data - SSV'!AH$6:AH$3000="",0,'Data - SSV'!AH$6:AH$3000))/AN22,3)=4,4,IF(IFERROR(SUMPRODUCT((ISNUMBER(SEARCH(B22,'Data - SSV'!AE$6:AE$3000)))*('Data - SSV'!AF$6:AF$3000&gt;=(AJ$3-90))*('Data - SSV'!AF$6:AF$3000&lt;=AJ$3)*('Data - SSV'!AH$6:AH$3000&lt;&gt;"")*IF('Data - SSV'!AH$6:AH$3000="",0,'Data - SSV'!AH$6:AH$3000))/AN22,3)&gt;=3,3,IF(IFERROR(SUMPRODUCT((ISNUMBER(SEARCH(B22,'Data - SSV'!AE$6:AE$3000)))*('Data - SSV'!AF$6:AF$3000&gt;=(AJ$3-90))*('Data - SSV'!AF$6:AF$3000&lt;=AJ$3)*('Data - SSV'!AH$6:AH$3000&lt;&gt;"")*IF('Data - SSV'!AH$6:AH$3000="",0,'Data - SSV'!AH$6:AH$3000))/AN22,3)&gt;=2,2,1))),IF(IFERROR(SUMPRODUCT((ISNUMBER(SEARCH(B22,'Data - SSV'!AE$6:AE$3000)))*('Data - SSV'!AF$6:AF$3000&gt;=(AJ$3-90))*('Data - SSV'!AF$6:AF$3000&lt;=AJ$3)*('Data - SSV'!AH$6:AH$3000&lt;&gt;"")*IF('Data - SSV'!AH$6:AH$3000="",0,'Data - SSV'!AH$6:AH$3000))/AN22,3)=4,5,IF(IFERROR(SUMPRODUCT((ISNUMBER(SEARCH(B22,'Data - SSV'!AE$6:AE$3000)))*('Data - SSV'!AF$6:AF$3000&gt;=(AJ$3-90))*('Data - SSV'!AF$6:AF$3000&lt;=AJ$3)*('Data - SSV'!AH$6:AH$3000&lt;&gt;"")*IF('Data - SSV'!AH$6:AH$3000="",0,'Data - SSV'!AH$6:AH$3000))/AN22,3)&gt;=3.5,4,IF(IFERROR(SUMPRODUCT((ISNUMBER(SEARCH(B22,'Data - SSV'!AE$6:AE$3000)))*('Data - SSV'!AF$6:AF$3000&gt;=(AJ$3-90))*('Data - SSV'!AF$6:AF$3000&lt;=AJ$3)*('Data - SSV'!AH$6:AH$3000&lt;&gt;"")*IF('Data - SSV'!AH$6:AH$3000="",0,'Data - SSV'!AH$6:AH$3000))/AN22,3)&gt;=3,3,IF(IFERROR(SUMPRODUCT((ISNUMBER(SEARCH(B22,'Data - SSV'!AE$6:AE$3000)))*('Data - SSV'!AF$6:AF$3000&gt;=(AJ$3-90))*('Data - SSV'!AF$6:AF$3000&lt;=AJ$3)*('Data - SSV'!AH$6:AH$3000&lt;&gt;"")*IF('Data - SSV'!AH$6:AH$3000="",0,'Data - SSV'!AH$6:AH$3000))/AN22,3)&gt;=2,2,1)))))))</f>
        <v>3</v>
      </c>
    </row>
    <row r="23" spans="1:41" ht="19.5" customHeight="1" x14ac:dyDescent="0.15">
      <c r="A23" s="6" t="str">
        <f>'Field Teams'!A24</f>
        <v>FT-020</v>
      </c>
      <c r="B23" s="28" t="str">
        <f>'Field Teams'!B24</f>
        <v>C G Tree Cutting Services</v>
      </c>
      <c r="C23" s="28" t="str">
        <f>'Field Teams'!C24</f>
        <v>Utility Arboriculture</v>
      </c>
      <c r="D23" s="6" t="str">
        <f>'Field Teams'!D24</f>
        <v>Donovan  Gosher</v>
      </c>
      <c r="E23" s="6" t="str">
        <f>'Field Teams'!E24</f>
        <v>Jake Bolwell</v>
      </c>
      <c r="F23" s="6">
        <f>'Field Teams'!F24</f>
        <v>0</v>
      </c>
      <c r="G23" s="6">
        <f>'Field Teams'!G24</f>
        <v>0</v>
      </c>
      <c r="H23" s="31">
        <f>'Field Teams'!H24</f>
        <v>2</v>
      </c>
      <c r="I23" s="31">
        <f t="shared" si="0"/>
        <v>4</v>
      </c>
      <c r="J23" s="31">
        <f>IFERROR(SUMPRODUCT((((ISNUMBER(SEARCH(B23,'Data - HSQE Events'!V$6:V$3000))+ISNUMBER(SEARCH(B23,'Data - HSQE Events'!H$6:H$3000)))&gt;0))*('Data - HSQE Events'!F$6:F$3000&gt;=$AG$3)*('Data - HSQE Events'!F$6:F$3000&lt;=$AJ$3)*('Data - HSQE Events'!R$6:R$3000="Opportunity")),0)</f>
        <v>0</v>
      </c>
      <c r="K23" s="31">
        <f>IFERROR(SUMPRODUCT((((ISNUMBER(SEARCH(B23,'Data - HSQE Events'!V$6:V$3000))+ISNUMBER(SEARCH(B23,'Data - HSQE Events'!H$6:H$3000)))&gt;0))*('Data - HSQE Events'!F$6:F$3000&gt;=$AG$3)*('Data - HSQE Events'!F$6:F$3000&lt;=$AJ$3)*('Data - HSQE Events'!R$6:R$3000="Minor")),0)</f>
        <v>0</v>
      </c>
      <c r="L23" s="31">
        <f>IFERROR(SUMPRODUCT((((ISNUMBER(SEARCH(B23,'Data - HSQE Events'!V$6:V$3000))+ISNUMBER(SEARCH(B23,'Data - HSQE Events'!H$6:H$3000)))&gt;0))*('Data - HSQE Events'!F$6:F$3000&gt;=$AG$3)*('Data - HSQE Events'!F$6:F$3000&lt;=$AJ$3)*(('Data - HSQE Events'!R$6:R$3000="Moderate")+('Data - HSQE Events'!R$6:R$3000="Major"))),0)</f>
        <v>0</v>
      </c>
      <c r="M23" s="31" t="str">
        <f>IF(IFERROR(SUMPRODUCT((((ISNUMBER(SEARCH(B23,'Data - HSQE Events'!V$6:V$3000))+ISNUMBER(SEARCH(B23,'Data - HSQE Events'!H$6:H$3000)))&gt;0))*('Data - HSQE Events'!F$6:F$3000&gt;=$AG$3)*('Data - HSQE Events'!F$6:F$3000&lt;=$AJ$3)*('Data - HSQE Events'!R$6:R$3000="Major")),0)&gt;0,"YES","NO")</f>
        <v>NO</v>
      </c>
      <c r="N23" s="31">
        <f>IFERROR(SUMPRODUCT(('Data - Skillko'!B$6:B$3000=B23)*('Data - Skillko'!C$6:C$3000="Total")*('Data - Skillko'!E$6:E$3000))*100,0)</f>
        <v>45</v>
      </c>
      <c r="O23" s="31">
        <f t="shared" si="1"/>
        <v>2.8</v>
      </c>
      <c r="P23" s="31">
        <f>IFERROR(SUMPRODUCT(ISNUMBER(SEARCH(B23,'Pole Results'!$A$13:$A$2000))*('Pole Results'!$B$13:$B$2000&gt;=$AG$3)*('Pole Results'!$B$13:$B$2000&lt;=$AE$3)*('Pole Results'!$E$13:$E$2000="Non-Compliant")),0)</f>
        <v>0</v>
      </c>
      <c r="Q23" s="31">
        <f t="shared" si="2"/>
        <v>1</v>
      </c>
      <c r="R23" s="31">
        <f t="shared" si="3"/>
        <v>5</v>
      </c>
      <c r="S23" s="49">
        <f t="shared" si="4"/>
        <v>5</v>
      </c>
      <c r="T23" s="31">
        <f>IF('Field Teams'!$I$24="Inactive","",ROUND((Q23*Settings!$D$6+R23*Settings!$D$7+O23*Settings!$D$10+S23*Settings!$D$12+AO23*Settings!$D$13)/Settings!$D$14,1))</f>
        <v>2.8</v>
      </c>
      <c r="U23" s="115" t="str">
        <f>IF('Field Teams'!$I$24="Inactive","",IF(Q23="","",IF(Q23&gt;=4.5,"★★★★★",IF(Q23&gt;=3.5,"★★★★☆",IF(Q23&gt;=2.5,"★★★☆☆",IF(Q23&gt;=1.5,"★★☆☆☆","★☆☆☆☆"))))))</f>
        <v>★☆☆☆☆</v>
      </c>
      <c r="V23" s="115" t="str">
        <f>IF('Field Teams'!$I$24="Inactive","",IF(R23="","",IF(R23&gt;=4.5,"★★★★★",IF(R23&gt;=3.5,"★★★★☆",IF(R23&gt;=2.5,"★★★☆☆",IF(R23&gt;=1.5,"★★☆☆☆","★☆☆☆☆"))))))</f>
        <v>★★★★★</v>
      </c>
      <c r="W23" s="115" t="str">
        <f>IF('Field Teams'!$I$24="Inactive","",IF(O23="","",IF(O23&gt;=4.5,"★★★★★",IF(O23&gt;=3.5,"★★★★☆",IF(O23&gt;=2.5,"★★★☆☆",IF(O23&gt;=1.5,"★★☆☆☆","★☆☆☆☆"))))))</f>
        <v>★★★☆☆</v>
      </c>
      <c r="X23" s="115" t="str">
        <f>IF('Field Teams'!$I$24="Inactive","",IF(S23="","",IF(S23&gt;=4.5,"★★★★★",IF(S23&gt;=3.5,"★★★★☆",IF(S23&gt;=2.5,"★★★☆☆",IF(S23&gt;=1.5,"★★☆☆☆","★☆☆☆☆"))))))</f>
        <v>★★★★★</v>
      </c>
      <c r="Y23" s="115" t="str">
        <f>IF('Field Teams'!$I$24="Inactive","",IF(AO23="","",IF(AO23&gt;=4.5,"★★★★★",IF(AO23&gt;=3.5,"★★★★☆",IF(AO23&gt;=2.5,"★★★☆☆",IF(AO23&gt;=1.5,"★★☆☆☆","★☆☆☆☆"))))))</f>
        <v>★★★☆☆</v>
      </c>
      <c r="Z23" s="115" t="str">
        <f>IF('Field Teams'!$I$5="Inactive","",IF(T23="","",IF(T23&gt;=4.5,"★★★★★",IF(T23&gt;=3.5,"★★★★☆",IF(T23&gt;=2.5,"★★★☆☆",IF(T23&gt;=1.5,"★★☆☆☆","★☆☆☆☆"))))))</f>
        <v>★★★☆☆</v>
      </c>
      <c r="AA23" s="31" t="str">
        <f>IF('Field Teams'!$I$24="Inactive","",IF(M23="YES","HIGH",IF(Q23&lt;=Settings!$D$26,"HIGH",IF(T23&lt;=Settings!$D$23,"HIGH",IF(T23&lt;=Settings!$D$24,"MEDIUM","LOW")))))</f>
        <v>HIGH</v>
      </c>
      <c r="AB23" s="31">
        <f>IF('Field Teams'!$I$5="Inactive",-1,IFERROR((6-T23)+(77-ROW())*0.0001,0))</f>
        <v>3.2054</v>
      </c>
      <c r="AC23" s="35">
        <f>IF('Field Teams'!$I$5="Inactive",999,IFERROR((6-T23)+(ROW()-3)*0.0001,99))</f>
        <v>3.202</v>
      </c>
      <c r="AD23" s="31">
        <f>IF('Field Teams'!$I$24="Inactive",999,IFERROR(AB23+(ROW()-3)*0.0001,99))</f>
        <v>3.2073999999999998</v>
      </c>
      <c r="AE23" s="29">
        <v>0</v>
      </c>
      <c r="AF23" s="31" t="str">
        <f>IF('Field Teams'!$I$24="Inactive","",IF(AA23="HIGH","YES - within 5 working days",""))</f>
        <v>YES - within 5 working days</v>
      </c>
      <c r="AG23" s="105"/>
      <c r="AH23" s="49">
        <f>IFERROR(SUMPRODUCT(ISNUMBER(SEARCH(B23,'Pole Results'!$A$13:$A$2000))*('Pole Results'!$B$13:$B$2000&gt;=$AG$3)*('Pole Results'!$B$13:$B$2000&lt;=$AE$3)),0)</f>
        <v>0</v>
      </c>
      <c r="AI23" s="49">
        <f>IFERROR(SUMPRODUCT(ISNUMBER(SEARCH(B23,'Pole Results'!$A$13:$A$2000))*('Pole Results'!$B$13:$B$2000&gt;=$AG$3)*('Pole Results'!$B$13:$B$2000&lt;=$AE$3)*('Pole Results'!$E$13:$E$2000="Compliant")),0)</f>
        <v>0</v>
      </c>
      <c r="AJ23" s="105"/>
      <c r="AK23" s="106">
        <f>IF('Field Teams'!$I$24="Inactive",-1,IF(AA23="HIGH",AB23,-1))</f>
        <v>3.2054</v>
      </c>
      <c r="AL23" s="106">
        <f>IF('Field Teams'!$I$24="Inactive",-1,IF(OR(AA23="HIGH",AA23="MEDIUM"),AB23,-1))</f>
        <v>3.2054</v>
      </c>
      <c r="AM23" t="str">
        <f>IF('Field Teams'!$I$24="Inactive","",IF(IFERROR(LOOKUP(2,1/('Historical Scores'!C24:N24&lt;&gt;""),'Historical Scores'!C24:N24),"")="","New",IF(T23=""," ",IF(T23&gt;IFERROR(LOOKUP(2,1/('Historical Scores'!C24:N24&lt;&gt;""),'Historical Scores'!C24:N24),""),"▲ Worsening",IF(T23&lt;IFERROR(LOOKUP(2,1/('Historical Scores'!C24:N24&lt;&gt;""),'Historical Scores'!C24:N24),""),"▼ Improving","► Stable")))))</f>
        <v>New</v>
      </c>
      <c r="AN23">
        <f>IFERROR(SUMPRODUCT((ISNUMBER(SEARCH(B23,'Data - SSV'!AE$6:AE$3000)))*('Data - SSV'!AF$6:AF$3000&gt;=(AJ$3-90))*('Data - SSV'!AF$6:AF$3000&lt;=AJ$3)*('Data - SSV'!AH$6:AH$3000&lt;&gt;"")),0)</f>
        <v>0</v>
      </c>
      <c r="AO23">
        <f>IF('Field Teams'!$I$24="Inactive","",IF(AN23=0,3,IF(AN23=1,IF(IFERROR(SUMPRODUCT((ISNUMBER(SEARCH(B23,'Data - SSV'!AE$6:AE$3000)))*('Data - SSV'!AF$6:AF$3000&gt;=(AJ$3-90))*('Data - SSV'!AF$6:AF$3000&lt;=AJ$3)*('Data - SSV'!AH$6:AH$3000&lt;&gt;"")*IF('Data - SSV'!AH$6:AH$3000="",0,'Data - SSV'!AH$6:AH$3000))/AN23,3)=4,4,IF(IFERROR(SUMPRODUCT((ISNUMBER(SEARCH(B23,'Data - SSV'!AE$6:AE$3000)))*('Data - SSV'!AF$6:AF$3000&gt;=(AJ$3-90))*('Data - SSV'!AF$6:AF$3000&lt;=AJ$3)*('Data - SSV'!AH$6:AH$3000&lt;&gt;"")*IF('Data - SSV'!AH$6:AH$3000="",0,'Data - SSV'!AH$6:AH$3000))/AN23,3)&gt;=3,3,IF(IFERROR(SUMPRODUCT((ISNUMBER(SEARCH(B23,'Data - SSV'!AE$6:AE$3000)))*('Data - SSV'!AF$6:AF$3000&gt;=(AJ$3-90))*('Data - SSV'!AF$6:AF$3000&lt;=AJ$3)*('Data - SSV'!AH$6:AH$3000&lt;&gt;"")*IF('Data - SSV'!AH$6:AH$3000="",0,'Data - SSV'!AH$6:AH$3000))/AN23,3)&gt;=2,2,1))),IF(IFERROR(SUMPRODUCT((ISNUMBER(SEARCH(B23,'Data - SSV'!AE$6:AE$3000)))*('Data - SSV'!AF$6:AF$3000&gt;=(AJ$3-90))*('Data - SSV'!AF$6:AF$3000&lt;=AJ$3)*('Data - SSV'!AH$6:AH$3000&lt;&gt;"")*IF('Data - SSV'!AH$6:AH$3000="",0,'Data - SSV'!AH$6:AH$3000))/AN23,3)=4,5,IF(IFERROR(SUMPRODUCT((ISNUMBER(SEARCH(B23,'Data - SSV'!AE$6:AE$3000)))*('Data - SSV'!AF$6:AF$3000&gt;=(AJ$3-90))*('Data - SSV'!AF$6:AF$3000&lt;=AJ$3)*('Data - SSV'!AH$6:AH$3000&lt;&gt;"")*IF('Data - SSV'!AH$6:AH$3000="",0,'Data - SSV'!AH$6:AH$3000))/AN23,3)&gt;=3.5,4,IF(IFERROR(SUMPRODUCT((ISNUMBER(SEARCH(B23,'Data - SSV'!AE$6:AE$3000)))*('Data - SSV'!AF$6:AF$3000&gt;=(AJ$3-90))*('Data - SSV'!AF$6:AF$3000&lt;=AJ$3)*('Data - SSV'!AH$6:AH$3000&lt;&gt;"")*IF('Data - SSV'!AH$6:AH$3000="",0,'Data - SSV'!AH$6:AH$3000))/AN23,3)&gt;=3,3,IF(IFERROR(SUMPRODUCT((ISNUMBER(SEARCH(B23,'Data - SSV'!AE$6:AE$3000)))*('Data - SSV'!AF$6:AF$3000&gt;=(AJ$3-90))*('Data - SSV'!AF$6:AF$3000&lt;=AJ$3)*('Data - SSV'!AH$6:AH$3000&lt;&gt;"")*IF('Data - SSV'!AH$6:AH$3000="",0,'Data - SSV'!AH$6:AH$3000))/AN23,3)&gt;=2,2,1)))))))</f>
        <v>3</v>
      </c>
    </row>
    <row r="24" spans="1:41" ht="19.5" customHeight="1" x14ac:dyDescent="0.15">
      <c r="A24" s="10" t="str">
        <f>'Field Teams'!A25</f>
        <v>FT-021</v>
      </c>
      <c r="B24" s="30" t="str">
        <f>'Field Teams'!B25</f>
        <v>Central Tree Maintenance</v>
      </c>
      <c r="C24" s="30" t="str">
        <f>'Field Teams'!C25</f>
        <v>Utility Arboriculture</v>
      </c>
      <c r="D24" s="10" t="str">
        <f>'Field Teams'!D25</f>
        <v>Donovan  Gosher</v>
      </c>
      <c r="E24" s="10" t="str">
        <f>'Field Teams'!E25</f>
        <v>Jake Bolwell</v>
      </c>
      <c r="F24" s="10">
        <f>'Field Teams'!F25</f>
        <v>0</v>
      </c>
      <c r="G24" s="10">
        <f>'Field Teams'!G25</f>
        <v>0</v>
      </c>
      <c r="H24" s="31">
        <f>'Field Teams'!H25</f>
        <v>4</v>
      </c>
      <c r="I24" s="31">
        <f t="shared" si="0"/>
        <v>8</v>
      </c>
      <c r="J24" s="31">
        <f>IFERROR(SUMPRODUCT((((ISNUMBER(SEARCH(B24,'Data - HSQE Events'!V$6:V$3000))+ISNUMBER(SEARCH(B24,'Data - HSQE Events'!H$6:H$3000)))&gt;0))*('Data - HSQE Events'!F$6:F$3000&gt;=$AG$3)*('Data - HSQE Events'!F$6:F$3000&lt;=$AJ$3)*('Data - HSQE Events'!R$6:R$3000="Opportunity")),0)</f>
        <v>0</v>
      </c>
      <c r="K24" s="31">
        <f>IFERROR(SUMPRODUCT((((ISNUMBER(SEARCH(B24,'Data - HSQE Events'!V$6:V$3000))+ISNUMBER(SEARCH(B24,'Data - HSQE Events'!H$6:H$3000)))&gt;0))*('Data - HSQE Events'!F$6:F$3000&gt;=$AG$3)*('Data - HSQE Events'!F$6:F$3000&lt;=$AJ$3)*('Data - HSQE Events'!R$6:R$3000="Minor")),0)</f>
        <v>0</v>
      </c>
      <c r="L24" s="31">
        <f>IFERROR(SUMPRODUCT((((ISNUMBER(SEARCH(B24,'Data - HSQE Events'!V$6:V$3000))+ISNUMBER(SEARCH(B24,'Data - HSQE Events'!H$6:H$3000)))&gt;0))*('Data - HSQE Events'!F$6:F$3000&gt;=$AG$3)*('Data - HSQE Events'!F$6:F$3000&lt;=$AJ$3)*(('Data - HSQE Events'!R$6:R$3000="Moderate")+('Data - HSQE Events'!R$6:R$3000="Major"))),0)</f>
        <v>0</v>
      </c>
      <c r="M24" s="31" t="str">
        <f>IF(IFERROR(SUMPRODUCT((((ISNUMBER(SEARCH(B24,'Data - HSQE Events'!V$6:V$3000))+ISNUMBER(SEARCH(B24,'Data - HSQE Events'!H$6:H$3000)))&gt;0))*('Data - HSQE Events'!F$6:F$3000&gt;=$AG$3)*('Data - HSQE Events'!F$6:F$3000&lt;=$AJ$3)*('Data - HSQE Events'!R$6:R$3000="Major")),0)&gt;0,"YES","NO")</f>
        <v>NO</v>
      </c>
      <c r="N24" s="31">
        <f>IFERROR(SUMPRODUCT(('Data - Skillko'!B$6:B$3000=B24)*('Data - Skillko'!C$6:C$3000="Total")*('Data - Skillko'!E$6:E$3000))*100,0)</f>
        <v>80</v>
      </c>
      <c r="O24" s="31">
        <f t="shared" si="1"/>
        <v>4.2</v>
      </c>
      <c r="P24" s="31">
        <f>IFERROR(SUMPRODUCT(ISNUMBER(SEARCH(B24,'Pole Results'!$A$13:$A$2000))*('Pole Results'!$B$13:$B$2000&gt;=$AG$3)*('Pole Results'!$B$13:$B$2000&lt;=$AE$3)*('Pole Results'!$E$13:$E$2000="Non-Compliant")),0)</f>
        <v>0</v>
      </c>
      <c r="Q24" s="31">
        <f t="shared" si="2"/>
        <v>1</v>
      </c>
      <c r="R24" s="31">
        <f t="shared" si="3"/>
        <v>5</v>
      </c>
      <c r="S24" s="49">
        <f t="shared" si="4"/>
        <v>5</v>
      </c>
      <c r="T24" s="31">
        <f>IF('Field Teams'!$I$25="Inactive","",ROUND((Q24*Settings!$D$6+R24*Settings!$D$7+O24*Settings!$D$10+S24*Settings!$D$12+AO24*Settings!$D$13)/Settings!$D$14,1))</f>
        <v>3</v>
      </c>
      <c r="U24" s="115" t="str">
        <f>IF('Field Teams'!$I$25="Inactive","",IF(Q24="","",IF(Q24&gt;=4.5,"★★★★★",IF(Q24&gt;=3.5,"★★★★☆",IF(Q24&gt;=2.5,"★★★☆☆",IF(Q24&gt;=1.5,"★★☆☆☆","★☆☆☆☆"))))))</f>
        <v>★☆☆☆☆</v>
      </c>
      <c r="V24" s="115" t="str">
        <f>IF('Field Teams'!$I$25="Inactive","",IF(R24="","",IF(R24&gt;=4.5,"★★★★★",IF(R24&gt;=3.5,"★★★★☆",IF(R24&gt;=2.5,"★★★☆☆",IF(R24&gt;=1.5,"★★☆☆☆","★☆☆☆☆"))))))</f>
        <v>★★★★★</v>
      </c>
      <c r="W24" s="115" t="str">
        <f>IF('Field Teams'!$I$25="Inactive","",IF(O24="","",IF(O24&gt;=4.5,"★★★★★",IF(O24&gt;=3.5,"★★★★☆",IF(O24&gt;=2.5,"★★★☆☆",IF(O24&gt;=1.5,"★★☆☆☆","★☆☆☆☆"))))))</f>
        <v>★★★★☆</v>
      </c>
      <c r="X24" s="115" t="str">
        <f>IF('Field Teams'!$I$25="Inactive","",IF(S24="","",IF(S24&gt;=4.5,"★★★★★",IF(S24&gt;=3.5,"★★★★☆",IF(S24&gt;=2.5,"★★★☆☆",IF(S24&gt;=1.5,"★★☆☆☆","★☆☆☆☆"))))))</f>
        <v>★★★★★</v>
      </c>
      <c r="Y24" s="115" t="str">
        <f>IF('Field Teams'!$I$25="Inactive","",IF(AO24="","",IF(AO24&gt;=4.5,"★★★★★",IF(AO24&gt;=3.5,"★★★★☆",IF(AO24&gt;=2.5,"★★★☆☆",IF(AO24&gt;=1.5,"★★☆☆☆","★☆☆☆☆"))))))</f>
        <v>★★★☆☆</v>
      </c>
      <c r="Z24" s="115" t="str">
        <f>IF('Field Teams'!$I$5="Inactive","",IF(T24="","",IF(T24&gt;=4.5,"★★★★★",IF(T24&gt;=3.5,"★★★★☆",IF(T24&gt;=2.5,"★★★☆☆",IF(T24&gt;=1.5,"★★☆☆☆","★☆☆☆☆"))))))</f>
        <v>★★★☆☆</v>
      </c>
      <c r="AA24" s="31" t="str">
        <f>IF('Field Teams'!$I$25="Inactive","",IF(M24="YES","HIGH",IF(Q24&lt;=Settings!$D$26,"HIGH",IF(T24&lt;=Settings!$D$23,"HIGH",IF(T24&lt;=Settings!$D$24,"MEDIUM","LOW")))))</f>
        <v>HIGH</v>
      </c>
      <c r="AB24" s="31">
        <f>IF('Field Teams'!$I$5="Inactive",-1,IFERROR((6-T24)+(77-ROW())*0.0001,0))</f>
        <v>3.0053000000000001</v>
      </c>
      <c r="AC24" s="35">
        <f>IF('Field Teams'!$I$5="Inactive",999,IFERROR((6-T24)+(ROW()-3)*0.0001,99))</f>
        <v>3.0021</v>
      </c>
      <c r="AD24" s="31">
        <f>IF('Field Teams'!$I$25="Inactive",999,IFERROR(AB24+(ROW()-3)*0.0001,99))</f>
        <v>3.0074000000000001</v>
      </c>
      <c r="AE24" s="29">
        <v>0</v>
      </c>
      <c r="AF24" s="31" t="str">
        <f>IF('Field Teams'!$I$25="Inactive","",IF(AA24="HIGH","YES - within 5 working days",""))</f>
        <v>YES - within 5 working days</v>
      </c>
      <c r="AG24" s="105"/>
      <c r="AH24" s="49">
        <f>IFERROR(SUMPRODUCT(ISNUMBER(SEARCH(B24,'Pole Results'!$A$13:$A$2000))*('Pole Results'!$B$13:$B$2000&gt;=$AG$3)*('Pole Results'!$B$13:$B$2000&lt;=$AE$3)),0)</f>
        <v>0</v>
      </c>
      <c r="AI24" s="49">
        <f>IFERROR(SUMPRODUCT(ISNUMBER(SEARCH(B24,'Pole Results'!$A$13:$A$2000))*('Pole Results'!$B$13:$B$2000&gt;=$AG$3)*('Pole Results'!$B$13:$B$2000&lt;=$AE$3)*('Pole Results'!$E$13:$E$2000="Compliant")),0)</f>
        <v>0</v>
      </c>
      <c r="AJ24" s="105"/>
      <c r="AK24" s="106">
        <f>IF('Field Teams'!$I$25="Inactive",-1,IF(AA24="HIGH",AB24,-1))</f>
        <v>3.0053000000000001</v>
      </c>
      <c r="AL24" s="106">
        <f>IF('Field Teams'!$I$25="Inactive",-1,IF(OR(AA24="HIGH",AA24="MEDIUM"),AB24,-1))</f>
        <v>3.0053000000000001</v>
      </c>
      <c r="AM24" t="str">
        <f>IF('Field Teams'!$I$25="Inactive","",IF(IFERROR(LOOKUP(2,1/('Historical Scores'!C25:N25&lt;&gt;""),'Historical Scores'!C25:N25),"")="","New",IF(T24=""," ",IF(T24&gt;IFERROR(LOOKUP(2,1/('Historical Scores'!C25:N25&lt;&gt;""),'Historical Scores'!C25:N25),""),"▲ Worsening",IF(T24&lt;IFERROR(LOOKUP(2,1/('Historical Scores'!C25:N25&lt;&gt;""),'Historical Scores'!C25:N25),""),"▼ Improving","► Stable")))))</f>
        <v>New</v>
      </c>
      <c r="AN24">
        <f>IFERROR(SUMPRODUCT((ISNUMBER(SEARCH(B24,'Data - SSV'!AE$6:AE$3000)))*('Data - SSV'!AF$6:AF$3000&gt;=(AJ$3-90))*('Data - SSV'!AF$6:AF$3000&lt;=AJ$3)*('Data - SSV'!AH$6:AH$3000&lt;&gt;"")),0)</f>
        <v>0</v>
      </c>
      <c r="AO24">
        <f>IF('Field Teams'!$I$25="Inactive","",IF(AN24=0,3,IF(AN24=1,IF(IFERROR(SUMPRODUCT((ISNUMBER(SEARCH(B24,'Data - SSV'!AE$6:AE$3000)))*('Data - SSV'!AF$6:AF$3000&gt;=(AJ$3-90))*('Data - SSV'!AF$6:AF$3000&lt;=AJ$3)*('Data - SSV'!AH$6:AH$3000&lt;&gt;"")*IF('Data - SSV'!AH$6:AH$3000="",0,'Data - SSV'!AH$6:AH$3000))/AN24,3)=4,4,IF(IFERROR(SUMPRODUCT((ISNUMBER(SEARCH(B24,'Data - SSV'!AE$6:AE$3000)))*('Data - SSV'!AF$6:AF$3000&gt;=(AJ$3-90))*('Data - SSV'!AF$6:AF$3000&lt;=AJ$3)*('Data - SSV'!AH$6:AH$3000&lt;&gt;"")*IF('Data - SSV'!AH$6:AH$3000="",0,'Data - SSV'!AH$6:AH$3000))/AN24,3)&gt;=3,3,IF(IFERROR(SUMPRODUCT((ISNUMBER(SEARCH(B24,'Data - SSV'!AE$6:AE$3000)))*('Data - SSV'!AF$6:AF$3000&gt;=(AJ$3-90))*('Data - SSV'!AF$6:AF$3000&lt;=AJ$3)*('Data - SSV'!AH$6:AH$3000&lt;&gt;"")*IF('Data - SSV'!AH$6:AH$3000="",0,'Data - SSV'!AH$6:AH$3000))/AN24,3)&gt;=2,2,1))),IF(IFERROR(SUMPRODUCT((ISNUMBER(SEARCH(B24,'Data - SSV'!AE$6:AE$3000)))*('Data - SSV'!AF$6:AF$3000&gt;=(AJ$3-90))*('Data - SSV'!AF$6:AF$3000&lt;=AJ$3)*('Data - SSV'!AH$6:AH$3000&lt;&gt;"")*IF('Data - SSV'!AH$6:AH$3000="",0,'Data - SSV'!AH$6:AH$3000))/AN24,3)=4,5,IF(IFERROR(SUMPRODUCT((ISNUMBER(SEARCH(B24,'Data - SSV'!AE$6:AE$3000)))*('Data - SSV'!AF$6:AF$3000&gt;=(AJ$3-90))*('Data - SSV'!AF$6:AF$3000&lt;=AJ$3)*('Data - SSV'!AH$6:AH$3000&lt;&gt;"")*IF('Data - SSV'!AH$6:AH$3000="",0,'Data - SSV'!AH$6:AH$3000))/AN24,3)&gt;=3.5,4,IF(IFERROR(SUMPRODUCT((ISNUMBER(SEARCH(B24,'Data - SSV'!AE$6:AE$3000)))*('Data - SSV'!AF$6:AF$3000&gt;=(AJ$3-90))*('Data - SSV'!AF$6:AF$3000&lt;=AJ$3)*('Data - SSV'!AH$6:AH$3000&lt;&gt;"")*IF('Data - SSV'!AH$6:AH$3000="",0,'Data - SSV'!AH$6:AH$3000))/AN24,3)&gt;=3,3,IF(IFERROR(SUMPRODUCT((ISNUMBER(SEARCH(B24,'Data - SSV'!AE$6:AE$3000)))*('Data - SSV'!AF$6:AF$3000&gt;=(AJ$3-90))*('Data - SSV'!AF$6:AF$3000&lt;=AJ$3)*('Data - SSV'!AH$6:AH$3000&lt;&gt;"")*IF('Data - SSV'!AH$6:AH$3000="",0,'Data - SSV'!AH$6:AH$3000))/AN24,3)&gt;=2,2,1)))))))</f>
        <v>3</v>
      </c>
    </row>
    <row r="25" spans="1:41" ht="19.5" customHeight="1" x14ac:dyDescent="0.15">
      <c r="A25" s="6" t="str">
        <f>'Field Teams'!A26</f>
        <v>FT-022</v>
      </c>
      <c r="B25" s="28" t="str">
        <f>'Field Teams'!B26</f>
        <v>Flint Tree Surgeons</v>
      </c>
      <c r="C25" s="28" t="str">
        <f>'Field Teams'!C26</f>
        <v>Utility Arboriculture</v>
      </c>
      <c r="D25" s="6" t="str">
        <f>'Field Teams'!D26</f>
        <v>Donovan  Gosher</v>
      </c>
      <c r="E25" s="6" t="str">
        <f>'Field Teams'!E26</f>
        <v>Jake Bolwell</v>
      </c>
      <c r="F25" s="6">
        <f>'Field Teams'!F26</f>
        <v>0</v>
      </c>
      <c r="G25" s="6">
        <f>'Field Teams'!G26</f>
        <v>0</v>
      </c>
      <c r="H25" s="31">
        <f>'Field Teams'!H26</f>
        <v>3</v>
      </c>
      <c r="I25" s="31">
        <f t="shared" si="0"/>
        <v>6</v>
      </c>
      <c r="J25" s="31">
        <f>IFERROR(SUMPRODUCT((((ISNUMBER(SEARCH(B25,'Data - HSQE Events'!V$6:V$3000))+ISNUMBER(SEARCH(B25,'Data - HSQE Events'!H$6:H$3000)))&gt;0))*('Data - HSQE Events'!F$6:F$3000&gt;=$AG$3)*('Data - HSQE Events'!F$6:F$3000&lt;=$AJ$3)*('Data - HSQE Events'!R$6:R$3000="Opportunity")),0)</f>
        <v>0</v>
      </c>
      <c r="K25" s="31">
        <f>IFERROR(SUMPRODUCT((((ISNUMBER(SEARCH(B25,'Data - HSQE Events'!V$6:V$3000))+ISNUMBER(SEARCH(B25,'Data - HSQE Events'!H$6:H$3000)))&gt;0))*('Data - HSQE Events'!F$6:F$3000&gt;=$AG$3)*('Data - HSQE Events'!F$6:F$3000&lt;=$AJ$3)*('Data - HSQE Events'!R$6:R$3000="Minor")),0)</f>
        <v>0</v>
      </c>
      <c r="L25" s="31">
        <f>IFERROR(SUMPRODUCT((((ISNUMBER(SEARCH(B25,'Data - HSQE Events'!V$6:V$3000))+ISNUMBER(SEARCH(B25,'Data - HSQE Events'!H$6:H$3000)))&gt;0))*('Data - HSQE Events'!F$6:F$3000&gt;=$AG$3)*('Data - HSQE Events'!F$6:F$3000&lt;=$AJ$3)*(('Data - HSQE Events'!R$6:R$3000="Moderate")+('Data - HSQE Events'!R$6:R$3000="Major"))),0)</f>
        <v>0</v>
      </c>
      <c r="M25" s="31" t="str">
        <f>IF(IFERROR(SUMPRODUCT((((ISNUMBER(SEARCH(B25,'Data - HSQE Events'!V$6:V$3000))+ISNUMBER(SEARCH(B25,'Data - HSQE Events'!H$6:H$3000)))&gt;0))*('Data - HSQE Events'!F$6:F$3000&gt;=$AG$3)*('Data - HSQE Events'!F$6:F$3000&lt;=$AJ$3)*('Data - HSQE Events'!R$6:R$3000="Major")),0)&gt;0,"YES","NO")</f>
        <v>NO</v>
      </c>
      <c r="N25" s="31">
        <f>IFERROR(SUMPRODUCT(('Data - Skillko'!B$6:B$3000=B25)*('Data - Skillko'!C$6:C$3000="Total")*('Data - Skillko'!E$6:E$3000))*100,0)</f>
        <v>59</v>
      </c>
      <c r="O25" s="31">
        <f t="shared" si="1"/>
        <v>3.4</v>
      </c>
      <c r="P25" s="31">
        <f>IFERROR(SUMPRODUCT(ISNUMBER(SEARCH(B25,'Pole Results'!$A$13:$A$2000))*('Pole Results'!$B$13:$B$2000&gt;=$AG$3)*('Pole Results'!$B$13:$B$2000&lt;=$AE$3)*('Pole Results'!$E$13:$E$2000="Non-Compliant")),0)</f>
        <v>0</v>
      </c>
      <c r="Q25" s="31">
        <f t="shared" si="2"/>
        <v>1</v>
      </c>
      <c r="R25" s="31">
        <f t="shared" si="3"/>
        <v>5</v>
      </c>
      <c r="S25" s="49">
        <f t="shared" si="4"/>
        <v>5</v>
      </c>
      <c r="T25" s="31">
        <f>IF('Field Teams'!$I$26="Inactive","",ROUND((Q25*Settings!$D$6+R25*Settings!$D$7+O25*Settings!$D$10+S25*Settings!$D$12+AO25*Settings!$D$13)/Settings!$D$14,1))</f>
        <v>2.9</v>
      </c>
      <c r="U25" s="115" t="str">
        <f>IF('Field Teams'!$I$26="Inactive","",IF(Q25="","",IF(Q25&gt;=4.5,"★★★★★",IF(Q25&gt;=3.5,"★★★★☆",IF(Q25&gt;=2.5,"★★★☆☆",IF(Q25&gt;=1.5,"★★☆☆☆","★☆☆☆☆"))))))</f>
        <v>★☆☆☆☆</v>
      </c>
      <c r="V25" s="115" t="str">
        <f>IF('Field Teams'!$I$26="Inactive","",IF(R25="","",IF(R25&gt;=4.5,"★★★★★",IF(R25&gt;=3.5,"★★★★☆",IF(R25&gt;=2.5,"★★★☆☆",IF(R25&gt;=1.5,"★★☆☆☆","★☆☆☆☆"))))))</f>
        <v>★★★★★</v>
      </c>
      <c r="W25" s="115" t="str">
        <f>IF('Field Teams'!$I$26="Inactive","",IF(O25="","",IF(O25&gt;=4.5,"★★★★★",IF(O25&gt;=3.5,"★★★★☆",IF(O25&gt;=2.5,"★★★☆☆",IF(O25&gt;=1.5,"★★☆☆☆","★☆☆☆☆"))))))</f>
        <v>★★★☆☆</v>
      </c>
      <c r="X25" s="115" t="str">
        <f>IF('Field Teams'!$I$26="Inactive","",IF(S25="","",IF(S25&gt;=4.5,"★★★★★",IF(S25&gt;=3.5,"★★★★☆",IF(S25&gt;=2.5,"★★★☆☆",IF(S25&gt;=1.5,"★★☆☆☆","★☆☆☆☆"))))))</f>
        <v>★★★★★</v>
      </c>
      <c r="Y25" s="115" t="str">
        <f>IF('Field Teams'!$I$26="Inactive","",IF(AO25="","",IF(AO25&gt;=4.5,"★★★★★",IF(AO25&gt;=3.5,"★★★★☆",IF(AO25&gt;=2.5,"★★★☆☆",IF(AO25&gt;=1.5,"★★☆☆☆","★☆☆☆☆"))))))</f>
        <v>★★★☆☆</v>
      </c>
      <c r="Z25" s="115" t="str">
        <f>IF('Field Teams'!$I$5="Inactive","",IF(T25="","",IF(T25&gt;=4.5,"★★★★★",IF(T25&gt;=3.5,"★★★★☆",IF(T25&gt;=2.5,"★★★☆☆",IF(T25&gt;=1.5,"★★☆☆☆","★☆☆☆☆"))))))</f>
        <v>★★★☆☆</v>
      </c>
      <c r="AA25" s="31" t="str">
        <f>IF('Field Teams'!$I$26="Inactive","",IF(M25="YES","HIGH",IF(Q25&lt;=Settings!$D$26,"HIGH",IF(T25&lt;=Settings!$D$23,"HIGH",IF(T25&lt;=Settings!$D$24,"MEDIUM","LOW")))))</f>
        <v>HIGH</v>
      </c>
      <c r="AB25" s="31">
        <f>IF('Field Teams'!$I$5="Inactive",-1,IFERROR((6-T25)+(77-ROW())*0.0001,0))</f>
        <v>3.1052</v>
      </c>
      <c r="AC25" s="35">
        <f>IF('Field Teams'!$I$5="Inactive",999,IFERROR((6-T25)+(ROW()-3)*0.0001,99))</f>
        <v>3.1022000000000003</v>
      </c>
      <c r="AD25" s="31">
        <f>IF('Field Teams'!$I$26="Inactive",999,IFERROR(AB25+(ROW()-3)*0.0001,99))</f>
        <v>3.1074000000000002</v>
      </c>
      <c r="AE25" s="29">
        <v>0</v>
      </c>
      <c r="AF25" s="31" t="str">
        <f>IF('Field Teams'!$I$26="Inactive","",IF(AA25="HIGH","YES - within 5 working days",""))</f>
        <v>YES - within 5 working days</v>
      </c>
      <c r="AG25" s="105"/>
      <c r="AH25" s="49">
        <f>IFERROR(SUMPRODUCT(ISNUMBER(SEARCH(B25,'Pole Results'!$A$13:$A$2000))*('Pole Results'!$B$13:$B$2000&gt;=$AG$3)*('Pole Results'!$B$13:$B$2000&lt;=$AE$3)),0)</f>
        <v>0</v>
      </c>
      <c r="AI25" s="49">
        <f>IFERROR(SUMPRODUCT(ISNUMBER(SEARCH(B25,'Pole Results'!$A$13:$A$2000))*('Pole Results'!$B$13:$B$2000&gt;=$AG$3)*('Pole Results'!$B$13:$B$2000&lt;=$AE$3)*('Pole Results'!$E$13:$E$2000="Compliant")),0)</f>
        <v>0</v>
      </c>
      <c r="AJ25" s="105"/>
      <c r="AK25" s="106">
        <f>IF('Field Teams'!$I$26="Inactive",-1,IF(AA25="HIGH",AB25,-1))</f>
        <v>3.1052</v>
      </c>
      <c r="AL25" s="106">
        <f>IF('Field Teams'!$I$26="Inactive",-1,IF(OR(AA25="HIGH",AA25="MEDIUM"),AB25,-1))</f>
        <v>3.1052</v>
      </c>
      <c r="AM25" t="str">
        <f>IF('Field Teams'!$I$26="Inactive","",IF(IFERROR(LOOKUP(2,1/('Historical Scores'!C26:N26&lt;&gt;""),'Historical Scores'!C26:N26),"")="","New",IF(T25=""," ",IF(T25&gt;IFERROR(LOOKUP(2,1/('Historical Scores'!C26:N26&lt;&gt;""),'Historical Scores'!C26:N26),""),"▲ Worsening",IF(T25&lt;IFERROR(LOOKUP(2,1/('Historical Scores'!C26:N26&lt;&gt;""),'Historical Scores'!C26:N26),""),"▼ Improving","► Stable")))))</f>
        <v>New</v>
      </c>
      <c r="AN25">
        <f>IFERROR(SUMPRODUCT((ISNUMBER(SEARCH(B25,'Data - SSV'!AE$6:AE$3000)))*('Data - SSV'!AF$6:AF$3000&gt;=(AJ$3-90))*('Data - SSV'!AF$6:AF$3000&lt;=AJ$3)*('Data - SSV'!AH$6:AH$3000&lt;&gt;"")),0)</f>
        <v>0</v>
      </c>
      <c r="AO25">
        <f>IF('Field Teams'!$I$26="Inactive","",IF(AN25=0,3,IF(AN25=1,IF(IFERROR(SUMPRODUCT((ISNUMBER(SEARCH(B25,'Data - SSV'!AE$6:AE$3000)))*('Data - SSV'!AF$6:AF$3000&gt;=(AJ$3-90))*('Data - SSV'!AF$6:AF$3000&lt;=AJ$3)*('Data - SSV'!AH$6:AH$3000&lt;&gt;"")*IF('Data - SSV'!AH$6:AH$3000="",0,'Data - SSV'!AH$6:AH$3000))/AN25,3)=4,4,IF(IFERROR(SUMPRODUCT((ISNUMBER(SEARCH(B25,'Data - SSV'!AE$6:AE$3000)))*('Data - SSV'!AF$6:AF$3000&gt;=(AJ$3-90))*('Data - SSV'!AF$6:AF$3000&lt;=AJ$3)*('Data - SSV'!AH$6:AH$3000&lt;&gt;"")*IF('Data - SSV'!AH$6:AH$3000="",0,'Data - SSV'!AH$6:AH$3000))/AN25,3)&gt;=3,3,IF(IFERROR(SUMPRODUCT((ISNUMBER(SEARCH(B25,'Data - SSV'!AE$6:AE$3000)))*('Data - SSV'!AF$6:AF$3000&gt;=(AJ$3-90))*('Data - SSV'!AF$6:AF$3000&lt;=AJ$3)*('Data - SSV'!AH$6:AH$3000&lt;&gt;"")*IF('Data - SSV'!AH$6:AH$3000="",0,'Data - SSV'!AH$6:AH$3000))/AN25,3)&gt;=2,2,1))),IF(IFERROR(SUMPRODUCT((ISNUMBER(SEARCH(B25,'Data - SSV'!AE$6:AE$3000)))*('Data - SSV'!AF$6:AF$3000&gt;=(AJ$3-90))*('Data - SSV'!AF$6:AF$3000&lt;=AJ$3)*('Data - SSV'!AH$6:AH$3000&lt;&gt;"")*IF('Data - SSV'!AH$6:AH$3000="",0,'Data - SSV'!AH$6:AH$3000))/AN25,3)=4,5,IF(IFERROR(SUMPRODUCT((ISNUMBER(SEARCH(B25,'Data - SSV'!AE$6:AE$3000)))*('Data - SSV'!AF$6:AF$3000&gt;=(AJ$3-90))*('Data - SSV'!AF$6:AF$3000&lt;=AJ$3)*('Data - SSV'!AH$6:AH$3000&lt;&gt;"")*IF('Data - SSV'!AH$6:AH$3000="",0,'Data - SSV'!AH$6:AH$3000))/AN25,3)&gt;=3.5,4,IF(IFERROR(SUMPRODUCT((ISNUMBER(SEARCH(B25,'Data - SSV'!AE$6:AE$3000)))*('Data - SSV'!AF$6:AF$3000&gt;=(AJ$3-90))*('Data - SSV'!AF$6:AF$3000&lt;=AJ$3)*('Data - SSV'!AH$6:AH$3000&lt;&gt;"")*IF('Data - SSV'!AH$6:AH$3000="",0,'Data - SSV'!AH$6:AH$3000))/AN25,3)&gt;=3,3,IF(IFERROR(SUMPRODUCT((ISNUMBER(SEARCH(B25,'Data - SSV'!AE$6:AE$3000)))*('Data - SSV'!AF$6:AF$3000&gt;=(AJ$3-90))*('Data - SSV'!AF$6:AF$3000&lt;=AJ$3)*('Data - SSV'!AH$6:AH$3000&lt;&gt;"")*IF('Data - SSV'!AH$6:AH$3000="",0,'Data - SSV'!AH$6:AH$3000))/AN25,3)&gt;=2,2,1)))))))</f>
        <v>3</v>
      </c>
    </row>
    <row r="26" spans="1:41" ht="19.5" customHeight="1" x14ac:dyDescent="0.15">
      <c r="A26" s="10" t="str">
        <f>'Field Teams'!A27</f>
        <v>FT-023</v>
      </c>
      <c r="B26" s="30" t="str">
        <f>'Field Teams'!B27</f>
        <v>George Harris Tree Services</v>
      </c>
      <c r="C26" s="30" t="str">
        <f>'Field Teams'!C27</f>
        <v>Utility Arboriculture</v>
      </c>
      <c r="D26" s="10" t="str">
        <f>'Field Teams'!D27</f>
        <v>Donovan  Gosher</v>
      </c>
      <c r="E26" s="10" t="str">
        <f>'Field Teams'!E27</f>
        <v>Jake Bolwell</v>
      </c>
      <c r="F26" s="10">
        <f>'Field Teams'!F27</f>
        <v>0</v>
      </c>
      <c r="G26" s="10">
        <f>'Field Teams'!G27</f>
        <v>0</v>
      </c>
      <c r="H26" s="31">
        <f>'Field Teams'!H27</f>
        <v>5</v>
      </c>
      <c r="I26" s="31">
        <f t="shared" si="0"/>
        <v>10</v>
      </c>
      <c r="J26" s="31">
        <f>IFERROR(SUMPRODUCT((((ISNUMBER(SEARCH(B26,'Data - HSQE Events'!V$6:V$3000))+ISNUMBER(SEARCH(B26,'Data - HSQE Events'!H$6:H$3000)))&gt;0))*('Data - HSQE Events'!F$6:F$3000&gt;=$AG$3)*('Data - HSQE Events'!F$6:F$3000&lt;=$AJ$3)*('Data - HSQE Events'!R$6:R$3000="Opportunity")),0)</f>
        <v>0</v>
      </c>
      <c r="K26" s="31">
        <f>IFERROR(SUMPRODUCT((((ISNUMBER(SEARCH(B26,'Data - HSQE Events'!V$6:V$3000))+ISNUMBER(SEARCH(B26,'Data - HSQE Events'!H$6:H$3000)))&gt;0))*('Data - HSQE Events'!F$6:F$3000&gt;=$AG$3)*('Data - HSQE Events'!F$6:F$3000&lt;=$AJ$3)*('Data - HSQE Events'!R$6:R$3000="Minor")),0)</f>
        <v>0</v>
      </c>
      <c r="L26" s="31">
        <f>IFERROR(SUMPRODUCT((((ISNUMBER(SEARCH(B26,'Data - HSQE Events'!V$6:V$3000))+ISNUMBER(SEARCH(B26,'Data - HSQE Events'!H$6:H$3000)))&gt;0))*('Data - HSQE Events'!F$6:F$3000&gt;=$AG$3)*('Data - HSQE Events'!F$6:F$3000&lt;=$AJ$3)*(('Data - HSQE Events'!R$6:R$3000="Moderate")+('Data - HSQE Events'!R$6:R$3000="Major"))),0)</f>
        <v>0</v>
      </c>
      <c r="M26" s="31" t="str">
        <f>IF(IFERROR(SUMPRODUCT((((ISNUMBER(SEARCH(B26,'Data - HSQE Events'!V$6:V$3000))+ISNUMBER(SEARCH(B26,'Data - HSQE Events'!H$6:H$3000)))&gt;0))*('Data - HSQE Events'!F$6:F$3000&gt;=$AG$3)*('Data - HSQE Events'!F$6:F$3000&lt;=$AJ$3)*('Data - HSQE Events'!R$6:R$3000="Major")),0)&gt;0,"YES","NO")</f>
        <v>NO</v>
      </c>
      <c r="N26" s="31">
        <f>IFERROR(SUMPRODUCT(('Data - Skillko'!B$6:B$3000=B26)*('Data - Skillko'!C$6:C$3000="Total")*('Data - Skillko'!E$6:E$3000))*100,0)</f>
        <v>36</v>
      </c>
      <c r="O26" s="31">
        <f t="shared" si="1"/>
        <v>2.4</v>
      </c>
      <c r="P26" s="31">
        <f>IFERROR(SUMPRODUCT(ISNUMBER(SEARCH(B26,'Pole Results'!$A$13:$A$2000))*('Pole Results'!$B$13:$B$2000&gt;=$AG$3)*('Pole Results'!$B$13:$B$2000&lt;=$AE$3)*('Pole Results'!$E$13:$E$2000="Non-Compliant")),0)</f>
        <v>0</v>
      </c>
      <c r="Q26" s="31">
        <f t="shared" si="2"/>
        <v>1</v>
      </c>
      <c r="R26" s="31">
        <f t="shared" si="3"/>
        <v>5</v>
      </c>
      <c r="S26" s="49">
        <f t="shared" si="4"/>
        <v>5</v>
      </c>
      <c r="T26" s="31">
        <f>IF('Field Teams'!$I$27="Inactive","",ROUND((Q26*Settings!$D$6+R26*Settings!$D$7+O26*Settings!$D$10+S26*Settings!$D$12+AO26*Settings!$D$13)/Settings!$D$14,1))</f>
        <v>2.7</v>
      </c>
      <c r="U26" s="115" t="str">
        <f>IF('Field Teams'!$I$27="Inactive","",IF(Q26="","",IF(Q26&gt;=4.5,"★★★★★",IF(Q26&gt;=3.5,"★★★★☆",IF(Q26&gt;=2.5,"★★★☆☆",IF(Q26&gt;=1.5,"★★☆☆☆","★☆☆☆☆"))))))</f>
        <v>★☆☆☆☆</v>
      </c>
      <c r="V26" s="115" t="str">
        <f>IF('Field Teams'!$I$27="Inactive","",IF(R26="","",IF(R26&gt;=4.5,"★★★★★",IF(R26&gt;=3.5,"★★★★☆",IF(R26&gt;=2.5,"★★★☆☆",IF(R26&gt;=1.5,"★★☆☆☆","★☆☆☆☆"))))))</f>
        <v>★★★★★</v>
      </c>
      <c r="W26" s="115" t="str">
        <f>IF('Field Teams'!$I$27="Inactive","",IF(O26="","",IF(O26&gt;=4.5,"★★★★★",IF(O26&gt;=3.5,"★★★★☆",IF(O26&gt;=2.5,"★★★☆☆",IF(O26&gt;=1.5,"★★☆☆☆","★☆☆☆☆"))))))</f>
        <v>★★☆☆☆</v>
      </c>
      <c r="X26" s="115" t="str">
        <f>IF('Field Teams'!$I$27="Inactive","",IF(S26="","",IF(S26&gt;=4.5,"★★★★★",IF(S26&gt;=3.5,"★★★★☆",IF(S26&gt;=2.5,"★★★☆☆",IF(S26&gt;=1.5,"★★☆☆☆","★☆☆☆☆"))))))</f>
        <v>★★★★★</v>
      </c>
      <c r="Y26" s="115" t="str">
        <f>IF('Field Teams'!$I$27="Inactive","",IF(AO26="","",IF(AO26&gt;=4.5,"★★★★★",IF(AO26&gt;=3.5,"★★★★☆",IF(AO26&gt;=2.5,"★★★☆☆",IF(AO26&gt;=1.5,"★★☆☆☆","★☆☆☆☆"))))))</f>
        <v>★★★☆☆</v>
      </c>
      <c r="Z26" s="115" t="str">
        <f>IF('Field Teams'!$I$5="Inactive","",IF(T26="","",IF(T26&gt;=4.5,"★★★★★",IF(T26&gt;=3.5,"★★★★☆",IF(T26&gt;=2.5,"★★★☆☆",IF(T26&gt;=1.5,"★★☆☆☆","★☆☆☆☆"))))))</f>
        <v>★★★☆☆</v>
      </c>
      <c r="AA26" s="31" t="str">
        <f>IF('Field Teams'!$I$27="Inactive","",IF(M26="YES","HIGH",IF(Q26&lt;=Settings!$D$26,"HIGH",IF(T26&lt;=Settings!$D$23,"HIGH",IF(T26&lt;=Settings!$D$24,"MEDIUM","LOW")))))</f>
        <v>HIGH</v>
      </c>
      <c r="AB26" s="31">
        <f>IF('Field Teams'!$I$5="Inactive",-1,IFERROR((6-T26)+(77-ROW())*0.0001,0))</f>
        <v>3.3050999999999999</v>
      </c>
      <c r="AC26" s="35">
        <f>IF('Field Teams'!$I$5="Inactive",999,IFERROR((6-T26)+(ROW()-3)*0.0001,99))</f>
        <v>3.3022999999999998</v>
      </c>
      <c r="AD26" s="31">
        <f>IF('Field Teams'!$I$27="Inactive",999,IFERROR(AB26+(ROW()-3)*0.0001,99))</f>
        <v>3.3073999999999999</v>
      </c>
      <c r="AE26" s="29">
        <v>0</v>
      </c>
      <c r="AF26" s="31" t="str">
        <f>IF('Field Teams'!$I$27="Inactive","",IF(AA26="HIGH","YES - within 5 working days",""))</f>
        <v>YES - within 5 working days</v>
      </c>
      <c r="AG26" s="105"/>
      <c r="AH26" s="49">
        <f>IFERROR(SUMPRODUCT(ISNUMBER(SEARCH(B26,'Pole Results'!$A$13:$A$2000))*('Pole Results'!$B$13:$B$2000&gt;=$AG$3)*('Pole Results'!$B$13:$B$2000&lt;=$AE$3)),0)</f>
        <v>0</v>
      </c>
      <c r="AI26" s="49">
        <f>IFERROR(SUMPRODUCT(ISNUMBER(SEARCH(B26,'Pole Results'!$A$13:$A$2000))*('Pole Results'!$B$13:$B$2000&gt;=$AG$3)*('Pole Results'!$B$13:$B$2000&lt;=$AE$3)*('Pole Results'!$E$13:$E$2000="Compliant")),0)</f>
        <v>0</v>
      </c>
      <c r="AJ26" s="105"/>
      <c r="AK26" s="106">
        <f>IF('Field Teams'!$I$27="Inactive",-1,IF(AA26="HIGH",AB26,-1))</f>
        <v>3.3050999999999999</v>
      </c>
      <c r="AL26" s="106">
        <f>IF('Field Teams'!$I$27="Inactive",-1,IF(OR(AA26="HIGH",AA26="MEDIUM"),AB26,-1))</f>
        <v>3.3050999999999999</v>
      </c>
      <c r="AM26" t="str">
        <f>IF('Field Teams'!$I$27="Inactive","",IF(IFERROR(LOOKUP(2,1/('Historical Scores'!C27:N27&lt;&gt;""),'Historical Scores'!C27:N27),"")="","New",IF(T26=""," ",IF(T26&gt;IFERROR(LOOKUP(2,1/('Historical Scores'!C27:N27&lt;&gt;""),'Historical Scores'!C27:N27),""),"▲ Worsening",IF(T26&lt;IFERROR(LOOKUP(2,1/('Historical Scores'!C27:N27&lt;&gt;""),'Historical Scores'!C27:N27),""),"▼ Improving","► Stable")))))</f>
        <v>New</v>
      </c>
      <c r="AN26">
        <f>IFERROR(SUMPRODUCT((ISNUMBER(SEARCH(B26,'Data - SSV'!AE$6:AE$3000)))*('Data - SSV'!AF$6:AF$3000&gt;=(AJ$3-90))*('Data - SSV'!AF$6:AF$3000&lt;=AJ$3)*('Data - SSV'!AH$6:AH$3000&lt;&gt;"")),0)</f>
        <v>0</v>
      </c>
      <c r="AO26">
        <f>IF('Field Teams'!$I$27="Inactive","",IF(AN26=0,3,IF(AN26=1,IF(IFERROR(SUMPRODUCT((ISNUMBER(SEARCH(B26,'Data - SSV'!AE$6:AE$3000)))*('Data - SSV'!AF$6:AF$3000&gt;=(AJ$3-90))*('Data - SSV'!AF$6:AF$3000&lt;=AJ$3)*('Data - SSV'!AH$6:AH$3000&lt;&gt;"")*IF('Data - SSV'!AH$6:AH$3000="",0,'Data - SSV'!AH$6:AH$3000))/AN26,3)=4,4,IF(IFERROR(SUMPRODUCT((ISNUMBER(SEARCH(B26,'Data - SSV'!AE$6:AE$3000)))*('Data - SSV'!AF$6:AF$3000&gt;=(AJ$3-90))*('Data - SSV'!AF$6:AF$3000&lt;=AJ$3)*('Data - SSV'!AH$6:AH$3000&lt;&gt;"")*IF('Data - SSV'!AH$6:AH$3000="",0,'Data - SSV'!AH$6:AH$3000))/AN26,3)&gt;=3,3,IF(IFERROR(SUMPRODUCT((ISNUMBER(SEARCH(B26,'Data - SSV'!AE$6:AE$3000)))*('Data - SSV'!AF$6:AF$3000&gt;=(AJ$3-90))*('Data - SSV'!AF$6:AF$3000&lt;=AJ$3)*('Data - SSV'!AH$6:AH$3000&lt;&gt;"")*IF('Data - SSV'!AH$6:AH$3000="",0,'Data - SSV'!AH$6:AH$3000))/AN26,3)&gt;=2,2,1))),IF(IFERROR(SUMPRODUCT((ISNUMBER(SEARCH(B26,'Data - SSV'!AE$6:AE$3000)))*('Data - SSV'!AF$6:AF$3000&gt;=(AJ$3-90))*('Data - SSV'!AF$6:AF$3000&lt;=AJ$3)*('Data - SSV'!AH$6:AH$3000&lt;&gt;"")*IF('Data - SSV'!AH$6:AH$3000="",0,'Data - SSV'!AH$6:AH$3000))/AN26,3)=4,5,IF(IFERROR(SUMPRODUCT((ISNUMBER(SEARCH(B26,'Data - SSV'!AE$6:AE$3000)))*('Data - SSV'!AF$6:AF$3000&gt;=(AJ$3-90))*('Data - SSV'!AF$6:AF$3000&lt;=AJ$3)*('Data - SSV'!AH$6:AH$3000&lt;&gt;"")*IF('Data - SSV'!AH$6:AH$3000="",0,'Data - SSV'!AH$6:AH$3000))/AN26,3)&gt;=3.5,4,IF(IFERROR(SUMPRODUCT((ISNUMBER(SEARCH(B26,'Data - SSV'!AE$6:AE$3000)))*('Data - SSV'!AF$6:AF$3000&gt;=(AJ$3-90))*('Data - SSV'!AF$6:AF$3000&lt;=AJ$3)*('Data - SSV'!AH$6:AH$3000&lt;&gt;"")*IF('Data - SSV'!AH$6:AH$3000="",0,'Data - SSV'!AH$6:AH$3000))/AN26,3)&gt;=3,3,IF(IFERROR(SUMPRODUCT((ISNUMBER(SEARCH(B26,'Data - SSV'!AE$6:AE$3000)))*('Data - SSV'!AF$6:AF$3000&gt;=(AJ$3-90))*('Data - SSV'!AF$6:AF$3000&lt;=AJ$3)*('Data - SSV'!AH$6:AH$3000&lt;&gt;"")*IF('Data - SSV'!AH$6:AH$3000="",0,'Data - SSV'!AH$6:AH$3000))/AN26,3)&gt;=2,2,1)))))))</f>
        <v>3</v>
      </c>
    </row>
    <row r="27" spans="1:41" ht="19.5" customHeight="1" x14ac:dyDescent="0.15">
      <c r="A27" s="6" t="str">
        <f>'Field Teams'!A28</f>
        <v>FT-024</v>
      </c>
      <c r="B27" s="28" t="str">
        <f>'Field Teams'!B28</f>
        <v>HJ Tree Services</v>
      </c>
      <c r="C27" s="28" t="str">
        <f>'Field Teams'!C28</f>
        <v>Utility Arboriculture</v>
      </c>
      <c r="D27" s="6" t="str">
        <f>'Field Teams'!D28</f>
        <v>Donovan  Gosher</v>
      </c>
      <c r="E27" s="6" t="str">
        <f>'Field Teams'!E28</f>
        <v>Jake Bolwell</v>
      </c>
      <c r="F27" s="6">
        <f>'Field Teams'!F28</f>
        <v>0</v>
      </c>
      <c r="G27" s="6">
        <f>'Field Teams'!G28</f>
        <v>0</v>
      </c>
      <c r="H27" s="31">
        <f>'Field Teams'!H28</f>
        <v>3</v>
      </c>
      <c r="I27" s="31">
        <f t="shared" si="0"/>
        <v>6</v>
      </c>
      <c r="J27" s="31">
        <f>IFERROR(SUMPRODUCT((((ISNUMBER(SEARCH(B27,'Data - HSQE Events'!V$6:V$3000))+ISNUMBER(SEARCH(B27,'Data - HSQE Events'!H$6:H$3000)))&gt;0))*('Data - HSQE Events'!F$6:F$3000&gt;=$AG$3)*('Data - HSQE Events'!F$6:F$3000&lt;=$AJ$3)*('Data - HSQE Events'!R$6:R$3000="Opportunity")),0)</f>
        <v>0</v>
      </c>
      <c r="K27" s="31">
        <f>IFERROR(SUMPRODUCT((((ISNUMBER(SEARCH(B27,'Data - HSQE Events'!V$6:V$3000))+ISNUMBER(SEARCH(B27,'Data - HSQE Events'!H$6:H$3000)))&gt;0))*('Data - HSQE Events'!F$6:F$3000&gt;=$AG$3)*('Data - HSQE Events'!F$6:F$3000&lt;=$AJ$3)*('Data - HSQE Events'!R$6:R$3000="Minor")),0)</f>
        <v>0</v>
      </c>
      <c r="L27" s="31">
        <f>IFERROR(SUMPRODUCT((((ISNUMBER(SEARCH(B27,'Data - HSQE Events'!V$6:V$3000))+ISNUMBER(SEARCH(B27,'Data - HSQE Events'!H$6:H$3000)))&gt;0))*('Data - HSQE Events'!F$6:F$3000&gt;=$AG$3)*('Data - HSQE Events'!F$6:F$3000&lt;=$AJ$3)*(('Data - HSQE Events'!R$6:R$3000="Moderate")+('Data - HSQE Events'!R$6:R$3000="Major"))),0)</f>
        <v>0</v>
      </c>
      <c r="M27" s="31" t="str">
        <f>IF(IFERROR(SUMPRODUCT((((ISNUMBER(SEARCH(B27,'Data - HSQE Events'!V$6:V$3000))+ISNUMBER(SEARCH(B27,'Data - HSQE Events'!H$6:H$3000)))&gt;0))*('Data - HSQE Events'!F$6:F$3000&gt;=$AG$3)*('Data - HSQE Events'!F$6:F$3000&lt;=$AJ$3)*('Data - HSQE Events'!R$6:R$3000="Major")),0)&gt;0,"YES","NO")</f>
        <v>NO</v>
      </c>
      <c r="N27" s="31">
        <f>IFERROR(SUMPRODUCT(('Data - Skillko'!B$6:B$3000=B27)*('Data - Skillko'!C$6:C$3000="Total")*('Data - Skillko'!E$6:E$3000))*100,0)</f>
        <v>98</v>
      </c>
      <c r="O27" s="31">
        <f t="shared" si="1"/>
        <v>4.9000000000000004</v>
      </c>
      <c r="P27" s="31">
        <f>IFERROR(SUMPRODUCT(ISNUMBER(SEARCH(B27,'Pole Results'!$A$13:$A$2000))*('Pole Results'!$B$13:$B$2000&gt;=$AG$3)*('Pole Results'!$B$13:$B$2000&lt;=$AE$3)*('Pole Results'!$E$13:$E$2000="Non-Compliant")),0)</f>
        <v>0</v>
      </c>
      <c r="Q27" s="31">
        <f t="shared" si="2"/>
        <v>1</v>
      </c>
      <c r="R27" s="31">
        <f t="shared" si="3"/>
        <v>5</v>
      </c>
      <c r="S27" s="49">
        <f t="shared" si="4"/>
        <v>5</v>
      </c>
      <c r="T27" s="31">
        <f>IF('Field Teams'!$I$28="Inactive","",ROUND((Q27*Settings!$D$6+R27*Settings!$D$7+O27*Settings!$D$10+S27*Settings!$D$12+AO27*Settings!$D$13)/Settings!$D$14,1))</f>
        <v>3.1</v>
      </c>
      <c r="U27" s="115" t="str">
        <f>IF('Field Teams'!$I$28="Inactive","",IF(Q27="","",IF(Q27&gt;=4.5,"★★★★★",IF(Q27&gt;=3.5,"★★★★☆",IF(Q27&gt;=2.5,"★★★☆☆",IF(Q27&gt;=1.5,"★★☆☆☆","★☆☆☆☆"))))))</f>
        <v>★☆☆☆☆</v>
      </c>
      <c r="V27" s="115" t="str">
        <f>IF('Field Teams'!$I$28="Inactive","",IF(R27="","",IF(R27&gt;=4.5,"★★★★★",IF(R27&gt;=3.5,"★★★★☆",IF(R27&gt;=2.5,"★★★☆☆",IF(R27&gt;=1.5,"★★☆☆☆","★☆☆☆☆"))))))</f>
        <v>★★★★★</v>
      </c>
      <c r="W27" s="115" t="str">
        <f>IF('Field Teams'!$I$28="Inactive","",IF(O27="","",IF(O27&gt;=4.5,"★★★★★",IF(O27&gt;=3.5,"★★★★☆",IF(O27&gt;=2.5,"★★★☆☆",IF(O27&gt;=1.5,"★★☆☆☆","★☆☆☆☆"))))))</f>
        <v>★★★★★</v>
      </c>
      <c r="X27" s="115" t="str">
        <f>IF('Field Teams'!$I$28="Inactive","",IF(S27="","",IF(S27&gt;=4.5,"★★★★★",IF(S27&gt;=3.5,"★★★★☆",IF(S27&gt;=2.5,"★★★☆☆",IF(S27&gt;=1.5,"★★☆☆☆","★☆☆☆☆"))))))</f>
        <v>★★★★★</v>
      </c>
      <c r="Y27" s="115" t="str">
        <f>IF('Field Teams'!$I$28="Inactive","",IF(AO27="","",IF(AO27&gt;=4.5,"★★★★★",IF(AO27&gt;=3.5,"★★★★☆",IF(AO27&gt;=2.5,"★★★☆☆",IF(AO27&gt;=1.5,"★★☆☆☆","★☆☆☆☆"))))))</f>
        <v>★★★☆☆</v>
      </c>
      <c r="Z27" s="115" t="str">
        <f>IF('Field Teams'!$I$5="Inactive","",IF(T27="","",IF(T27&gt;=4.5,"★★★★★",IF(T27&gt;=3.5,"★★★★☆",IF(T27&gt;=2.5,"★★★☆☆",IF(T27&gt;=1.5,"★★☆☆☆","★☆☆☆☆"))))))</f>
        <v>★★★☆☆</v>
      </c>
      <c r="AA27" s="31" t="str">
        <f>IF('Field Teams'!$I$28="Inactive","",IF(M27="YES","HIGH",IF(Q27&lt;=Settings!$D$26,"HIGH",IF(T27&lt;=Settings!$D$23,"HIGH",IF(T27&lt;=Settings!$D$24,"MEDIUM","LOW")))))</f>
        <v>HIGH</v>
      </c>
      <c r="AB27" s="31">
        <f>IF('Field Teams'!$I$5="Inactive",-1,IFERROR((6-T27)+(77-ROW())*0.0001,0))</f>
        <v>2.9049999999999998</v>
      </c>
      <c r="AC27" s="35">
        <f>IF('Field Teams'!$I$5="Inactive",999,IFERROR((6-T27)+(ROW()-3)*0.0001,99))</f>
        <v>2.9024000000000001</v>
      </c>
      <c r="AD27" s="31">
        <f>IF('Field Teams'!$I$28="Inactive",999,IFERROR(AB27+(ROW()-3)*0.0001,99))</f>
        <v>2.9074</v>
      </c>
      <c r="AE27" s="29">
        <v>0</v>
      </c>
      <c r="AF27" s="31" t="str">
        <f>IF('Field Teams'!$I$28="Inactive","",IF(AA27="HIGH","YES - within 5 working days",""))</f>
        <v>YES - within 5 working days</v>
      </c>
      <c r="AG27" s="105"/>
      <c r="AH27" s="49">
        <f>IFERROR(SUMPRODUCT(ISNUMBER(SEARCH(B27,'Pole Results'!$A$13:$A$2000))*('Pole Results'!$B$13:$B$2000&gt;=$AG$3)*('Pole Results'!$B$13:$B$2000&lt;=$AE$3)),0)</f>
        <v>0</v>
      </c>
      <c r="AI27" s="49">
        <f>IFERROR(SUMPRODUCT(ISNUMBER(SEARCH(B27,'Pole Results'!$A$13:$A$2000))*('Pole Results'!$B$13:$B$2000&gt;=$AG$3)*('Pole Results'!$B$13:$B$2000&lt;=$AE$3)*('Pole Results'!$E$13:$E$2000="Compliant")),0)</f>
        <v>0</v>
      </c>
      <c r="AJ27" s="105"/>
      <c r="AK27" s="106">
        <f>IF('Field Teams'!$I$28="Inactive",-1,IF(AA27="HIGH",AB27,-1))</f>
        <v>2.9049999999999998</v>
      </c>
      <c r="AL27" s="106">
        <f>IF('Field Teams'!$I$28="Inactive",-1,IF(OR(AA27="HIGH",AA27="MEDIUM"),AB27,-1))</f>
        <v>2.9049999999999998</v>
      </c>
      <c r="AM27" t="str">
        <f>IF('Field Teams'!$I$28="Inactive","",IF(IFERROR(LOOKUP(2,1/('Historical Scores'!C28:N28&lt;&gt;""),'Historical Scores'!C28:N28),"")="","New",IF(T27=""," ",IF(T27&gt;IFERROR(LOOKUP(2,1/('Historical Scores'!C28:N28&lt;&gt;""),'Historical Scores'!C28:N28),""),"▲ Worsening",IF(T27&lt;IFERROR(LOOKUP(2,1/('Historical Scores'!C28:N28&lt;&gt;""),'Historical Scores'!C28:N28),""),"▼ Improving","► Stable")))))</f>
        <v>New</v>
      </c>
      <c r="AN27">
        <f>IFERROR(SUMPRODUCT((ISNUMBER(SEARCH(B27,'Data - SSV'!AE$6:AE$3000)))*('Data - SSV'!AF$6:AF$3000&gt;=(AJ$3-90))*('Data - SSV'!AF$6:AF$3000&lt;=AJ$3)*('Data - SSV'!AH$6:AH$3000&lt;&gt;"")),0)</f>
        <v>0</v>
      </c>
      <c r="AO27">
        <f>IF('Field Teams'!$I$28="Inactive","",IF(AN27=0,3,IF(AN27=1,IF(IFERROR(SUMPRODUCT((ISNUMBER(SEARCH(B27,'Data - SSV'!AE$6:AE$3000)))*('Data - SSV'!AF$6:AF$3000&gt;=(AJ$3-90))*('Data - SSV'!AF$6:AF$3000&lt;=AJ$3)*('Data - SSV'!AH$6:AH$3000&lt;&gt;"")*IF('Data - SSV'!AH$6:AH$3000="",0,'Data - SSV'!AH$6:AH$3000))/AN27,3)=4,4,IF(IFERROR(SUMPRODUCT((ISNUMBER(SEARCH(B27,'Data - SSV'!AE$6:AE$3000)))*('Data - SSV'!AF$6:AF$3000&gt;=(AJ$3-90))*('Data - SSV'!AF$6:AF$3000&lt;=AJ$3)*('Data - SSV'!AH$6:AH$3000&lt;&gt;"")*IF('Data - SSV'!AH$6:AH$3000="",0,'Data - SSV'!AH$6:AH$3000))/AN27,3)&gt;=3,3,IF(IFERROR(SUMPRODUCT((ISNUMBER(SEARCH(B27,'Data - SSV'!AE$6:AE$3000)))*('Data - SSV'!AF$6:AF$3000&gt;=(AJ$3-90))*('Data - SSV'!AF$6:AF$3000&lt;=AJ$3)*('Data - SSV'!AH$6:AH$3000&lt;&gt;"")*IF('Data - SSV'!AH$6:AH$3000="",0,'Data - SSV'!AH$6:AH$3000))/AN27,3)&gt;=2,2,1))),IF(IFERROR(SUMPRODUCT((ISNUMBER(SEARCH(B27,'Data - SSV'!AE$6:AE$3000)))*('Data - SSV'!AF$6:AF$3000&gt;=(AJ$3-90))*('Data - SSV'!AF$6:AF$3000&lt;=AJ$3)*('Data - SSV'!AH$6:AH$3000&lt;&gt;"")*IF('Data - SSV'!AH$6:AH$3000="",0,'Data - SSV'!AH$6:AH$3000))/AN27,3)=4,5,IF(IFERROR(SUMPRODUCT((ISNUMBER(SEARCH(B27,'Data - SSV'!AE$6:AE$3000)))*('Data - SSV'!AF$6:AF$3000&gt;=(AJ$3-90))*('Data - SSV'!AF$6:AF$3000&lt;=AJ$3)*('Data - SSV'!AH$6:AH$3000&lt;&gt;"")*IF('Data - SSV'!AH$6:AH$3000="",0,'Data - SSV'!AH$6:AH$3000))/AN27,3)&gt;=3.5,4,IF(IFERROR(SUMPRODUCT((ISNUMBER(SEARCH(B27,'Data - SSV'!AE$6:AE$3000)))*('Data - SSV'!AF$6:AF$3000&gt;=(AJ$3-90))*('Data - SSV'!AF$6:AF$3000&lt;=AJ$3)*('Data - SSV'!AH$6:AH$3000&lt;&gt;"")*IF('Data - SSV'!AH$6:AH$3000="",0,'Data - SSV'!AH$6:AH$3000))/AN27,3)&gt;=3,3,IF(IFERROR(SUMPRODUCT((ISNUMBER(SEARCH(B27,'Data - SSV'!AE$6:AE$3000)))*('Data - SSV'!AF$6:AF$3000&gt;=(AJ$3-90))*('Data - SSV'!AF$6:AF$3000&lt;=AJ$3)*('Data - SSV'!AH$6:AH$3000&lt;&gt;"")*IF('Data - SSV'!AH$6:AH$3000="",0,'Data - SSV'!AH$6:AH$3000))/AN27,3)&gt;=2,2,1)))))))</f>
        <v>3</v>
      </c>
    </row>
    <row r="28" spans="1:41" ht="19.5" customHeight="1" x14ac:dyDescent="0.15">
      <c r="A28" s="10" t="str">
        <f>'Field Teams'!A29</f>
        <v>FT-025</v>
      </c>
      <c r="B28" s="30" t="str">
        <f>'Field Teams'!B29</f>
        <v>High Branch</v>
      </c>
      <c r="C28" s="30" t="str">
        <f>'Field Teams'!C29</f>
        <v>Utility Arboriculture</v>
      </c>
      <c r="D28" s="10" t="str">
        <f>'Field Teams'!D29</f>
        <v>Donovan  Gosher</v>
      </c>
      <c r="E28" s="10" t="str">
        <f>'Field Teams'!E29</f>
        <v>Jake Bolwell</v>
      </c>
      <c r="F28" s="10">
        <f>'Field Teams'!F29</f>
        <v>0</v>
      </c>
      <c r="G28" s="10">
        <f>'Field Teams'!G29</f>
        <v>0</v>
      </c>
      <c r="H28" s="31">
        <f>'Field Teams'!H29</f>
        <v>3</v>
      </c>
      <c r="I28" s="31">
        <f t="shared" si="0"/>
        <v>6</v>
      </c>
      <c r="J28" s="31">
        <f>IFERROR(SUMPRODUCT((((ISNUMBER(SEARCH(B28,'Data - HSQE Events'!V$6:V$3000))+ISNUMBER(SEARCH(B28,'Data - HSQE Events'!H$6:H$3000)))&gt;0))*('Data - HSQE Events'!F$6:F$3000&gt;=$AG$3)*('Data - HSQE Events'!F$6:F$3000&lt;=$AJ$3)*('Data - HSQE Events'!R$6:R$3000="Opportunity")),0)</f>
        <v>0</v>
      </c>
      <c r="K28" s="31">
        <f>IFERROR(SUMPRODUCT((((ISNUMBER(SEARCH(B28,'Data - HSQE Events'!V$6:V$3000))+ISNUMBER(SEARCH(B28,'Data - HSQE Events'!H$6:H$3000)))&gt;0))*('Data - HSQE Events'!F$6:F$3000&gt;=$AG$3)*('Data - HSQE Events'!F$6:F$3000&lt;=$AJ$3)*('Data - HSQE Events'!R$6:R$3000="Minor")),0)</f>
        <v>0</v>
      </c>
      <c r="L28" s="31">
        <f>IFERROR(SUMPRODUCT((((ISNUMBER(SEARCH(B28,'Data - HSQE Events'!V$6:V$3000))+ISNUMBER(SEARCH(B28,'Data - HSQE Events'!H$6:H$3000)))&gt;0))*('Data - HSQE Events'!F$6:F$3000&gt;=$AG$3)*('Data - HSQE Events'!F$6:F$3000&lt;=$AJ$3)*(('Data - HSQE Events'!R$6:R$3000="Moderate")+('Data - HSQE Events'!R$6:R$3000="Major"))),0)</f>
        <v>0</v>
      </c>
      <c r="M28" s="31" t="str">
        <f>IF(IFERROR(SUMPRODUCT((((ISNUMBER(SEARCH(B28,'Data - HSQE Events'!V$6:V$3000))+ISNUMBER(SEARCH(B28,'Data - HSQE Events'!H$6:H$3000)))&gt;0))*('Data - HSQE Events'!F$6:F$3000&gt;=$AG$3)*('Data - HSQE Events'!F$6:F$3000&lt;=$AJ$3)*('Data - HSQE Events'!R$6:R$3000="Major")),0)&gt;0,"YES","NO")</f>
        <v>NO</v>
      </c>
      <c r="N28" s="31">
        <f>IFERROR(SUMPRODUCT(('Data - Skillko'!B$6:B$3000=B28)*('Data - Skillko'!C$6:C$3000="Total")*('Data - Skillko'!E$6:E$3000))*100,0)</f>
        <v>100</v>
      </c>
      <c r="O28" s="31">
        <f t="shared" si="1"/>
        <v>5</v>
      </c>
      <c r="P28" s="31">
        <f>IFERROR(SUMPRODUCT(ISNUMBER(SEARCH(B28,'Pole Results'!$A$13:$A$2000))*('Pole Results'!$B$13:$B$2000&gt;=$AG$3)*('Pole Results'!$B$13:$B$2000&lt;=$AE$3)*('Pole Results'!$E$13:$E$2000="Non-Compliant")),0)</f>
        <v>0</v>
      </c>
      <c r="Q28" s="31">
        <f t="shared" si="2"/>
        <v>1</v>
      </c>
      <c r="R28" s="31">
        <f t="shared" si="3"/>
        <v>5</v>
      </c>
      <c r="S28" s="49">
        <f t="shared" si="4"/>
        <v>5</v>
      </c>
      <c r="T28" s="31">
        <f>IF('Field Teams'!$I$29="Inactive","",ROUND((Q28*Settings!$D$6+R28*Settings!$D$7+O28*Settings!$D$10+S28*Settings!$D$12+AO28*Settings!$D$13)/Settings!$D$14,1))</f>
        <v>3.1</v>
      </c>
      <c r="U28" s="115" t="str">
        <f>IF('Field Teams'!$I$29="Inactive","",IF(Q28="","",IF(Q28&gt;=4.5,"★★★★★",IF(Q28&gt;=3.5,"★★★★☆",IF(Q28&gt;=2.5,"★★★☆☆",IF(Q28&gt;=1.5,"★★☆☆☆","★☆☆☆☆"))))))</f>
        <v>★☆☆☆☆</v>
      </c>
      <c r="V28" s="115" t="str">
        <f>IF('Field Teams'!$I$29="Inactive","",IF(R28="","",IF(R28&gt;=4.5,"★★★★★",IF(R28&gt;=3.5,"★★★★☆",IF(R28&gt;=2.5,"★★★☆☆",IF(R28&gt;=1.5,"★★☆☆☆","★☆☆☆☆"))))))</f>
        <v>★★★★★</v>
      </c>
      <c r="W28" s="115" t="str">
        <f>IF('Field Teams'!$I$29="Inactive","",IF(O28="","",IF(O28&gt;=4.5,"★★★★★",IF(O28&gt;=3.5,"★★★★☆",IF(O28&gt;=2.5,"★★★☆☆",IF(O28&gt;=1.5,"★★☆☆☆","★☆☆☆☆"))))))</f>
        <v>★★★★★</v>
      </c>
      <c r="X28" s="115" t="str">
        <f>IF('Field Teams'!$I$29="Inactive","",IF(S28="","",IF(S28&gt;=4.5,"★★★★★",IF(S28&gt;=3.5,"★★★★☆",IF(S28&gt;=2.5,"★★★☆☆",IF(S28&gt;=1.5,"★★☆☆☆","★☆☆☆☆"))))))</f>
        <v>★★★★★</v>
      </c>
      <c r="Y28" s="115" t="str">
        <f>IF('Field Teams'!$I$29="Inactive","",IF(AO28="","",IF(AO28&gt;=4.5,"★★★★★",IF(AO28&gt;=3.5,"★★★★☆",IF(AO28&gt;=2.5,"★★★☆☆",IF(AO28&gt;=1.5,"★★☆☆☆","★☆☆☆☆"))))))</f>
        <v>★★★☆☆</v>
      </c>
      <c r="Z28" s="115" t="str">
        <f>IF('Field Teams'!$I$5="Inactive","",IF(T28="","",IF(T28&gt;=4.5,"★★★★★",IF(T28&gt;=3.5,"★★★★☆",IF(T28&gt;=2.5,"★★★☆☆",IF(T28&gt;=1.5,"★★☆☆☆","★☆☆☆☆"))))))</f>
        <v>★★★☆☆</v>
      </c>
      <c r="AA28" s="31" t="str">
        <f>IF('Field Teams'!$I$29="Inactive","",IF(M28="YES","HIGH",IF(Q28&lt;=Settings!$D$26,"HIGH",IF(T28&lt;=Settings!$D$23,"HIGH",IF(T28&lt;=Settings!$D$24,"MEDIUM","LOW")))))</f>
        <v>HIGH</v>
      </c>
      <c r="AB28" s="31">
        <f>IF('Field Teams'!$I$5="Inactive",-1,IFERROR((6-T28)+(77-ROW())*0.0001,0))</f>
        <v>2.9049</v>
      </c>
      <c r="AC28" s="35">
        <f>IF('Field Teams'!$I$5="Inactive",999,IFERROR((6-T28)+(ROW()-3)*0.0001,99))</f>
        <v>2.9024999999999999</v>
      </c>
      <c r="AD28" s="31">
        <f>IF('Field Teams'!$I$29="Inactive",999,IFERROR(AB28+(ROW()-3)*0.0001,99))</f>
        <v>2.9074</v>
      </c>
      <c r="AE28" s="29">
        <v>0</v>
      </c>
      <c r="AF28" s="31" t="str">
        <f>IF('Field Teams'!$I$29="Inactive","",IF(AA28="HIGH","YES - within 5 working days",""))</f>
        <v>YES - within 5 working days</v>
      </c>
      <c r="AG28" s="105"/>
      <c r="AH28" s="49">
        <f>IFERROR(SUMPRODUCT(ISNUMBER(SEARCH(B28,'Pole Results'!$A$13:$A$2000))*('Pole Results'!$B$13:$B$2000&gt;=$AG$3)*('Pole Results'!$B$13:$B$2000&lt;=$AE$3)),0)</f>
        <v>0</v>
      </c>
      <c r="AI28" s="49">
        <f>IFERROR(SUMPRODUCT(ISNUMBER(SEARCH(B28,'Pole Results'!$A$13:$A$2000))*('Pole Results'!$B$13:$B$2000&gt;=$AG$3)*('Pole Results'!$B$13:$B$2000&lt;=$AE$3)*('Pole Results'!$E$13:$E$2000="Compliant")),0)</f>
        <v>0</v>
      </c>
      <c r="AJ28" s="105"/>
      <c r="AK28" s="106">
        <f>IF('Field Teams'!$I$29="Inactive",-1,IF(AA28="HIGH",AB28,-1))</f>
        <v>2.9049</v>
      </c>
      <c r="AL28" s="106">
        <f>IF('Field Teams'!$I$29="Inactive",-1,IF(OR(AA28="HIGH",AA28="MEDIUM"),AB28,-1))</f>
        <v>2.9049</v>
      </c>
      <c r="AM28" t="str">
        <f>IF('Field Teams'!$I$29="Inactive","",IF(IFERROR(LOOKUP(2,1/('Historical Scores'!C29:N29&lt;&gt;""),'Historical Scores'!C29:N29),"")="","New",IF(T28=""," ",IF(T28&gt;IFERROR(LOOKUP(2,1/('Historical Scores'!C29:N29&lt;&gt;""),'Historical Scores'!C29:N29),""),"▲ Worsening",IF(T28&lt;IFERROR(LOOKUP(2,1/('Historical Scores'!C29:N29&lt;&gt;""),'Historical Scores'!C29:N29),""),"▼ Improving","► Stable")))))</f>
        <v>New</v>
      </c>
      <c r="AN28">
        <f>IFERROR(SUMPRODUCT((ISNUMBER(SEARCH(B28,'Data - SSV'!AE$6:AE$3000)))*('Data - SSV'!AF$6:AF$3000&gt;=(AJ$3-90))*('Data - SSV'!AF$6:AF$3000&lt;=AJ$3)*('Data - SSV'!AH$6:AH$3000&lt;&gt;"")),0)</f>
        <v>0</v>
      </c>
      <c r="AO28">
        <f>IF('Field Teams'!$I$29="Inactive","",IF(AN28=0,3,IF(AN28=1,IF(IFERROR(SUMPRODUCT((ISNUMBER(SEARCH(B28,'Data - SSV'!AE$6:AE$3000)))*('Data - SSV'!AF$6:AF$3000&gt;=(AJ$3-90))*('Data - SSV'!AF$6:AF$3000&lt;=AJ$3)*('Data - SSV'!AH$6:AH$3000&lt;&gt;"")*IF('Data - SSV'!AH$6:AH$3000="",0,'Data - SSV'!AH$6:AH$3000))/AN28,3)=4,4,IF(IFERROR(SUMPRODUCT((ISNUMBER(SEARCH(B28,'Data - SSV'!AE$6:AE$3000)))*('Data - SSV'!AF$6:AF$3000&gt;=(AJ$3-90))*('Data - SSV'!AF$6:AF$3000&lt;=AJ$3)*('Data - SSV'!AH$6:AH$3000&lt;&gt;"")*IF('Data - SSV'!AH$6:AH$3000="",0,'Data - SSV'!AH$6:AH$3000))/AN28,3)&gt;=3,3,IF(IFERROR(SUMPRODUCT((ISNUMBER(SEARCH(B28,'Data - SSV'!AE$6:AE$3000)))*('Data - SSV'!AF$6:AF$3000&gt;=(AJ$3-90))*('Data - SSV'!AF$6:AF$3000&lt;=AJ$3)*('Data - SSV'!AH$6:AH$3000&lt;&gt;"")*IF('Data - SSV'!AH$6:AH$3000="",0,'Data - SSV'!AH$6:AH$3000))/AN28,3)&gt;=2,2,1))),IF(IFERROR(SUMPRODUCT((ISNUMBER(SEARCH(B28,'Data - SSV'!AE$6:AE$3000)))*('Data - SSV'!AF$6:AF$3000&gt;=(AJ$3-90))*('Data - SSV'!AF$6:AF$3000&lt;=AJ$3)*('Data - SSV'!AH$6:AH$3000&lt;&gt;"")*IF('Data - SSV'!AH$6:AH$3000="",0,'Data - SSV'!AH$6:AH$3000))/AN28,3)=4,5,IF(IFERROR(SUMPRODUCT((ISNUMBER(SEARCH(B28,'Data - SSV'!AE$6:AE$3000)))*('Data - SSV'!AF$6:AF$3000&gt;=(AJ$3-90))*('Data - SSV'!AF$6:AF$3000&lt;=AJ$3)*('Data - SSV'!AH$6:AH$3000&lt;&gt;"")*IF('Data - SSV'!AH$6:AH$3000="",0,'Data - SSV'!AH$6:AH$3000))/AN28,3)&gt;=3.5,4,IF(IFERROR(SUMPRODUCT((ISNUMBER(SEARCH(B28,'Data - SSV'!AE$6:AE$3000)))*('Data - SSV'!AF$6:AF$3000&gt;=(AJ$3-90))*('Data - SSV'!AF$6:AF$3000&lt;=AJ$3)*('Data - SSV'!AH$6:AH$3000&lt;&gt;"")*IF('Data - SSV'!AH$6:AH$3000="",0,'Data - SSV'!AH$6:AH$3000))/AN28,3)&gt;=3,3,IF(IFERROR(SUMPRODUCT((ISNUMBER(SEARCH(B28,'Data - SSV'!AE$6:AE$3000)))*('Data - SSV'!AF$6:AF$3000&gt;=(AJ$3-90))*('Data - SSV'!AF$6:AF$3000&lt;=AJ$3)*('Data - SSV'!AH$6:AH$3000&lt;&gt;"")*IF('Data - SSV'!AH$6:AH$3000="",0,'Data - SSV'!AH$6:AH$3000))/AN28,3)&gt;=2,2,1)))))))</f>
        <v>3</v>
      </c>
    </row>
    <row r="29" spans="1:41" ht="19.5" customHeight="1" x14ac:dyDescent="0.15">
      <c r="A29" s="6" t="str">
        <f>'Field Teams'!A30</f>
        <v>FT-026</v>
      </c>
      <c r="B29" s="28" t="str">
        <f>'Field Teams'!B30</f>
        <v>Housman Tree Services Ltd</v>
      </c>
      <c r="C29" s="28" t="str">
        <f>'Field Teams'!C30</f>
        <v>Utility Arboriculture</v>
      </c>
      <c r="D29" s="6" t="str">
        <f>'Field Teams'!D30</f>
        <v>Donovan  Gosher</v>
      </c>
      <c r="E29" s="6" t="str">
        <f>'Field Teams'!E30</f>
        <v>Jake Bolwell</v>
      </c>
      <c r="F29" s="6">
        <f>'Field Teams'!F30</f>
        <v>0</v>
      </c>
      <c r="G29" s="6">
        <f>'Field Teams'!G30</f>
        <v>0</v>
      </c>
      <c r="H29" s="31">
        <f>'Field Teams'!H30</f>
        <v>7</v>
      </c>
      <c r="I29" s="31">
        <f t="shared" si="0"/>
        <v>14</v>
      </c>
      <c r="J29" s="31">
        <f>IFERROR(SUMPRODUCT((((ISNUMBER(SEARCH(B29,'Data - HSQE Events'!V$6:V$3000))+ISNUMBER(SEARCH(B29,'Data - HSQE Events'!H$6:H$3000)))&gt;0))*('Data - HSQE Events'!F$6:F$3000&gt;=$AG$3)*('Data - HSQE Events'!F$6:F$3000&lt;=$AJ$3)*('Data - HSQE Events'!R$6:R$3000="Opportunity")),0)</f>
        <v>0</v>
      </c>
      <c r="K29" s="31">
        <f>IFERROR(SUMPRODUCT((((ISNUMBER(SEARCH(B29,'Data - HSQE Events'!V$6:V$3000))+ISNUMBER(SEARCH(B29,'Data - HSQE Events'!H$6:H$3000)))&gt;0))*('Data - HSQE Events'!F$6:F$3000&gt;=$AG$3)*('Data - HSQE Events'!F$6:F$3000&lt;=$AJ$3)*('Data - HSQE Events'!R$6:R$3000="Minor")),0)</f>
        <v>0</v>
      </c>
      <c r="L29" s="31">
        <f>IFERROR(SUMPRODUCT((((ISNUMBER(SEARCH(B29,'Data - HSQE Events'!V$6:V$3000))+ISNUMBER(SEARCH(B29,'Data - HSQE Events'!H$6:H$3000)))&gt;0))*('Data - HSQE Events'!F$6:F$3000&gt;=$AG$3)*('Data - HSQE Events'!F$6:F$3000&lt;=$AJ$3)*(('Data - HSQE Events'!R$6:R$3000="Moderate")+('Data - HSQE Events'!R$6:R$3000="Major"))),0)</f>
        <v>0</v>
      </c>
      <c r="M29" s="31" t="str">
        <f>IF(IFERROR(SUMPRODUCT((((ISNUMBER(SEARCH(B29,'Data - HSQE Events'!V$6:V$3000))+ISNUMBER(SEARCH(B29,'Data - HSQE Events'!H$6:H$3000)))&gt;0))*('Data - HSQE Events'!F$6:F$3000&gt;=$AG$3)*('Data - HSQE Events'!F$6:F$3000&lt;=$AJ$3)*('Data - HSQE Events'!R$6:R$3000="Major")),0)&gt;0,"YES","NO")</f>
        <v>NO</v>
      </c>
      <c r="N29" s="31">
        <f>IFERROR(SUMPRODUCT(('Data - Skillko'!B$6:B$3000=B29)*('Data - Skillko'!C$6:C$3000="Total")*('Data - Skillko'!E$6:E$3000))*100,0)</f>
        <v>72</v>
      </c>
      <c r="O29" s="31">
        <f t="shared" si="1"/>
        <v>3.9</v>
      </c>
      <c r="P29" s="31">
        <f>IFERROR(SUMPRODUCT(ISNUMBER(SEARCH(B29,'Pole Results'!$A$13:$A$2000))*('Pole Results'!$B$13:$B$2000&gt;=$AG$3)*('Pole Results'!$B$13:$B$2000&lt;=$AE$3)*('Pole Results'!$E$13:$E$2000="Non-Compliant")),0)</f>
        <v>0</v>
      </c>
      <c r="Q29" s="31">
        <f t="shared" si="2"/>
        <v>1</v>
      </c>
      <c r="R29" s="31">
        <f t="shared" si="3"/>
        <v>5</v>
      </c>
      <c r="S29" s="49">
        <f t="shared" si="4"/>
        <v>5</v>
      </c>
      <c r="T29" s="31">
        <f>IF('Field Teams'!$I$30="Inactive","",ROUND((Q29*Settings!$D$6+R29*Settings!$D$7+O29*Settings!$D$10+S29*Settings!$D$12+AO29*Settings!$D$13)/Settings!$D$14,1))</f>
        <v>2.9</v>
      </c>
      <c r="U29" s="115" t="str">
        <f>IF('Field Teams'!$I$30="Inactive","",IF(Q29="","",IF(Q29&gt;=4.5,"★★★★★",IF(Q29&gt;=3.5,"★★★★☆",IF(Q29&gt;=2.5,"★★★☆☆",IF(Q29&gt;=1.5,"★★☆☆☆","★☆☆☆☆"))))))</f>
        <v>★☆☆☆☆</v>
      </c>
      <c r="V29" s="115" t="str">
        <f>IF('Field Teams'!$I$30="Inactive","",IF(R29="","",IF(R29&gt;=4.5,"★★★★★",IF(R29&gt;=3.5,"★★★★☆",IF(R29&gt;=2.5,"★★★☆☆",IF(R29&gt;=1.5,"★★☆☆☆","★☆☆☆☆"))))))</f>
        <v>★★★★★</v>
      </c>
      <c r="W29" s="115" t="str">
        <f>IF('Field Teams'!$I$30="Inactive","",IF(O29="","",IF(O29&gt;=4.5,"★★★★★",IF(O29&gt;=3.5,"★★★★☆",IF(O29&gt;=2.5,"★★★☆☆",IF(O29&gt;=1.5,"★★☆☆☆","★☆☆☆☆"))))))</f>
        <v>★★★★☆</v>
      </c>
      <c r="X29" s="115" t="str">
        <f>IF('Field Teams'!$I$30="Inactive","",IF(S29="","",IF(S29&gt;=4.5,"★★★★★",IF(S29&gt;=3.5,"★★★★☆",IF(S29&gt;=2.5,"★★★☆☆",IF(S29&gt;=1.5,"★★☆☆☆","★☆☆☆☆"))))))</f>
        <v>★★★★★</v>
      </c>
      <c r="Y29" s="115" t="str">
        <f>IF('Field Teams'!$I$30="Inactive","",IF(AO29="","",IF(AO29&gt;=4.5,"★★★★★",IF(AO29&gt;=3.5,"★★★★☆",IF(AO29&gt;=2.5,"★★★☆☆",IF(AO29&gt;=1.5,"★★☆☆☆","★☆☆☆☆"))))))</f>
        <v>★★★☆☆</v>
      </c>
      <c r="Z29" s="115" t="str">
        <f>IF('Field Teams'!$I$5="Inactive","",IF(T29="","",IF(T29&gt;=4.5,"★★★★★",IF(T29&gt;=3.5,"★★★★☆",IF(T29&gt;=2.5,"★★★☆☆",IF(T29&gt;=1.5,"★★☆☆☆","★☆☆☆☆"))))))</f>
        <v>★★★☆☆</v>
      </c>
      <c r="AA29" s="31" t="str">
        <f>IF('Field Teams'!$I$30="Inactive","",IF(M29="YES","HIGH",IF(Q29&lt;=Settings!$D$26,"HIGH",IF(T29&lt;=Settings!$D$23,"HIGH",IF(T29&lt;=Settings!$D$24,"MEDIUM","LOW")))))</f>
        <v>HIGH</v>
      </c>
      <c r="AB29" s="31">
        <f>IF('Field Teams'!$I$5="Inactive",-1,IFERROR((6-T29)+(77-ROW())*0.0001,0))</f>
        <v>3.1048</v>
      </c>
      <c r="AC29" s="35">
        <f>IF('Field Teams'!$I$5="Inactive",999,IFERROR((6-T29)+(ROW()-3)*0.0001,99))</f>
        <v>3.1026000000000002</v>
      </c>
      <c r="AD29" s="31">
        <f>IF('Field Teams'!$I$30="Inactive",999,IFERROR(AB29+(ROW()-3)*0.0001,99))</f>
        <v>3.1074000000000002</v>
      </c>
      <c r="AE29" s="29">
        <v>0</v>
      </c>
      <c r="AF29" s="31" t="str">
        <f>IF('Field Teams'!$I$30="Inactive","",IF(AA29="HIGH","YES - within 5 working days",""))</f>
        <v>YES - within 5 working days</v>
      </c>
      <c r="AG29" s="105"/>
      <c r="AH29" s="49">
        <f>IFERROR(SUMPRODUCT(ISNUMBER(SEARCH(B29,'Pole Results'!$A$13:$A$2000))*('Pole Results'!$B$13:$B$2000&gt;=$AG$3)*('Pole Results'!$B$13:$B$2000&lt;=$AE$3)),0)</f>
        <v>0</v>
      </c>
      <c r="AI29" s="49">
        <f>IFERROR(SUMPRODUCT(ISNUMBER(SEARCH(B29,'Pole Results'!$A$13:$A$2000))*('Pole Results'!$B$13:$B$2000&gt;=$AG$3)*('Pole Results'!$B$13:$B$2000&lt;=$AE$3)*('Pole Results'!$E$13:$E$2000="Compliant")),0)</f>
        <v>0</v>
      </c>
      <c r="AJ29" s="105"/>
      <c r="AK29" s="106">
        <f>IF('Field Teams'!$I$30="Inactive",-1,IF(AA29="HIGH",AB29,-1))</f>
        <v>3.1048</v>
      </c>
      <c r="AL29" s="106">
        <f>IF('Field Teams'!$I$30="Inactive",-1,IF(OR(AA29="HIGH",AA29="MEDIUM"),AB29,-1))</f>
        <v>3.1048</v>
      </c>
      <c r="AM29" t="str">
        <f>IF('Field Teams'!$I$30="Inactive","",IF(IFERROR(LOOKUP(2,1/('Historical Scores'!C30:N30&lt;&gt;""),'Historical Scores'!C30:N30),"")="","New",IF(T29=""," ",IF(T29&gt;IFERROR(LOOKUP(2,1/('Historical Scores'!C30:N30&lt;&gt;""),'Historical Scores'!C30:N30),""),"▲ Worsening",IF(T29&lt;IFERROR(LOOKUP(2,1/('Historical Scores'!C30:N30&lt;&gt;""),'Historical Scores'!C30:N30),""),"▼ Improving","► Stable")))))</f>
        <v>New</v>
      </c>
      <c r="AN29">
        <f>IFERROR(SUMPRODUCT((ISNUMBER(SEARCH(B29,'Data - SSV'!AE$6:AE$3000)))*('Data - SSV'!AF$6:AF$3000&gt;=(AJ$3-90))*('Data - SSV'!AF$6:AF$3000&lt;=AJ$3)*('Data - SSV'!AH$6:AH$3000&lt;&gt;"")),0)</f>
        <v>0</v>
      </c>
      <c r="AO29">
        <f>IF('Field Teams'!$I$30="Inactive","",IF(AN29=0,3,IF(AN29=1,IF(IFERROR(SUMPRODUCT((ISNUMBER(SEARCH(B29,'Data - SSV'!AE$6:AE$3000)))*('Data - SSV'!AF$6:AF$3000&gt;=(AJ$3-90))*('Data - SSV'!AF$6:AF$3000&lt;=AJ$3)*('Data - SSV'!AH$6:AH$3000&lt;&gt;"")*IF('Data - SSV'!AH$6:AH$3000="",0,'Data - SSV'!AH$6:AH$3000))/AN29,3)=4,4,IF(IFERROR(SUMPRODUCT((ISNUMBER(SEARCH(B29,'Data - SSV'!AE$6:AE$3000)))*('Data - SSV'!AF$6:AF$3000&gt;=(AJ$3-90))*('Data - SSV'!AF$6:AF$3000&lt;=AJ$3)*('Data - SSV'!AH$6:AH$3000&lt;&gt;"")*IF('Data - SSV'!AH$6:AH$3000="",0,'Data - SSV'!AH$6:AH$3000))/AN29,3)&gt;=3,3,IF(IFERROR(SUMPRODUCT((ISNUMBER(SEARCH(B29,'Data - SSV'!AE$6:AE$3000)))*('Data - SSV'!AF$6:AF$3000&gt;=(AJ$3-90))*('Data - SSV'!AF$6:AF$3000&lt;=AJ$3)*('Data - SSV'!AH$6:AH$3000&lt;&gt;"")*IF('Data - SSV'!AH$6:AH$3000="",0,'Data - SSV'!AH$6:AH$3000))/AN29,3)&gt;=2,2,1))),IF(IFERROR(SUMPRODUCT((ISNUMBER(SEARCH(B29,'Data - SSV'!AE$6:AE$3000)))*('Data - SSV'!AF$6:AF$3000&gt;=(AJ$3-90))*('Data - SSV'!AF$6:AF$3000&lt;=AJ$3)*('Data - SSV'!AH$6:AH$3000&lt;&gt;"")*IF('Data - SSV'!AH$6:AH$3000="",0,'Data - SSV'!AH$6:AH$3000))/AN29,3)=4,5,IF(IFERROR(SUMPRODUCT((ISNUMBER(SEARCH(B29,'Data - SSV'!AE$6:AE$3000)))*('Data - SSV'!AF$6:AF$3000&gt;=(AJ$3-90))*('Data - SSV'!AF$6:AF$3000&lt;=AJ$3)*('Data - SSV'!AH$6:AH$3000&lt;&gt;"")*IF('Data - SSV'!AH$6:AH$3000="",0,'Data - SSV'!AH$6:AH$3000))/AN29,3)&gt;=3.5,4,IF(IFERROR(SUMPRODUCT((ISNUMBER(SEARCH(B29,'Data - SSV'!AE$6:AE$3000)))*('Data - SSV'!AF$6:AF$3000&gt;=(AJ$3-90))*('Data - SSV'!AF$6:AF$3000&lt;=AJ$3)*('Data - SSV'!AH$6:AH$3000&lt;&gt;"")*IF('Data - SSV'!AH$6:AH$3000="",0,'Data - SSV'!AH$6:AH$3000))/AN29,3)&gt;=3,3,IF(IFERROR(SUMPRODUCT((ISNUMBER(SEARCH(B29,'Data - SSV'!AE$6:AE$3000)))*('Data - SSV'!AF$6:AF$3000&gt;=(AJ$3-90))*('Data - SSV'!AF$6:AF$3000&lt;=AJ$3)*('Data - SSV'!AH$6:AH$3000&lt;&gt;"")*IF('Data - SSV'!AH$6:AH$3000="",0,'Data - SSV'!AH$6:AH$3000))/AN29,3)&gt;=2,2,1)))))))</f>
        <v>3</v>
      </c>
    </row>
    <row r="30" spans="1:41" ht="19.5" customHeight="1" x14ac:dyDescent="0.15">
      <c r="A30" s="10" t="str">
        <f>'Field Teams'!A31</f>
        <v>FT-027</v>
      </c>
      <c r="B30" s="30" t="str">
        <f>'Field Teams'!B31</f>
        <v>JPAS Contracting Ltd</v>
      </c>
      <c r="C30" s="30" t="str">
        <f>'Field Teams'!C31</f>
        <v>Utility Arboriculture</v>
      </c>
      <c r="D30" s="10" t="str">
        <f>'Field Teams'!D31</f>
        <v>Donovan  Gosher</v>
      </c>
      <c r="E30" s="10" t="str">
        <f>'Field Teams'!E31</f>
        <v>Jake Bolwell</v>
      </c>
      <c r="F30" s="10">
        <f>'Field Teams'!F31</f>
        <v>0</v>
      </c>
      <c r="G30" s="10">
        <f>'Field Teams'!G31</f>
        <v>0</v>
      </c>
      <c r="H30" s="31">
        <f>'Field Teams'!H31</f>
        <v>6</v>
      </c>
      <c r="I30" s="31">
        <f t="shared" si="0"/>
        <v>12</v>
      </c>
      <c r="J30" s="31">
        <f>IFERROR(SUMPRODUCT((((ISNUMBER(SEARCH(B30,'Data - HSQE Events'!V$6:V$3000))+ISNUMBER(SEARCH(B30,'Data - HSQE Events'!H$6:H$3000)))&gt;0))*('Data - HSQE Events'!F$6:F$3000&gt;=$AG$3)*('Data - HSQE Events'!F$6:F$3000&lt;=$AJ$3)*('Data - HSQE Events'!R$6:R$3000="Opportunity")),0)</f>
        <v>0</v>
      </c>
      <c r="K30" s="31">
        <f>IFERROR(SUMPRODUCT((((ISNUMBER(SEARCH(B30,'Data - HSQE Events'!V$6:V$3000))+ISNUMBER(SEARCH(B30,'Data - HSQE Events'!H$6:H$3000)))&gt;0))*('Data - HSQE Events'!F$6:F$3000&gt;=$AG$3)*('Data - HSQE Events'!F$6:F$3000&lt;=$AJ$3)*('Data - HSQE Events'!R$6:R$3000="Minor")),0)</f>
        <v>0</v>
      </c>
      <c r="L30" s="31">
        <f>IFERROR(SUMPRODUCT((((ISNUMBER(SEARCH(B30,'Data - HSQE Events'!V$6:V$3000))+ISNUMBER(SEARCH(B30,'Data - HSQE Events'!H$6:H$3000)))&gt;0))*('Data - HSQE Events'!F$6:F$3000&gt;=$AG$3)*('Data - HSQE Events'!F$6:F$3000&lt;=$AJ$3)*(('Data - HSQE Events'!R$6:R$3000="Moderate")+('Data - HSQE Events'!R$6:R$3000="Major"))),0)</f>
        <v>0</v>
      </c>
      <c r="M30" s="31" t="str">
        <f>IF(IFERROR(SUMPRODUCT((((ISNUMBER(SEARCH(B30,'Data - HSQE Events'!V$6:V$3000))+ISNUMBER(SEARCH(B30,'Data - HSQE Events'!H$6:H$3000)))&gt;0))*('Data - HSQE Events'!F$6:F$3000&gt;=$AG$3)*('Data - HSQE Events'!F$6:F$3000&lt;=$AJ$3)*('Data - HSQE Events'!R$6:R$3000="Major")),0)&gt;0,"YES","NO")</f>
        <v>NO</v>
      </c>
      <c r="N30" s="31">
        <f>IFERROR(SUMPRODUCT(('Data - Skillko'!B$6:B$3000=B30)*('Data - Skillko'!C$6:C$3000="Total")*('Data - Skillko'!E$6:E$3000))*100,0)</f>
        <v>50</v>
      </c>
      <c r="O30" s="31">
        <f t="shared" si="1"/>
        <v>3</v>
      </c>
      <c r="P30" s="31">
        <f>IFERROR(SUMPRODUCT(ISNUMBER(SEARCH(B30,'Pole Results'!$A$13:$A$2000))*('Pole Results'!$B$13:$B$2000&gt;=$AG$3)*('Pole Results'!$B$13:$B$2000&lt;=$AE$3)*('Pole Results'!$E$13:$E$2000="Non-Compliant")),0)</f>
        <v>0</v>
      </c>
      <c r="Q30" s="31">
        <f t="shared" si="2"/>
        <v>1</v>
      </c>
      <c r="R30" s="31">
        <f t="shared" si="3"/>
        <v>5</v>
      </c>
      <c r="S30" s="49">
        <f t="shared" si="4"/>
        <v>5</v>
      </c>
      <c r="T30" s="31">
        <f>IF('Field Teams'!$I$31="Inactive","",ROUND((Q30*Settings!$D$6+R30*Settings!$D$7+O30*Settings!$D$10+S30*Settings!$D$12+AO30*Settings!$D$13)/Settings!$D$14,1))</f>
        <v>2.8</v>
      </c>
      <c r="U30" s="115" t="str">
        <f>IF('Field Teams'!$I$31="Inactive","",IF(Q30="","",IF(Q30&gt;=4.5,"★★★★★",IF(Q30&gt;=3.5,"★★★★☆",IF(Q30&gt;=2.5,"★★★☆☆",IF(Q30&gt;=1.5,"★★☆☆☆","★☆☆☆☆"))))))</f>
        <v>★☆☆☆☆</v>
      </c>
      <c r="V30" s="115" t="str">
        <f>IF('Field Teams'!$I$31="Inactive","",IF(R30="","",IF(R30&gt;=4.5,"★★★★★",IF(R30&gt;=3.5,"★★★★☆",IF(R30&gt;=2.5,"★★★☆☆",IF(R30&gt;=1.5,"★★☆☆☆","★☆☆☆☆"))))))</f>
        <v>★★★★★</v>
      </c>
      <c r="W30" s="115" t="str">
        <f>IF('Field Teams'!$I$31="Inactive","",IF(O30="","",IF(O30&gt;=4.5,"★★★★★",IF(O30&gt;=3.5,"★★★★☆",IF(O30&gt;=2.5,"★★★☆☆",IF(O30&gt;=1.5,"★★☆☆☆","★☆☆☆☆"))))))</f>
        <v>★★★☆☆</v>
      </c>
      <c r="X30" s="115" t="str">
        <f>IF('Field Teams'!$I$31="Inactive","",IF(S30="","",IF(S30&gt;=4.5,"★★★★★",IF(S30&gt;=3.5,"★★★★☆",IF(S30&gt;=2.5,"★★★☆☆",IF(S30&gt;=1.5,"★★☆☆☆","★☆☆☆☆"))))))</f>
        <v>★★★★★</v>
      </c>
      <c r="Y30" s="115" t="str">
        <f>IF('Field Teams'!$I$31="Inactive","",IF(AO30="","",IF(AO30&gt;=4.5,"★★★★★",IF(AO30&gt;=3.5,"★★★★☆",IF(AO30&gt;=2.5,"★★★☆☆",IF(AO30&gt;=1.5,"★★☆☆☆","★☆☆☆☆"))))))</f>
        <v>★★★☆☆</v>
      </c>
      <c r="Z30" s="115" t="str">
        <f>IF('Field Teams'!$I$5="Inactive","",IF(T30="","",IF(T30&gt;=4.5,"★★★★★",IF(T30&gt;=3.5,"★★★★☆",IF(T30&gt;=2.5,"★★★☆☆",IF(T30&gt;=1.5,"★★☆☆☆","★☆☆☆☆"))))))</f>
        <v>★★★☆☆</v>
      </c>
      <c r="AA30" s="31" t="str">
        <f>IF('Field Teams'!$I$31="Inactive","",IF(M30="YES","HIGH",IF(Q30&lt;=Settings!$D$26,"HIGH",IF(T30&lt;=Settings!$D$23,"HIGH",IF(T30&lt;=Settings!$D$24,"MEDIUM","LOW")))))</f>
        <v>HIGH</v>
      </c>
      <c r="AB30" s="31">
        <f>IF('Field Teams'!$I$5="Inactive",-1,IFERROR((6-T30)+(77-ROW())*0.0001,0))</f>
        <v>3.2047000000000003</v>
      </c>
      <c r="AC30" s="35">
        <f>IF('Field Teams'!$I$5="Inactive",999,IFERROR((6-T30)+(ROW()-3)*0.0001,99))</f>
        <v>3.2027000000000001</v>
      </c>
      <c r="AD30" s="31">
        <f>IF('Field Teams'!$I$31="Inactive",999,IFERROR(AB30+(ROW()-3)*0.0001,99))</f>
        <v>3.2074000000000003</v>
      </c>
      <c r="AE30" s="29">
        <v>0</v>
      </c>
      <c r="AF30" s="31" t="str">
        <f>IF('Field Teams'!$I$31="Inactive","",IF(AA30="HIGH","YES - within 5 working days",""))</f>
        <v>YES - within 5 working days</v>
      </c>
      <c r="AG30" s="105"/>
      <c r="AH30" s="49">
        <f>IFERROR(SUMPRODUCT(ISNUMBER(SEARCH(B30,'Pole Results'!$A$13:$A$2000))*('Pole Results'!$B$13:$B$2000&gt;=$AG$3)*('Pole Results'!$B$13:$B$2000&lt;=$AE$3)),0)</f>
        <v>0</v>
      </c>
      <c r="AI30" s="49">
        <f>IFERROR(SUMPRODUCT(ISNUMBER(SEARCH(B30,'Pole Results'!$A$13:$A$2000))*('Pole Results'!$B$13:$B$2000&gt;=$AG$3)*('Pole Results'!$B$13:$B$2000&lt;=$AE$3)*('Pole Results'!$E$13:$E$2000="Compliant")),0)</f>
        <v>0</v>
      </c>
      <c r="AJ30" s="105"/>
      <c r="AK30" s="106">
        <f>IF('Field Teams'!$I$31="Inactive",-1,IF(AA30="HIGH",AB30,-1))</f>
        <v>3.2047000000000003</v>
      </c>
      <c r="AL30" s="106">
        <f>IF('Field Teams'!$I$31="Inactive",-1,IF(OR(AA30="HIGH",AA30="MEDIUM"),AB30,-1))</f>
        <v>3.2047000000000003</v>
      </c>
      <c r="AM30" t="str">
        <f>IF('Field Teams'!$I$31="Inactive","",IF(IFERROR(LOOKUP(2,1/('Historical Scores'!C31:N31&lt;&gt;""),'Historical Scores'!C31:N31),"")="","New",IF(T30=""," ",IF(T30&gt;IFERROR(LOOKUP(2,1/('Historical Scores'!C31:N31&lt;&gt;""),'Historical Scores'!C31:N31),""),"▲ Worsening",IF(T30&lt;IFERROR(LOOKUP(2,1/('Historical Scores'!C31:N31&lt;&gt;""),'Historical Scores'!C31:N31),""),"▼ Improving","► Stable")))))</f>
        <v>New</v>
      </c>
      <c r="AN30">
        <f>IFERROR(SUMPRODUCT((ISNUMBER(SEARCH(B30,'Data - SSV'!AE$6:AE$3000)))*('Data - SSV'!AF$6:AF$3000&gt;=(AJ$3-90))*('Data - SSV'!AF$6:AF$3000&lt;=AJ$3)*('Data - SSV'!AH$6:AH$3000&lt;&gt;"")),0)</f>
        <v>0</v>
      </c>
      <c r="AO30">
        <f>IF('Field Teams'!$I$31="Inactive","",IF(AN30=0,3,IF(AN30=1,IF(IFERROR(SUMPRODUCT((ISNUMBER(SEARCH(B30,'Data - SSV'!AE$6:AE$3000)))*('Data - SSV'!AF$6:AF$3000&gt;=(AJ$3-90))*('Data - SSV'!AF$6:AF$3000&lt;=AJ$3)*('Data - SSV'!AH$6:AH$3000&lt;&gt;"")*IF('Data - SSV'!AH$6:AH$3000="",0,'Data - SSV'!AH$6:AH$3000))/AN30,3)=4,4,IF(IFERROR(SUMPRODUCT((ISNUMBER(SEARCH(B30,'Data - SSV'!AE$6:AE$3000)))*('Data - SSV'!AF$6:AF$3000&gt;=(AJ$3-90))*('Data - SSV'!AF$6:AF$3000&lt;=AJ$3)*('Data - SSV'!AH$6:AH$3000&lt;&gt;"")*IF('Data - SSV'!AH$6:AH$3000="",0,'Data - SSV'!AH$6:AH$3000))/AN30,3)&gt;=3,3,IF(IFERROR(SUMPRODUCT((ISNUMBER(SEARCH(B30,'Data - SSV'!AE$6:AE$3000)))*('Data - SSV'!AF$6:AF$3000&gt;=(AJ$3-90))*('Data - SSV'!AF$6:AF$3000&lt;=AJ$3)*('Data - SSV'!AH$6:AH$3000&lt;&gt;"")*IF('Data - SSV'!AH$6:AH$3000="",0,'Data - SSV'!AH$6:AH$3000))/AN30,3)&gt;=2,2,1))),IF(IFERROR(SUMPRODUCT((ISNUMBER(SEARCH(B30,'Data - SSV'!AE$6:AE$3000)))*('Data - SSV'!AF$6:AF$3000&gt;=(AJ$3-90))*('Data - SSV'!AF$6:AF$3000&lt;=AJ$3)*('Data - SSV'!AH$6:AH$3000&lt;&gt;"")*IF('Data - SSV'!AH$6:AH$3000="",0,'Data - SSV'!AH$6:AH$3000))/AN30,3)=4,5,IF(IFERROR(SUMPRODUCT((ISNUMBER(SEARCH(B30,'Data - SSV'!AE$6:AE$3000)))*('Data - SSV'!AF$6:AF$3000&gt;=(AJ$3-90))*('Data - SSV'!AF$6:AF$3000&lt;=AJ$3)*('Data - SSV'!AH$6:AH$3000&lt;&gt;"")*IF('Data - SSV'!AH$6:AH$3000="",0,'Data - SSV'!AH$6:AH$3000))/AN30,3)&gt;=3.5,4,IF(IFERROR(SUMPRODUCT((ISNUMBER(SEARCH(B30,'Data - SSV'!AE$6:AE$3000)))*('Data - SSV'!AF$6:AF$3000&gt;=(AJ$3-90))*('Data - SSV'!AF$6:AF$3000&lt;=AJ$3)*('Data - SSV'!AH$6:AH$3000&lt;&gt;"")*IF('Data - SSV'!AH$6:AH$3000="",0,'Data - SSV'!AH$6:AH$3000))/AN30,3)&gt;=3,3,IF(IFERROR(SUMPRODUCT((ISNUMBER(SEARCH(B30,'Data - SSV'!AE$6:AE$3000)))*('Data - SSV'!AF$6:AF$3000&gt;=(AJ$3-90))*('Data - SSV'!AF$6:AF$3000&lt;=AJ$3)*('Data - SSV'!AH$6:AH$3000&lt;&gt;"")*IF('Data - SSV'!AH$6:AH$3000="",0,'Data - SSV'!AH$6:AH$3000))/AN30,3)&gt;=2,2,1)))))))</f>
        <v>3</v>
      </c>
    </row>
    <row r="31" spans="1:41" ht="19.5" customHeight="1" x14ac:dyDescent="0.15">
      <c r="A31" s="6" t="str">
        <f>'Field Teams'!A32</f>
        <v>FT-028</v>
      </c>
      <c r="B31" s="28" t="str">
        <f>'Field Teams'!B32</f>
        <v>MJR Tree Works</v>
      </c>
      <c r="C31" s="28" t="str">
        <f>'Field Teams'!C32</f>
        <v>Utility Arboriculture</v>
      </c>
      <c r="D31" s="6" t="str">
        <f>'Field Teams'!D32</f>
        <v>Donovan  Gosher</v>
      </c>
      <c r="E31" s="6" t="str">
        <f>'Field Teams'!E32</f>
        <v>Jake Bolwell</v>
      </c>
      <c r="F31" s="6">
        <f>'Field Teams'!F32</f>
        <v>0</v>
      </c>
      <c r="G31" s="6">
        <f>'Field Teams'!G32</f>
        <v>0</v>
      </c>
      <c r="H31" s="31">
        <f>'Field Teams'!H32</f>
        <v>3</v>
      </c>
      <c r="I31" s="31">
        <f t="shared" si="0"/>
        <v>6</v>
      </c>
      <c r="J31" s="31">
        <f>IFERROR(SUMPRODUCT((((ISNUMBER(SEARCH(B31,'Data - HSQE Events'!V$6:V$3000))+ISNUMBER(SEARCH(B31,'Data - HSQE Events'!H$6:H$3000)))&gt;0))*('Data - HSQE Events'!F$6:F$3000&gt;=$AG$3)*('Data - HSQE Events'!F$6:F$3000&lt;=$AJ$3)*('Data - HSQE Events'!R$6:R$3000="Opportunity")),0)</f>
        <v>0</v>
      </c>
      <c r="K31" s="31">
        <f>IFERROR(SUMPRODUCT((((ISNUMBER(SEARCH(B31,'Data - HSQE Events'!V$6:V$3000))+ISNUMBER(SEARCH(B31,'Data - HSQE Events'!H$6:H$3000)))&gt;0))*('Data - HSQE Events'!F$6:F$3000&gt;=$AG$3)*('Data - HSQE Events'!F$6:F$3000&lt;=$AJ$3)*('Data - HSQE Events'!R$6:R$3000="Minor")),0)</f>
        <v>0</v>
      </c>
      <c r="L31" s="31">
        <f>IFERROR(SUMPRODUCT((((ISNUMBER(SEARCH(B31,'Data - HSQE Events'!V$6:V$3000))+ISNUMBER(SEARCH(B31,'Data - HSQE Events'!H$6:H$3000)))&gt;0))*('Data - HSQE Events'!F$6:F$3000&gt;=$AG$3)*('Data - HSQE Events'!F$6:F$3000&lt;=$AJ$3)*(('Data - HSQE Events'!R$6:R$3000="Moderate")+('Data - HSQE Events'!R$6:R$3000="Major"))),0)</f>
        <v>0</v>
      </c>
      <c r="M31" s="31" t="str">
        <f>IF(IFERROR(SUMPRODUCT((((ISNUMBER(SEARCH(B31,'Data - HSQE Events'!V$6:V$3000))+ISNUMBER(SEARCH(B31,'Data - HSQE Events'!H$6:H$3000)))&gt;0))*('Data - HSQE Events'!F$6:F$3000&gt;=$AG$3)*('Data - HSQE Events'!F$6:F$3000&lt;=$AJ$3)*('Data - HSQE Events'!R$6:R$3000="Major")),0)&gt;0,"YES","NO")</f>
        <v>NO</v>
      </c>
      <c r="N31" s="31">
        <f>IFERROR(SUMPRODUCT(('Data - Skillko'!B$6:B$3000=B31)*('Data - Skillko'!C$6:C$3000="Total")*('Data - Skillko'!E$6:E$3000))*100,0)</f>
        <v>77</v>
      </c>
      <c r="O31" s="31">
        <f t="shared" si="1"/>
        <v>4.0999999999999996</v>
      </c>
      <c r="P31" s="31">
        <f>IFERROR(SUMPRODUCT(ISNUMBER(SEARCH(B31,'Pole Results'!$A$13:$A$2000))*('Pole Results'!$B$13:$B$2000&gt;=$AG$3)*('Pole Results'!$B$13:$B$2000&lt;=$AE$3)*('Pole Results'!$E$13:$E$2000="Non-Compliant")),0)</f>
        <v>0</v>
      </c>
      <c r="Q31" s="31">
        <f t="shared" si="2"/>
        <v>1</v>
      </c>
      <c r="R31" s="31">
        <f t="shared" si="3"/>
        <v>5</v>
      </c>
      <c r="S31" s="49">
        <f t="shared" si="4"/>
        <v>5</v>
      </c>
      <c r="T31" s="31">
        <f>IF('Field Teams'!$I$32="Inactive","",ROUND((Q31*Settings!$D$6+R31*Settings!$D$7+O31*Settings!$D$10+S31*Settings!$D$12+AO31*Settings!$D$13)/Settings!$D$14,1))</f>
        <v>3</v>
      </c>
      <c r="U31" s="115" t="str">
        <f>IF('Field Teams'!$I$32="Inactive","",IF(Q31="","",IF(Q31&gt;=4.5,"★★★★★",IF(Q31&gt;=3.5,"★★★★☆",IF(Q31&gt;=2.5,"★★★☆☆",IF(Q31&gt;=1.5,"★★☆☆☆","★☆☆☆☆"))))))</f>
        <v>★☆☆☆☆</v>
      </c>
      <c r="V31" s="115" t="str">
        <f>IF('Field Teams'!$I$32="Inactive","",IF(R31="","",IF(R31&gt;=4.5,"★★★★★",IF(R31&gt;=3.5,"★★★★☆",IF(R31&gt;=2.5,"★★★☆☆",IF(R31&gt;=1.5,"★★☆☆☆","★☆☆☆☆"))))))</f>
        <v>★★★★★</v>
      </c>
      <c r="W31" s="115" t="str">
        <f>IF('Field Teams'!$I$32="Inactive","",IF(O31="","",IF(O31&gt;=4.5,"★★★★★",IF(O31&gt;=3.5,"★★★★☆",IF(O31&gt;=2.5,"★★★☆☆",IF(O31&gt;=1.5,"★★☆☆☆","★☆☆☆☆"))))))</f>
        <v>★★★★☆</v>
      </c>
      <c r="X31" s="115" t="str">
        <f>IF('Field Teams'!$I$32="Inactive","",IF(S31="","",IF(S31&gt;=4.5,"★★★★★",IF(S31&gt;=3.5,"★★★★☆",IF(S31&gt;=2.5,"★★★☆☆",IF(S31&gt;=1.5,"★★☆☆☆","★☆☆☆☆"))))))</f>
        <v>★★★★★</v>
      </c>
      <c r="Y31" s="115" t="str">
        <f>IF('Field Teams'!$I$32="Inactive","",IF(AO31="","",IF(AO31&gt;=4.5,"★★★★★",IF(AO31&gt;=3.5,"★★★★☆",IF(AO31&gt;=2.5,"★★★☆☆",IF(AO31&gt;=1.5,"★★☆☆☆","★☆☆☆☆"))))))</f>
        <v>★★★☆☆</v>
      </c>
      <c r="Z31" s="115" t="str">
        <f>IF('Field Teams'!$I$5="Inactive","",IF(T31="","",IF(T31&gt;=4.5,"★★★★★",IF(T31&gt;=3.5,"★★★★☆",IF(T31&gt;=2.5,"★★★☆☆",IF(T31&gt;=1.5,"★★☆☆☆","★☆☆☆☆"))))))</f>
        <v>★★★☆☆</v>
      </c>
      <c r="AA31" s="31" t="str">
        <f>IF('Field Teams'!$I$32="Inactive","",IF(M31="YES","HIGH",IF(Q31&lt;=Settings!$D$26,"HIGH",IF(T31&lt;=Settings!$D$23,"HIGH",IF(T31&lt;=Settings!$D$24,"MEDIUM","LOW")))))</f>
        <v>HIGH</v>
      </c>
      <c r="AB31" s="31">
        <f>IF('Field Teams'!$I$5="Inactive",-1,IFERROR((6-T31)+(77-ROW())*0.0001,0))</f>
        <v>3.0045999999999999</v>
      </c>
      <c r="AC31" s="35">
        <f>IF('Field Teams'!$I$5="Inactive",999,IFERROR((6-T31)+(ROW()-3)*0.0001,99))</f>
        <v>3.0028000000000001</v>
      </c>
      <c r="AD31" s="31">
        <f>IF('Field Teams'!$I$32="Inactive",999,IFERROR(AB31+(ROW()-3)*0.0001,99))</f>
        <v>3.0074000000000001</v>
      </c>
      <c r="AE31" s="29">
        <v>0</v>
      </c>
      <c r="AF31" s="31" t="str">
        <f>IF('Field Teams'!$I$32="Inactive","",IF(AA31="HIGH","YES - within 5 working days",""))</f>
        <v>YES - within 5 working days</v>
      </c>
      <c r="AG31" s="105"/>
      <c r="AH31" s="49">
        <f>IFERROR(SUMPRODUCT(ISNUMBER(SEARCH(B31,'Pole Results'!$A$13:$A$2000))*('Pole Results'!$B$13:$B$2000&gt;=$AG$3)*('Pole Results'!$B$13:$B$2000&lt;=$AE$3)),0)</f>
        <v>0</v>
      </c>
      <c r="AI31" s="49">
        <f>IFERROR(SUMPRODUCT(ISNUMBER(SEARCH(B31,'Pole Results'!$A$13:$A$2000))*('Pole Results'!$B$13:$B$2000&gt;=$AG$3)*('Pole Results'!$B$13:$B$2000&lt;=$AE$3)*('Pole Results'!$E$13:$E$2000="Compliant")),0)</f>
        <v>0</v>
      </c>
      <c r="AJ31" s="105"/>
      <c r="AK31" s="106">
        <f>IF('Field Teams'!$I$32="Inactive",-1,IF(AA31="HIGH",AB31,-1))</f>
        <v>3.0045999999999999</v>
      </c>
      <c r="AL31" s="106">
        <f>IF('Field Teams'!$I$32="Inactive",-1,IF(OR(AA31="HIGH",AA31="MEDIUM"),AB31,-1))</f>
        <v>3.0045999999999999</v>
      </c>
      <c r="AM31" t="str">
        <f>IF('Field Teams'!$I$32="Inactive","",IF(IFERROR(LOOKUP(2,1/('Historical Scores'!C32:N32&lt;&gt;""),'Historical Scores'!C32:N32),"")="","New",IF(T31=""," ",IF(T31&gt;IFERROR(LOOKUP(2,1/('Historical Scores'!C32:N32&lt;&gt;""),'Historical Scores'!C32:N32),""),"▲ Worsening",IF(T31&lt;IFERROR(LOOKUP(2,1/('Historical Scores'!C32:N32&lt;&gt;""),'Historical Scores'!C32:N32),""),"▼ Improving","► Stable")))))</f>
        <v>New</v>
      </c>
      <c r="AN31">
        <f>IFERROR(SUMPRODUCT((ISNUMBER(SEARCH(B31,'Data - SSV'!AE$6:AE$3000)))*('Data - SSV'!AF$6:AF$3000&gt;=(AJ$3-90))*('Data - SSV'!AF$6:AF$3000&lt;=AJ$3)*('Data - SSV'!AH$6:AH$3000&lt;&gt;"")),0)</f>
        <v>0</v>
      </c>
      <c r="AO31">
        <f>IF('Field Teams'!$I$32="Inactive","",IF(AN31=0,3,IF(AN31=1,IF(IFERROR(SUMPRODUCT((ISNUMBER(SEARCH(B31,'Data - SSV'!AE$6:AE$3000)))*('Data - SSV'!AF$6:AF$3000&gt;=(AJ$3-90))*('Data - SSV'!AF$6:AF$3000&lt;=AJ$3)*('Data - SSV'!AH$6:AH$3000&lt;&gt;"")*IF('Data - SSV'!AH$6:AH$3000="",0,'Data - SSV'!AH$6:AH$3000))/AN31,3)=4,4,IF(IFERROR(SUMPRODUCT((ISNUMBER(SEARCH(B31,'Data - SSV'!AE$6:AE$3000)))*('Data - SSV'!AF$6:AF$3000&gt;=(AJ$3-90))*('Data - SSV'!AF$6:AF$3000&lt;=AJ$3)*('Data - SSV'!AH$6:AH$3000&lt;&gt;"")*IF('Data - SSV'!AH$6:AH$3000="",0,'Data - SSV'!AH$6:AH$3000))/AN31,3)&gt;=3,3,IF(IFERROR(SUMPRODUCT((ISNUMBER(SEARCH(B31,'Data - SSV'!AE$6:AE$3000)))*('Data - SSV'!AF$6:AF$3000&gt;=(AJ$3-90))*('Data - SSV'!AF$6:AF$3000&lt;=AJ$3)*('Data - SSV'!AH$6:AH$3000&lt;&gt;"")*IF('Data - SSV'!AH$6:AH$3000="",0,'Data - SSV'!AH$6:AH$3000))/AN31,3)&gt;=2,2,1))),IF(IFERROR(SUMPRODUCT((ISNUMBER(SEARCH(B31,'Data - SSV'!AE$6:AE$3000)))*('Data - SSV'!AF$6:AF$3000&gt;=(AJ$3-90))*('Data - SSV'!AF$6:AF$3000&lt;=AJ$3)*('Data - SSV'!AH$6:AH$3000&lt;&gt;"")*IF('Data - SSV'!AH$6:AH$3000="",0,'Data - SSV'!AH$6:AH$3000))/AN31,3)=4,5,IF(IFERROR(SUMPRODUCT((ISNUMBER(SEARCH(B31,'Data - SSV'!AE$6:AE$3000)))*('Data - SSV'!AF$6:AF$3000&gt;=(AJ$3-90))*('Data - SSV'!AF$6:AF$3000&lt;=AJ$3)*('Data - SSV'!AH$6:AH$3000&lt;&gt;"")*IF('Data - SSV'!AH$6:AH$3000="",0,'Data - SSV'!AH$6:AH$3000))/AN31,3)&gt;=3.5,4,IF(IFERROR(SUMPRODUCT((ISNUMBER(SEARCH(B31,'Data - SSV'!AE$6:AE$3000)))*('Data - SSV'!AF$6:AF$3000&gt;=(AJ$3-90))*('Data - SSV'!AF$6:AF$3000&lt;=AJ$3)*('Data - SSV'!AH$6:AH$3000&lt;&gt;"")*IF('Data - SSV'!AH$6:AH$3000="",0,'Data - SSV'!AH$6:AH$3000))/AN31,3)&gt;=3,3,IF(IFERROR(SUMPRODUCT((ISNUMBER(SEARCH(B31,'Data - SSV'!AE$6:AE$3000)))*('Data - SSV'!AF$6:AF$3000&gt;=(AJ$3-90))*('Data - SSV'!AF$6:AF$3000&lt;=AJ$3)*('Data - SSV'!AH$6:AH$3000&lt;&gt;"")*IF('Data - SSV'!AH$6:AH$3000="",0,'Data - SSV'!AH$6:AH$3000))/AN31,3)&gt;=2,2,1)))))))</f>
        <v>3</v>
      </c>
    </row>
    <row r="32" spans="1:41" ht="19.5" customHeight="1" x14ac:dyDescent="0.15">
      <c r="A32" s="10" t="str">
        <f>'Field Teams'!A33</f>
        <v>FT-029</v>
      </c>
      <c r="B32" s="30" t="str">
        <f>'Field Teams'!B33</f>
        <v>Mon &amp; Brec Tree Services Ltd</v>
      </c>
      <c r="C32" s="30" t="str">
        <f>'Field Teams'!C33</f>
        <v>Utility Arboriculture</v>
      </c>
      <c r="D32" s="10" t="str">
        <f>'Field Teams'!D33</f>
        <v>Donovan  Gosher</v>
      </c>
      <c r="E32" s="10" t="str">
        <f>'Field Teams'!E33</f>
        <v>Jake Bolwell</v>
      </c>
      <c r="F32" s="10">
        <f>'Field Teams'!F33</f>
        <v>0</v>
      </c>
      <c r="G32" s="10">
        <f>'Field Teams'!G33</f>
        <v>0</v>
      </c>
      <c r="H32" s="31">
        <f>'Field Teams'!H33</f>
        <v>5</v>
      </c>
      <c r="I32" s="31">
        <f t="shared" si="0"/>
        <v>10</v>
      </c>
      <c r="J32" s="31">
        <f>IFERROR(SUMPRODUCT((((ISNUMBER(SEARCH(B32,'Data - HSQE Events'!V$6:V$3000))+ISNUMBER(SEARCH(B32,'Data - HSQE Events'!H$6:H$3000)))&gt;0))*('Data - HSQE Events'!F$6:F$3000&gt;=$AG$3)*('Data - HSQE Events'!F$6:F$3000&lt;=$AJ$3)*('Data - HSQE Events'!R$6:R$3000="Opportunity")),0)</f>
        <v>0</v>
      </c>
      <c r="K32" s="31">
        <f>IFERROR(SUMPRODUCT((((ISNUMBER(SEARCH(B32,'Data - HSQE Events'!V$6:V$3000))+ISNUMBER(SEARCH(B32,'Data - HSQE Events'!H$6:H$3000)))&gt;0))*('Data - HSQE Events'!F$6:F$3000&gt;=$AG$3)*('Data - HSQE Events'!F$6:F$3000&lt;=$AJ$3)*('Data - HSQE Events'!R$6:R$3000="Minor")),0)</f>
        <v>0</v>
      </c>
      <c r="L32" s="31">
        <f>IFERROR(SUMPRODUCT((((ISNUMBER(SEARCH(B32,'Data - HSQE Events'!V$6:V$3000))+ISNUMBER(SEARCH(B32,'Data - HSQE Events'!H$6:H$3000)))&gt;0))*('Data - HSQE Events'!F$6:F$3000&gt;=$AG$3)*('Data - HSQE Events'!F$6:F$3000&lt;=$AJ$3)*(('Data - HSQE Events'!R$6:R$3000="Moderate")+('Data - HSQE Events'!R$6:R$3000="Major"))),0)</f>
        <v>0</v>
      </c>
      <c r="M32" s="31" t="str">
        <f>IF(IFERROR(SUMPRODUCT((((ISNUMBER(SEARCH(B32,'Data - HSQE Events'!V$6:V$3000))+ISNUMBER(SEARCH(B32,'Data - HSQE Events'!H$6:H$3000)))&gt;0))*('Data - HSQE Events'!F$6:F$3000&gt;=$AG$3)*('Data - HSQE Events'!F$6:F$3000&lt;=$AJ$3)*('Data - HSQE Events'!R$6:R$3000="Major")),0)&gt;0,"YES","NO")</f>
        <v>NO</v>
      </c>
      <c r="N32" s="31">
        <f>IFERROR(SUMPRODUCT(('Data - Skillko'!B$6:B$3000=B32)*('Data - Skillko'!C$6:C$3000="Total")*('Data - Skillko'!E$6:E$3000))*100,0)</f>
        <v>38</v>
      </c>
      <c r="O32" s="31">
        <f t="shared" si="1"/>
        <v>2.5</v>
      </c>
      <c r="P32" s="31">
        <f>IFERROR(SUMPRODUCT(ISNUMBER(SEARCH(B32,'Pole Results'!$A$13:$A$2000))*('Pole Results'!$B$13:$B$2000&gt;=$AG$3)*('Pole Results'!$B$13:$B$2000&lt;=$AE$3)*('Pole Results'!$E$13:$E$2000="Non-Compliant")),0)</f>
        <v>0</v>
      </c>
      <c r="Q32" s="31">
        <f t="shared" si="2"/>
        <v>1</v>
      </c>
      <c r="R32" s="31">
        <f t="shared" si="3"/>
        <v>5</v>
      </c>
      <c r="S32" s="49">
        <f t="shared" si="4"/>
        <v>5</v>
      </c>
      <c r="T32" s="31">
        <f>IF('Field Teams'!$I$33="Inactive","",ROUND((Q32*Settings!$D$6+R32*Settings!$D$7+O32*Settings!$D$10+S32*Settings!$D$12+AO32*Settings!$D$13)/Settings!$D$14,1))</f>
        <v>2.7</v>
      </c>
      <c r="U32" s="115" t="str">
        <f>IF('Field Teams'!$I$33="Inactive","",IF(Q32="","",IF(Q32&gt;=4.5,"★★★★★",IF(Q32&gt;=3.5,"★★★★☆",IF(Q32&gt;=2.5,"★★★☆☆",IF(Q32&gt;=1.5,"★★☆☆☆","★☆☆☆☆"))))))</f>
        <v>★☆☆☆☆</v>
      </c>
      <c r="V32" s="115" t="str">
        <f>IF('Field Teams'!$I$33="Inactive","",IF(R32="","",IF(R32&gt;=4.5,"★★★★★",IF(R32&gt;=3.5,"★★★★☆",IF(R32&gt;=2.5,"★★★☆☆",IF(R32&gt;=1.5,"★★☆☆☆","★☆☆☆☆"))))))</f>
        <v>★★★★★</v>
      </c>
      <c r="W32" s="115" t="str">
        <f>IF('Field Teams'!$I$33="Inactive","",IF(O32="","",IF(O32&gt;=4.5,"★★★★★",IF(O32&gt;=3.5,"★★★★☆",IF(O32&gt;=2.5,"★★★☆☆",IF(O32&gt;=1.5,"★★☆☆☆","★☆☆☆☆"))))))</f>
        <v>★★★☆☆</v>
      </c>
      <c r="X32" s="115" t="str">
        <f>IF('Field Teams'!$I$33="Inactive","",IF(S32="","",IF(S32&gt;=4.5,"★★★★★",IF(S32&gt;=3.5,"★★★★☆",IF(S32&gt;=2.5,"★★★☆☆",IF(S32&gt;=1.5,"★★☆☆☆","★☆☆☆☆"))))))</f>
        <v>★★★★★</v>
      </c>
      <c r="Y32" s="115" t="str">
        <f>IF('Field Teams'!$I$33="Inactive","",IF(AO32="","",IF(AO32&gt;=4.5,"★★★★★",IF(AO32&gt;=3.5,"★★★★☆",IF(AO32&gt;=2.5,"★★★☆☆",IF(AO32&gt;=1.5,"★★☆☆☆","★☆☆☆☆"))))))</f>
        <v>★★★☆☆</v>
      </c>
      <c r="Z32" s="115" t="str">
        <f>IF('Field Teams'!$I$5="Inactive","",IF(T32="","",IF(T32&gt;=4.5,"★★★★★",IF(T32&gt;=3.5,"★★★★☆",IF(T32&gt;=2.5,"★★★☆☆",IF(T32&gt;=1.5,"★★☆☆☆","★☆☆☆☆"))))))</f>
        <v>★★★☆☆</v>
      </c>
      <c r="AA32" s="31" t="str">
        <f>IF('Field Teams'!$I$33="Inactive","",IF(M32="YES","HIGH",IF(Q32&lt;=Settings!$D$26,"HIGH",IF(T32&lt;=Settings!$D$23,"HIGH",IF(T32&lt;=Settings!$D$24,"MEDIUM","LOW")))))</f>
        <v>HIGH</v>
      </c>
      <c r="AB32" s="31">
        <f>IF('Field Teams'!$I$5="Inactive",-1,IFERROR((6-T32)+(77-ROW())*0.0001,0))</f>
        <v>3.3045</v>
      </c>
      <c r="AC32" s="35">
        <f>IF('Field Teams'!$I$5="Inactive",999,IFERROR((6-T32)+(ROW()-3)*0.0001,99))</f>
        <v>3.3028999999999997</v>
      </c>
      <c r="AD32" s="31">
        <f>IF('Field Teams'!$I$33="Inactive",999,IFERROR(AB32+(ROW()-3)*0.0001,99))</f>
        <v>3.3073999999999999</v>
      </c>
      <c r="AE32" s="29">
        <v>0</v>
      </c>
      <c r="AF32" s="31" t="str">
        <f>IF('Field Teams'!$I$33="Inactive","",IF(AA32="HIGH","YES - within 5 working days",""))</f>
        <v>YES - within 5 working days</v>
      </c>
      <c r="AG32" s="105"/>
      <c r="AH32" s="49">
        <f>IFERROR(SUMPRODUCT(ISNUMBER(SEARCH(B32,'Pole Results'!$A$13:$A$2000))*('Pole Results'!$B$13:$B$2000&gt;=$AG$3)*('Pole Results'!$B$13:$B$2000&lt;=$AE$3)),0)</f>
        <v>0</v>
      </c>
      <c r="AI32" s="49">
        <f>IFERROR(SUMPRODUCT(ISNUMBER(SEARCH(B32,'Pole Results'!$A$13:$A$2000))*('Pole Results'!$B$13:$B$2000&gt;=$AG$3)*('Pole Results'!$B$13:$B$2000&lt;=$AE$3)*('Pole Results'!$E$13:$E$2000="Compliant")),0)</f>
        <v>0</v>
      </c>
      <c r="AJ32" s="105"/>
      <c r="AK32" s="106">
        <f>IF('Field Teams'!$I$33="Inactive",-1,IF(AA32="HIGH",AB32,-1))</f>
        <v>3.3045</v>
      </c>
      <c r="AL32" s="106">
        <f>IF('Field Teams'!$I$33="Inactive",-1,IF(OR(AA32="HIGH",AA32="MEDIUM"),AB32,-1))</f>
        <v>3.3045</v>
      </c>
      <c r="AM32" t="str">
        <f>IF('Field Teams'!$I$33="Inactive","",IF(IFERROR(LOOKUP(2,1/('Historical Scores'!C33:N33&lt;&gt;""),'Historical Scores'!C33:N33),"")="","New",IF(T32=""," ",IF(T32&gt;IFERROR(LOOKUP(2,1/('Historical Scores'!C33:N33&lt;&gt;""),'Historical Scores'!C33:N33),""),"▲ Worsening",IF(T32&lt;IFERROR(LOOKUP(2,1/('Historical Scores'!C33:N33&lt;&gt;""),'Historical Scores'!C33:N33),""),"▼ Improving","► Stable")))))</f>
        <v>New</v>
      </c>
      <c r="AN32">
        <f>IFERROR(SUMPRODUCT((ISNUMBER(SEARCH(B32,'Data - SSV'!AE$6:AE$3000)))*('Data - SSV'!AF$6:AF$3000&gt;=(AJ$3-90))*('Data - SSV'!AF$6:AF$3000&lt;=AJ$3)*('Data - SSV'!AH$6:AH$3000&lt;&gt;"")),0)</f>
        <v>0</v>
      </c>
      <c r="AO32">
        <f>IF('Field Teams'!$I$33="Inactive","",IF(AN32=0,3,IF(AN32=1,IF(IFERROR(SUMPRODUCT((ISNUMBER(SEARCH(B32,'Data - SSV'!AE$6:AE$3000)))*('Data - SSV'!AF$6:AF$3000&gt;=(AJ$3-90))*('Data - SSV'!AF$6:AF$3000&lt;=AJ$3)*('Data - SSV'!AH$6:AH$3000&lt;&gt;"")*IF('Data - SSV'!AH$6:AH$3000="",0,'Data - SSV'!AH$6:AH$3000))/AN32,3)=4,4,IF(IFERROR(SUMPRODUCT((ISNUMBER(SEARCH(B32,'Data - SSV'!AE$6:AE$3000)))*('Data - SSV'!AF$6:AF$3000&gt;=(AJ$3-90))*('Data - SSV'!AF$6:AF$3000&lt;=AJ$3)*('Data - SSV'!AH$6:AH$3000&lt;&gt;"")*IF('Data - SSV'!AH$6:AH$3000="",0,'Data - SSV'!AH$6:AH$3000))/AN32,3)&gt;=3,3,IF(IFERROR(SUMPRODUCT((ISNUMBER(SEARCH(B32,'Data - SSV'!AE$6:AE$3000)))*('Data - SSV'!AF$6:AF$3000&gt;=(AJ$3-90))*('Data - SSV'!AF$6:AF$3000&lt;=AJ$3)*('Data - SSV'!AH$6:AH$3000&lt;&gt;"")*IF('Data - SSV'!AH$6:AH$3000="",0,'Data - SSV'!AH$6:AH$3000))/AN32,3)&gt;=2,2,1))),IF(IFERROR(SUMPRODUCT((ISNUMBER(SEARCH(B32,'Data - SSV'!AE$6:AE$3000)))*('Data - SSV'!AF$6:AF$3000&gt;=(AJ$3-90))*('Data - SSV'!AF$6:AF$3000&lt;=AJ$3)*('Data - SSV'!AH$6:AH$3000&lt;&gt;"")*IF('Data - SSV'!AH$6:AH$3000="",0,'Data - SSV'!AH$6:AH$3000))/AN32,3)=4,5,IF(IFERROR(SUMPRODUCT((ISNUMBER(SEARCH(B32,'Data - SSV'!AE$6:AE$3000)))*('Data - SSV'!AF$6:AF$3000&gt;=(AJ$3-90))*('Data - SSV'!AF$6:AF$3000&lt;=AJ$3)*('Data - SSV'!AH$6:AH$3000&lt;&gt;"")*IF('Data - SSV'!AH$6:AH$3000="",0,'Data - SSV'!AH$6:AH$3000))/AN32,3)&gt;=3.5,4,IF(IFERROR(SUMPRODUCT((ISNUMBER(SEARCH(B32,'Data - SSV'!AE$6:AE$3000)))*('Data - SSV'!AF$6:AF$3000&gt;=(AJ$3-90))*('Data - SSV'!AF$6:AF$3000&lt;=AJ$3)*('Data - SSV'!AH$6:AH$3000&lt;&gt;"")*IF('Data - SSV'!AH$6:AH$3000="",0,'Data - SSV'!AH$6:AH$3000))/AN32,3)&gt;=3,3,IF(IFERROR(SUMPRODUCT((ISNUMBER(SEARCH(B32,'Data - SSV'!AE$6:AE$3000)))*('Data - SSV'!AF$6:AF$3000&gt;=(AJ$3-90))*('Data - SSV'!AF$6:AF$3000&lt;=AJ$3)*('Data - SSV'!AH$6:AH$3000&lt;&gt;"")*IF('Data - SSV'!AH$6:AH$3000="",0,'Data - SSV'!AH$6:AH$3000))/AN32,3)&gt;=2,2,1)))))))</f>
        <v>3</v>
      </c>
    </row>
    <row r="33" spans="1:41" ht="19.5" customHeight="1" x14ac:dyDescent="0.15">
      <c r="A33" s="6" t="str">
        <f>'Field Teams'!A34</f>
        <v>FT-030</v>
      </c>
      <c r="B33" s="28" t="str">
        <f>'Field Teams'!B34</f>
        <v>Quill Hall Arboriculture Ltd</v>
      </c>
      <c r="C33" s="28" t="str">
        <f>'Field Teams'!C34</f>
        <v>Utility Arboriculture</v>
      </c>
      <c r="D33" s="6" t="str">
        <f>'Field Teams'!D34</f>
        <v>Donovan  Gosher</v>
      </c>
      <c r="E33" s="6" t="str">
        <f>'Field Teams'!E34</f>
        <v>Jake Bolwell</v>
      </c>
      <c r="F33" s="6">
        <f>'Field Teams'!F34</f>
        <v>0</v>
      </c>
      <c r="G33" s="6">
        <f>'Field Teams'!G34</f>
        <v>0</v>
      </c>
      <c r="H33" s="31">
        <f>'Field Teams'!H34</f>
        <v>3</v>
      </c>
      <c r="I33" s="31">
        <f t="shared" si="0"/>
        <v>6</v>
      </c>
      <c r="J33" s="31">
        <f>IFERROR(SUMPRODUCT((((ISNUMBER(SEARCH(B33,'Data - HSQE Events'!V$6:V$3000))+ISNUMBER(SEARCH(B33,'Data - HSQE Events'!H$6:H$3000)))&gt;0))*('Data - HSQE Events'!F$6:F$3000&gt;=$AG$3)*('Data - HSQE Events'!F$6:F$3000&lt;=$AJ$3)*('Data - HSQE Events'!R$6:R$3000="Opportunity")),0)</f>
        <v>0</v>
      </c>
      <c r="K33" s="31">
        <f>IFERROR(SUMPRODUCT((((ISNUMBER(SEARCH(B33,'Data - HSQE Events'!V$6:V$3000))+ISNUMBER(SEARCH(B33,'Data - HSQE Events'!H$6:H$3000)))&gt;0))*('Data - HSQE Events'!F$6:F$3000&gt;=$AG$3)*('Data - HSQE Events'!F$6:F$3000&lt;=$AJ$3)*('Data - HSQE Events'!R$6:R$3000="Minor")),0)</f>
        <v>0</v>
      </c>
      <c r="L33" s="31">
        <f>IFERROR(SUMPRODUCT((((ISNUMBER(SEARCH(B33,'Data - HSQE Events'!V$6:V$3000))+ISNUMBER(SEARCH(B33,'Data - HSQE Events'!H$6:H$3000)))&gt;0))*('Data - HSQE Events'!F$6:F$3000&gt;=$AG$3)*('Data - HSQE Events'!F$6:F$3000&lt;=$AJ$3)*(('Data - HSQE Events'!R$6:R$3000="Moderate")+('Data - HSQE Events'!R$6:R$3000="Major"))),0)</f>
        <v>0</v>
      </c>
      <c r="M33" s="31" t="str">
        <f>IF(IFERROR(SUMPRODUCT((((ISNUMBER(SEARCH(B33,'Data - HSQE Events'!V$6:V$3000))+ISNUMBER(SEARCH(B33,'Data - HSQE Events'!H$6:H$3000)))&gt;0))*('Data - HSQE Events'!F$6:F$3000&gt;=$AG$3)*('Data - HSQE Events'!F$6:F$3000&lt;=$AJ$3)*('Data - HSQE Events'!R$6:R$3000="Major")),0)&gt;0,"YES","NO")</f>
        <v>NO</v>
      </c>
      <c r="N33" s="31">
        <f>IFERROR(SUMPRODUCT(('Data - Skillko'!B$6:B$3000=B33)*('Data - Skillko'!C$6:C$3000="Total")*('Data - Skillko'!E$6:E$3000))*100,0)</f>
        <v>55.000000000000007</v>
      </c>
      <c r="O33" s="31">
        <f t="shared" si="1"/>
        <v>3.2</v>
      </c>
      <c r="P33" s="31">
        <f>IFERROR(SUMPRODUCT(ISNUMBER(SEARCH(B33,'Pole Results'!$A$13:$A$2000))*('Pole Results'!$B$13:$B$2000&gt;=$AG$3)*('Pole Results'!$B$13:$B$2000&lt;=$AE$3)*('Pole Results'!$E$13:$E$2000="Non-Compliant")),0)</f>
        <v>0</v>
      </c>
      <c r="Q33" s="31">
        <f t="shared" si="2"/>
        <v>1</v>
      </c>
      <c r="R33" s="31">
        <f t="shared" si="3"/>
        <v>5</v>
      </c>
      <c r="S33" s="49">
        <f t="shared" si="4"/>
        <v>5</v>
      </c>
      <c r="T33" s="31">
        <f>IF('Field Teams'!$I$34="Inactive","",ROUND((Q33*Settings!$D$6+R33*Settings!$D$7+O33*Settings!$D$10+S33*Settings!$D$12+AO33*Settings!$D$13)/Settings!$D$14,1))</f>
        <v>2.8</v>
      </c>
      <c r="U33" s="115" t="str">
        <f>IF('Field Teams'!$I$34="Inactive","",IF(Q33="","",IF(Q33&gt;=4.5,"★★★★★",IF(Q33&gt;=3.5,"★★★★☆",IF(Q33&gt;=2.5,"★★★☆☆",IF(Q33&gt;=1.5,"★★☆☆☆","★☆☆☆☆"))))))</f>
        <v>★☆☆☆☆</v>
      </c>
      <c r="V33" s="115" t="str">
        <f>IF('Field Teams'!$I$34="Inactive","",IF(R33="","",IF(R33&gt;=4.5,"★★★★★",IF(R33&gt;=3.5,"★★★★☆",IF(R33&gt;=2.5,"★★★☆☆",IF(R33&gt;=1.5,"★★☆☆☆","★☆☆☆☆"))))))</f>
        <v>★★★★★</v>
      </c>
      <c r="W33" s="115" t="str">
        <f>IF('Field Teams'!$I$34="Inactive","",IF(O33="","",IF(O33&gt;=4.5,"★★★★★",IF(O33&gt;=3.5,"★★★★☆",IF(O33&gt;=2.5,"★★★☆☆",IF(O33&gt;=1.5,"★★☆☆☆","★☆☆☆☆"))))))</f>
        <v>★★★☆☆</v>
      </c>
      <c r="X33" s="115" t="str">
        <f>IF('Field Teams'!$I$34="Inactive","",IF(S33="","",IF(S33&gt;=4.5,"★★★★★",IF(S33&gt;=3.5,"★★★★☆",IF(S33&gt;=2.5,"★★★☆☆",IF(S33&gt;=1.5,"★★☆☆☆","★☆☆☆☆"))))))</f>
        <v>★★★★★</v>
      </c>
      <c r="Y33" s="115" t="str">
        <f>IF('Field Teams'!$I$34="Inactive","",IF(AO33="","",IF(AO33&gt;=4.5,"★★★★★",IF(AO33&gt;=3.5,"★★★★☆",IF(AO33&gt;=2.5,"★★★☆☆",IF(AO33&gt;=1.5,"★★☆☆☆","★☆☆☆☆"))))))</f>
        <v>★★★☆☆</v>
      </c>
      <c r="Z33" s="115" t="str">
        <f>IF('Field Teams'!$I$5="Inactive","",IF(T33="","",IF(T33&gt;=4.5,"★★★★★",IF(T33&gt;=3.5,"★★★★☆",IF(T33&gt;=2.5,"★★★☆☆",IF(T33&gt;=1.5,"★★☆☆☆","★☆☆☆☆"))))))</f>
        <v>★★★☆☆</v>
      </c>
      <c r="AA33" s="31" t="str">
        <f>IF('Field Teams'!$I$34="Inactive","",IF(M33="YES","HIGH",IF(Q33&lt;=Settings!$D$26,"HIGH",IF(T33&lt;=Settings!$D$23,"HIGH",IF(T33&lt;=Settings!$D$24,"MEDIUM","LOW")))))</f>
        <v>HIGH</v>
      </c>
      <c r="AB33" s="31">
        <f>IF('Field Teams'!$I$5="Inactive",-1,IFERROR((6-T33)+(77-ROW())*0.0001,0))</f>
        <v>3.2044000000000001</v>
      </c>
      <c r="AC33" s="35">
        <f>IF('Field Teams'!$I$5="Inactive",999,IFERROR((6-T33)+(ROW()-3)*0.0001,99))</f>
        <v>3.2030000000000003</v>
      </c>
      <c r="AD33" s="31">
        <f>IF('Field Teams'!$I$34="Inactive",999,IFERROR(AB33+(ROW()-3)*0.0001,99))</f>
        <v>3.2074000000000003</v>
      </c>
      <c r="AE33" s="29">
        <v>0</v>
      </c>
      <c r="AF33" s="31" t="str">
        <f>IF('Field Teams'!$I$34="Inactive","",IF(AA33="HIGH","YES - within 5 working days",""))</f>
        <v>YES - within 5 working days</v>
      </c>
      <c r="AG33" s="105"/>
      <c r="AH33" s="49">
        <f>IFERROR(SUMPRODUCT(ISNUMBER(SEARCH(B33,'Pole Results'!$A$13:$A$2000))*('Pole Results'!$B$13:$B$2000&gt;=$AG$3)*('Pole Results'!$B$13:$B$2000&lt;=$AE$3)),0)</f>
        <v>0</v>
      </c>
      <c r="AI33" s="49">
        <f>IFERROR(SUMPRODUCT(ISNUMBER(SEARCH(B33,'Pole Results'!$A$13:$A$2000))*('Pole Results'!$B$13:$B$2000&gt;=$AG$3)*('Pole Results'!$B$13:$B$2000&lt;=$AE$3)*('Pole Results'!$E$13:$E$2000="Compliant")),0)</f>
        <v>0</v>
      </c>
      <c r="AJ33" s="105"/>
      <c r="AK33" s="106">
        <f>IF('Field Teams'!$I$34="Inactive",-1,IF(AA33="HIGH",AB33,-1))</f>
        <v>3.2044000000000001</v>
      </c>
      <c r="AL33" s="106">
        <f>IF('Field Teams'!$I$34="Inactive",-1,IF(OR(AA33="HIGH",AA33="MEDIUM"),AB33,-1))</f>
        <v>3.2044000000000001</v>
      </c>
      <c r="AM33" t="str">
        <f>IF('Field Teams'!$I$34="Inactive","",IF(IFERROR(LOOKUP(2,1/('Historical Scores'!C34:N34&lt;&gt;""),'Historical Scores'!C34:N34),"")="","New",IF(T33=""," ",IF(T33&gt;IFERROR(LOOKUP(2,1/('Historical Scores'!C34:N34&lt;&gt;""),'Historical Scores'!C34:N34),""),"▲ Worsening",IF(T33&lt;IFERROR(LOOKUP(2,1/('Historical Scores'!C34:N34&lt;&gt;""),'Historical Scores'!C34:N34),""),"▼ Improving","► Stable")))))</f>
        <v>New</v>
      </c>
      <c r="AN33">
        <f>IFERROR(SUMPRODUCT((ISNUMBER(SEARCH(B33,'Data - SSV'!AE$6:AE$3000)))*('Data - SSV'!AF$6:AF$3000&gt;=(AJ$3-90))*('Data - SSV'!AF$6:AF$3000&lt;=AJ$3)*('Data - SSV'!AH$6:AH$3000&lt;&gt;"")),0)</f>
        <v>0</v>
      </c>
      <c r="AO33">
        <f>IF('Field Teams'!$I$34="Inactive","",IF(AN33=0,3,IF(AN33=1,IF(IFERROR(SUMPRODUCT((ISNUMBER(SEARCH(B33,'Data - SSV'!AE$6:AE$3000)))*('Data - SSV'!AF$6:AF$3000&gt;=(AJ$3-90))*('Data - SSV'!AF$6:AF$3000&lt;=AJ$3)*('Data - SSV'!AH$6:AH$3000&lt;&gt;"")*IF('Data - SSV'!AH$6:AH$3000="",0,'Data - SSV'!AH$6:AH$3000))/AN33,3)=4,4,IF(IFERROR(SUMPRODUCT((ISNUMBER(SEARCH(B33,'Data - SSV'!AE$6:AE$3000)))*('Data - SSV'!AF$6:AF$3000&gt;=(AJ$3-90))*('Data - SSV'!AF$6:AF$3000&lt;=AJ$3)*('Data - SSV'!AH$6:AH$3000&lt;&gt;"")*IF('Data - SSV'!AH$6:AH$3000="",0,'Data - SSV'!AH$6:AH$3000))/AN33,3)&gt;=3,3,IF(IFERROR(SUMPRODUCT((ISNUMBER(SEARCH(B33,'Data - SSV'!AE$6:AE$3000)))*('Data - SSV'!AF$6:AF$3000&gt;=(AJ$3-90))*('Data - SSV'!AF$6:AF$3000&lt;=AJ$3)*('Data - SSV'!AH$6:AH$3000&lt;&gt;"")*IF('Data - SSV'!AH$6:AH$3000="",0,'Data - SSV'!AH$6:AH$3000))/AN33,3)&gt;=2,2,1))),IF(IFERROR(SUMPRODUCT((ISNUMBER(SEARCH(B33,'Data - SSV'!AE$6:AE$3000)))*('Data - SSV'!AF$6:AF$3000&gt;=(AJ$3-90))*('Data - SSV'!AF$6:AF$3000&lt;=AJ$3)*('Data - SSV'!AH$6:AH$3000&lt;&gt;"")*IF('Data - SSV'!AH$6:AH$3000="",0,'Data - SSV'!AH$6:AH$3000))/AN33,3)=4,5,IF(IFERROR(SUMPRODUCT((ISNUMBER(SEARCH(B33,'Data - SSV'!AE$6:AE$3000)))*('Data - SSV'!AF$6:AF$3000&gt;=(AJ$3-90))*('Data - SSV'!AF$6:AF$3000&lt;=AJ$3)*('Data - SSV'!AH$6:AH$3000&lt;&gt;"")*IF('Data - SSV'!AH$6:AH$3000="",0,'Data - SSV'!AH$6:AH$3000))/AN33,3)&gt;=3.5,4,IF(IFERROR(SUMPRODUCT((ISNUMBER(SEARCH(B33,'Data - SSV'!AE$6:AE$3000)))*('Data - SSV'!AF$6:AF$3000&gt;=(AJ$3-90))*('Data - SSV'!AF$6:AF$3000&lt;=AJ$3)*('Data - SSV'!AH$6:AH$3000&lt;&gt;"")*IF('Data - SSV'!AH$6:AH$3000="",0,'Data - SSV'!AH$6:AH$3000))/AN33,3)&gt;=3,3,IF(IFERROR(SUMPRODUCT((ISNUMBER(SEARCH(B33,'Data - SSV'!AE$6:AE$3000)))*('Data - SSV'!AF$6:AF$3000&gt;=(AJ$3-90))*('Data - SSV'!AF$6:AF$3000&lt;=AJ$3)*('Data - SSV'!AH$6:AH$3000&lt;&gt;"")*IF('Data - SSV'!AH$6:AH$3000="",0,'Data - SSV'!AH$6:AH$3000))/AN33,3)&gt;=2,2,1)))))))</f>
        <v>3</v>
      </c>
    </row>
    <row r="34" spans="1:41" ht="19.5" customHeight="1" x14ac:dyDescent="0.15">
      <c r="A34" s="10" t="str">
        <f>'Field Teams'!A35</f>
        <v>FT-031</v>
      </c>
      <c r="B34" s="30" t="str">
        <f>'Field Teams'!B35</f>
        <v>RFP Tree and Landscape Services Ltd</v>
      </c>
      <c r="C34" s="30" t="str">
        <f>'Field Teams'!C35</f>
        <v>Utility Arboriculture</v>
      </c>
      <c r="D34" s="10" t="str">
        <f>'Field Teams'!D35</f>
        <v>Donovan  Gosher</v>
      </c>
      <c r="E34" s="10" t="str">
        <f>'Field Teams'!E35</f>
        <v>Jake Bolwell</v>
      </c>
      <c r="F34" s="10">
        <f>'Field Teams'!F35</f>
        <v>0</v>
      </c>
      <c r="G34" s="10">
        <f>'Field Teams'!G35</f>
        <v>0</v>
      </c>
      <c r="H34" s="31">
        <f>'Field Teams'!H35</f>
        <v>12</v>
      </c>
      <c r="I34" s="31">
        <f t="shared" si="0"/>
        <v>24</v>
      </c>
      <c r="J34" s="31">
        <f>IFERROR(SUMPRODUCT((((ISNUMBER(SEARCH(B34,'Data - HSQE Events'!V$6:V$3000))+ISNUMBER(SEARCH(B34,'Data - HSQE Events'!H$6:H$3000)))&gt;0))*('Data - HSQE Events'!F$6:F$3000&gt;=$AG$3)*('Data - HSQE Events'!F$6:F$3000&lt;=$AJ$3)*('Data - HSQE Events'!R$6:R$3000="Opportunity")),0)</f>
        <v>0</v>
      </c>
      <c r="K34" s="31">
        <f>IFERROR(SUMPRODUCT((((ISNUMBER(SEARCH(B34,'Data - HSQE Events'!V$6:V$3000))+ISNUMBER(SEARCH(B34,'Data - HSQE Events'!H$6:H$3000)))&gt;0))*('Data - HSQE Events'!F$6:F$3000&gt;=$AG$3)*('Data - HSQE Events'!F$6:F$3000&lt;=$AJ$3)*('Data - HSQE Events'!R$6:R$3000="Minor")),0)</f>
        <v>0</v>
      </c>
      <c r="L34" s="31">
        <f>IFERROR(SUMPRODUCT((((ISNUMBER(SEARCH(B34,'Data - HSQE Events'!V$6:V$3000))+ISNUMBER(SEARCH(B34,'Data - HSQE Events'!H$6:H$3000)))&gt;0))*('Data - HSQE Events'!F$6:F$3000&gt;=$AG$3)*('Data - HSQE Events'!F$6:F$3000&lt;=$AJ$3)*(('Data - HSQE Events'!R$6:R$3000="Moderate")+('Data - HSQE Events'!R$6:R$3000="Major"))),0)</f>
        <v>0</v>
      </c>
      <c r="M34" s="31" t="str">
        <f>IF(IFERROR(SUMPRODUCT((((ISNUMBER(SEARCH(B34,'Data - HSQE Events'!V$6:V$3000))+ISNUMBER(SEARCH(B34,'Data - HSQE Events'!H$6:H$3000)))&gt;0))*('Data - HSQE Events'!F$6:F$3000&gt;=$AG$3)*('Data - HSQE Events'!F$6:F$3000&lt;=$AJ$3)*('Data - HSQE Events'!R$6:R$3000="Major")),0)&gt;0,"YES","NO")</f>
        <v>NO</v>
      </c>
      <c r="N34" s="31">
        <f>IFERROR(SUMPRODUCT(('Data - Skillko'!B$6:B$3000=B34)*('Data - Skillko'!C$6:C$3000="Total")*('Data - Skillko'!E$6:E$3000))*100,0)</f>
        <v>96</v>
      </c>
      <c r="O34" s="31">
        <f t="shared" si="1"/>
        <v>4.8</v>
      </c>
      <c r="P34" s="31">
        <f>IFERROR(SUMPRODUCT(ISNUMBER(SEARCH(B34,'Pole Results'!$A$13:$A$2000))*('Pole Results'!$B$13:$B$2000&gt;=$AG$3)*('Pole Results'!$B$13:$B$2000&lt;=$AE$3)*('Pole Results'!$E$13:$E$2000="Non-Compliant")),0)</f>
        <v>0</v>
      </c>
      <c r="Q34" s="31">
        <f t="shared" si="2"/>
        <v>1</v>
      </c>
      <c r="R34" s="31">
        <f t="shared" si="3"/>
        <v>5</v>
      </c>
      <c r="S34" s="49">
        <f t="shared" si="4"/>
        <v>5</v>
      </c>
      <c r="T34" s="31">
        <f>IF('Field Teams'!$I$35="Inactive","",ROUND((Q34*Settings!$D$6+R34*Settings!$D$7+O34*Settings!$D$10+S34*Settings!$D$12+AO34*Settings!$D$13)/Settings!$D$14,1))</f>
        <v>3.1</v>
      </c>
      <c r="U34" s="115" t="str">
        <f>IF('Field Teams'!$I$35="Inactive","",IF(Q34="","",IF(Q34&gt;=4.5,"★★★★★",IF(Q34&gt;=3.5,"★★★★☆",IF(Q34&gt;=2.5,"★★★☆☆",IF(Q34&gt;=1.5,"★★☆☆☆","★☆☆☆☆"))))))</f>
        <v>★☆☆☆☆</v>
      </c>
      <c r="V34" s="115" t="str">
        <f>IF('Field Teams'!$I$35="Inactive","",IF(R34="","",IF(R34&gt;=4.5,"★★★★★",IF(R34&gt;=3.5,"★★★★☆",IF(R34&gt;=2.5,"★★★☆☆",IF(R34&gt;=1.5,"★★☆☆☆","★☆☆☆☆"))))))</f>
        <v>★★★★★</v>
      </c>
      <c r="W34" s="115" t="str">
        <f>IF('Field Teams'!$I$35="Inactive","",IF(O34="","",IF(O34&gt;=4.5,"★★★★★",IF(O34&gt;=3.5,"★★★★☆",IF(O34&gt;=2.5,"★★★☆☆",IF(O34&gt;=1.5,"★★☆☆☆","★☆☆☆☆"))))))</f>
        <v>★★★★★</v>
      </c>
      <c r="X34" s="115" t="str">
        <f>IF('Field Teams'!$I$35="Inactive","",IF(S34="","",IF(S34&gt;=4.5,"★★★★★",IF(S34&gt;=3.5,"★★★★☆",IF(S34&gt;=2.5,"★★★☆☆",IF(S34&gt;=1.5,"★★☆☆☆","★☆☆☆☆"))))))</f>
        <v>★★★★★</v>
      </c>
      <c r="Y34" s="115" t="str">
        <f>IF('Field Teams'!$I$35="Inactive","",IF(AO34="","",IF(AO34&gt;=4.5,"★★★★★",IF(AO34&gt;=3.5,"★★★★☆",IF(AO34&gt;=2.5,"★★★☆☆",IF(AO34&gt;=1.5,"★★☆☆☆","★☆☆☆☆"))))))</f>
        <v>★★★☆☆</v>
      </c>
      <c r="Z34" s="115" t="str">
        <f>IF('Field Teams'!$I$5="Inactive","",IF(T34="","",IF(T34&gt;=4.5,"★★★★★",IF(T34&gt;=3.5,"★★★★☆",IF(T34&gt;=2.5,"★★★☆☆",IF(T34&gt;=1.5,"★★☆☆☆","★☆☆☆☆"))))))</f>
        <v>★★★☆☆</v>
      </c>
      <c r="AA34" s="31" t="str">
        <f>IF('Field Teams'!$I$35="Inactive","",IF(M34="YES","HIGH",IF(Q34&lt;=Settings!$D$26,"HIGH",IF(T34&lt;=Settings!$D$23,"HIGH",IF(T34&lt;=Settings!$D$24,"MEDIUM","LOW")))))</f>
        <v>HIGH</v>
      </c>
      <c r="AB34" s="31">
        <f>IF('Field Teams'!$I$5="Inactive",-1,IFERROR((6-T34)+(77-ROW())*0.0001,0))</f>
        <v>2.9043000000000001</v>
      </c>
      <c r="AC34" s="35">
        <f>IF('Field Teams'!$I$5="Inactive",999,IFERROR((6-T34)+(ROW()-3)*0.0001,99))</f>
        <v>2.9030999999999998</v>
      </c>
      <c r="AD34" s="31">
        <f>IF('Field Teams'!$I$35="Inactive",999,IFERROR(AB34+(ROW()-3)*0.0001,99))</f>
        <v>2.9074</v>
      </c>
      <c r="AE34" s="29">
        <v>0</v>
      </c>
      <c r="AF34" s="31" t="str">
        <f>IF('Field Teams'!$I$35="Inactive","",IF(AA34="HIGH","YES - within 5 working days",""))</f>
        <v>YES - within 5 working days</v>
      </c>
      <c r="AG34" s="105"/>
      <c r="AH34" s="49">
        <f>IFERROR(SUMPRODUCT(ISNUMBER(SEARCH(B34,'Pole Results'!$A$13:$A$2000))*('Pole Results'!$B$13:$B$2000&gt;=$AG$3)*('Pole Results'!$B$13:$B$2000&lt;=$AE$3)),0)</f>
        <v>0</v>
      </c>
      <c r="AI34" s="49">
        <f>IFERROR(SUMPRODUCT(ISNUMBER(SEARCH(B34,'Pole Results'!$A$13:$A$2000))*('Pole Results'!$B$13:$B$2000&gt;=$AG$3)*('Pole Results'!$B$13:$B$2000&lt;=$AE$3)*('Pole Results'!$E$13:$E$2000="Compliant")),0)</f>
        <v>0</v>
      </c>
      <c r="AJ34" s="105"/>
      <c r="AK34" s="106">
        <f>IF('Field Teams'!$I$35="Inactive",-1,IF(AA34="HIGH",AB34,-1))</f>
        <v>2.9043000000000001</v>
      </c>
      <c r="AL34" s="106">
        <f>IF('Field Teams'!$I$35="Inactive",-1,IF(OR(AA34="HIGH",AA34="MEDIUM"),AB34,-1))</f>
        <v>2.9043000000000001</v>
      </c>
      <c r="AM34" t="str">
        <f>IF('Field Teams'!$I$35="Inactive","",IF(IFERROR(LOOKUP(2,1/('Historical Scores'!C35:N35&lt;&gt;""),'Historical Scores'!C35:N35),"")="","New",IF(T34=""," ",IF(T34&gt;IFERROR(LOOKUP(2,1/('Historical Scores'!C35:N35&lt;&gt;""),'Historical Scores'!C35:N35),""),"▲ Worsening",IF(T34&lt;IFERROR(LOOKUP(2,1/('Historical Scores'!C35:N35&lt;&gt;""),'Historical Scores'!C35:N35),""),"▼ Improving","► Stable")))))</f>
        <v>New</v>
      </c>
      <c r="AN34">
        <f>IFERROR(SUMPRODUCT((ISNUMBER(SEARCH(B34,'Data - SSV'!AE$6:AE$3000)))*('Data - SSV'!AF$6:AF$3000&gt;=(AJ$3-90))*('Data - SSV'!AF$6:AF$3000&lt;=AJ$3)*('Data - SSV'!AH$6:AH$3000&lt;&gt;"")),0)</f>
        <v>0</v>
      </c>
      <c r="AO34">
        <f>IF('Field Teams'!$I$35="Inactive","",IF(AN34=0,3,IF(AN34=1,IF(IFERROR(SUMPRODUCT((ISNUMBER(SEARCH(B34,'Data - SSV'!AE$6:AE$3000)))*('Data - SSV'!AF$6:AF$3000&gt;=(AJ$3-90))*('Data - SSV'!AF$6:AF$3000&lt;=AJ$3)*('Data - SSV'!AH$6:AH$3000&lt;&gt;"")*IF('Data - SSV'!AH$6:AH$3000="",0,'Data - SSV'!AH$6:AH$3000))/AN34,3)=4,4,IF(IFERROR(SUMPRODUCT((ISNUMBER(SEARCH(B34,'Data - SSV'!AE$6:AE$3000)))*('Data - SSV'!AF$6:AF$3000&gt;=(AJ$3-90))*('Data - SSV'!AF$6:AF$3000&lt;=AJ$3)*('Data - SSV'!AH$6:AH$3000&lt;&gt;"")*IF('Data - SSV'!AH$6:AH$3000="",0,'Data - SSV'!AH$6:AH$3000))/AN34,3)&gt;=3,3,IF(IFERROR(SUMPRODUCT((ISNUMBER(SEARCH(B34,'Data - SSV'!AE$6:AE$3000)))*('Data - SSV'!AF$6:AF$3000&gt;=(AJ$3-90))*('Data - SSV'!AF$6:AF$3000&lt;=AJ$3)*('Data - SSV'!AH$6:AH$3000&lt;&gt;"")*IF('Data - SSV'!AH$6:AH$3000="",0,'Data - SSV'!AH$6:AH$3000))/AN34,3)&gt;=2,2,1))),IF(IFERROR(SUMPRODUCT((ISNUMBER(SEARCH(B34,'Data - SSV'!AE$6:AE$3000)))*('Data - SSV'!AF$6:AF$3000&gt;=(AJ$3-90))*('Data - SSV'!AF$6:AF$3000&lt;=AJ$3)*('Data - SSV'!AH$6:AH$3000&lt;&gt;"")*IF('Data - SSV'!AH$6:AH$3000="",0,'Data - SSV'!AH$6:AH$3000))/AN34,3)=4,5,IF(IFERROR(SUMPRODUCT((ISNUMBER(SEARCH(B34,'Data - SSV'!AE$6:AE$3000)))*('Data - SSV'!AF$6:AF$3000&gt;=(AJ$3-90))*('Data - SSV'!AF$6:AF$3000&lt;=AJ$3)*('Data - SSV'!AH$6:AH$3000&lt;&gt;"")*IF('Data - SSV'!AH$6:AH$3000="",0,'Data - SSV'!AH$6:AH$3000))/AN34,3)&gt;=3.5,4,IF(IFERROR(SUMPRODUCT((ISNUMBER(SEARCH(B34,'Data - SSV'!AE$6:AE$3000)))*('Data - SSV'!AF$6:AF$3000&gt;=(AJ$3-90))*('Data - SSV'!AF$6:AF$3000&lt;=AJ$3)*('Data - SSV'!AH$6:AH$3000&lt;&gt;"")*IF('Data - SSV'!AH$6:AH$3000="",0,'Data - SSV'!AH$6:AH$3000))/AN34,3)&gt;=3,3,IF(IFERROR(SUMPRODUCT((ISNUMBER(SEARCH(B34,'Data - SSV'!AE$6:AE$3000)))*('Data - SSV'!AF$6:AF$3000&gt;=(AJ$3-90))*('Data - SSV'!AF$6:AF$3000&lt;=AJ$3)*('Data - SSV'!AH$6:AH$3000&lt;&gt;"")*IF('Data - SSV'!AH$6:AH$3000="",0,'Data - SSV'!AH$6:AH$3000))/AN34,3)&gt;=2,2,1)))))))</f>
        <v>3</v>
      </c>
    </row>
    <row r="35" spans="1:41" ht="19.5" customHeight="1" x14ac:dyDescent="0.15">
      <c r="A35" s="6" t="str">
        <f>'Field Teams'!A36</f>
        <v>FT-032</v>
      </c>
      <c r="B35" s="28" t="str">
        <f>'Field Teams'!B36</f>
        <v>Roots 2 Shoots Tree Care Ltd</v>
      </c>
      <c r="C35" s="28" t="str">
        <f>'Field Teams'!C36</f>
        <v>Utility Arboriculture</v>
      </c>
      <c r="D35" s="6" t="str">
        <f>'Field Teams'!D36</f>
        <v>Donovan  Gosher</v>
      </c>
      <c r="E35" s="6" t="str">
        <f>'Field Teams'!E36</f>
        <v>Jake Bolwell</v>
      </c>
      <c r="F35" s="6">
        <f>'Field Teams'!F36</f>
        <v>0</v>
      </c>
      <c r="G35" s="6">
        <f>'Field Teams'!G36</f>
        <v>0</v>
      </c>
      <c r="H35" s="31">
        <f>'Field Teams'!H36</f>
        <v>5</v>
      </c>
      <c r="I35" s="31">
        <f t="shared" si="0"/>
        <v>10</v>
      </c>
      <c r="J35" s="31">
        <f>IFERROR(SUMPRODUCT((((ISNUMBER(SEARCH(B35,'Data - HSQE Events'!V$6:V$3000))+ISNUMBER(SEARCH(B35,'Data - HSQE Events'!H$6:H$3000)))&gt;0))*('Data - HSQE Events'!F$6:F$3000&gt;=$AG$3)*('Data - HSQE Events'!F$6:F$3000&lt;=$AJ$3)*('Data - HSQE Events'!R$6:R$3000="Opportunity")),0)</f>
        <v>0</v>
      </c>
      <c r="K35" s="31">
        <f>IFERROR(SUMPRODUCT((((ISNUMBER(SEARCH(B35,'Data - HSQE Events'!V$6:V$3000))+ISNUMBER(SEARCH(B35,'Data - HSQE Events'!H$6:H$3000)))&gt;0))*('Data - HSQE Events'!F$6:F$3000&gt;=$AG$3)*('Data - HSQE Events'!F$6:F$3000&lt;=$AJ$3)*('Data - HSQE Events'!R$6:R$3000="Minor")),0)</f>
        <v>0</v>
      </c>
      <c r="L35" s="31">
        <f>IFERROR(SUMPRODUCT((((ISNUMBER(SEARCH(B35,'Data - HSQE Events'!V$6:V$3000))+ISNUMBER(SEARCH(B35,'Data - HSQE Events'!H$6:H$3000)))&gt;0))*('Data - HSQE Events'!F$6:F$3000&gt;=$AG$3)*('Data - HSQE Events'!F$6:F$3000&lt;=$AJ$3)*(('Data - HSQE Events'!R$6:R$3000="Moderate")+('Data - HSQE Events'!R$6:R$3000="Major"))),0)</f>
        <v>0</v>
      </c>
      <c r="M35" s="31" t="str">
        <f>IF(IFERROR(SUMPRODUCT((((ISNUMBER(SEARCH(B35,'Data - HSQE Events'!V$6:V$3000))+ISNUMBER(SEARCH(B35,'Data - HSQE Events'!H$6:H$3000)))&gt;0))*('Data - HSQE Events'!F$6:F$3000&gt;=$AG$3)*('Data - HSQE Events'!F$6:F$3000&lt;=$AJ$3)*('Data - HSQE Events'!R$6:R$3000="Major")),0)&gt;0,"YES","NO")</f>
        <v>NO</v>
      </c>
      <c r="N35" s="31">
        <f>IFERROR(SUMPRODUCT(('Data - Skillko'!B$6:B$3000=B35)*('Data - Skillko'!C$6:C$3000="Total")*('Data - Skillko'!E$6:E$3000))*100,0)</f>
        <v>90</v>
      </c>
      <c r="O35" s="31">
        <f t="shared" si="1"/>
        <v>4.5999999999999996</v>
      </c>
      <c r="P35" s="31">
        <f>IFERROR(SUMPRODUCT(ISNUMBER(SEARCH(B35,'Pole Results'!$A$13:$A$2000))*('Pole Results'!$B$13:$B$2000&gt;=$AG$3)*('Pole Results'!$B$13:$B$2000&lt;=$AE$3)*('Pole Results'!$E$13:$E$2000="Non-Compliant")),0)</f>
        <v>0</v>
      </c>
      <c r="Q35" s="31">
        <f t="shared" si="2"/>
        <v>1</v>
      </c>
      <c r="R35" s="31">
        <f t="shared" si="3"/>
        <v>5</v>
      </c>
      <c r="S35" s="49">
        <f t="shared" si="4"/>
        <v>5</v>
      </c>
      <c r="T35" s="31">
        <f>IF('Field Teams'!$I$36="Inactive","",ROUND((Q35*Settings!$D$6+R35*Settings!$D$7+O35*Settings!$D$10+S35*Settings!$D$12+AO35*Settings!$D$13)/Settings!$D$14,1))</f>
        <v>3.1</v>
      </c>
      <c r="U35" s="115" t="str">
        <f>IF('Field Teams'!$I$36="Inactive","",IF(Q35="","",IF(Q35&gt;=4.5,"★★★★★",IF(Q35&gt;=3.5,"★★★★☆",IF(Q35&gt;=2.5,"★★★☆☆",IF(Q35&gt;=1.5,"★★☆☆☆","★☆☆☆☆"))))))</f>
        <v>★☆☆☆☆</v>
      </c>
      <c r="V35" s="115" t="str">
        <f>IF('Field Teams'!$I$36="Inactive","",IF(R35="","",IF(R35&gt;=4.5,"★★★★★",IF(R35&gt;=3.5,"★★★★☆",IF(R35&gt;=2.5,"★★★☆☆",IF(R35&gt;=1.5,"★★☆☆☆","★☆☆☆☆"))))))</f>
        <v>★★★★★</v>
      </c>
      <c r="W35" s="115" t="str">
        <f>IF('Field Teams'!$I$36="Inactive","",IF(O35="","",IF(O35&gt;=4.5,"★★★★★",IF(O35&gt;=3.5,"★★★★☆",IF(O35&gt;=2.5,"★★★☆☆",IF(O35&gt;=1.5,"★★☆☆☆","★☆☆☆☆"))))))</f>
        <v>★★★★★</v>
      </c>
      <c r="X35" s="115" t="str">
        <f>IF('Field Teams'!$I$36="Inactive","",IF(S35="","",IF(S35&gt;=4.5,"★★★★★",IF(S35&gt;=3.5,"★★★★☆",IF(S35&gt;=2.5,"★★★☆☆",IF(S35&gt;=1.5,"★★☆☆☆","★☆☆☆☆"))))))</f>
        <v>★★★★★</v>
      </c>
      <c r="Y35" s="115" t="str">
        <f>IF('Field Teams'!$I$36="Inactive","",IF(AO35="","",IF(AO35&gt;=4.5,"★★★★★",IF(AO35&gt;=3.5,"★★★★☆",IF(AO35&gt;=2.5,"★★★☆☆",IF(AO35&gt;=1.5,"★★☆☆☆","★☆☆☆☆"))))))</f>
        <v>★★★☆☆</v>
      </c>
      <c r="Z35" s="115" t="str">
        <f>IF('Field Teams'!$I$5="Inactive","",IF(T35="","",IF(T35&gt;=4.5,"★★★★★",IF(T35&gt;=3.5,"★★★★☆",IF(T35&gt;=2.5,"★★★☆☆",IF(T35&gt;=1.5,"★★☆☆☆","★☆☆☆☆"))))))</f>
        <v>★★★☆☆</v>
      </c>
      <c r="AA35" s="31" t="str">
        <f>IF('Field Teams'!$I$36="Inactive","",IF(M35="YES","HIGH",IF(Q35&lt;=Settings!$D$26,"HIGH",IF(T35&lt;=Settings!$D$23,"HIGH",IF(T35&lt;=Settings!$D$24,"MEDIUM","LOW")))))</f>
        <v>HIGH</v>
      </c>
      <c r="AB35" s="31">
        <f>IF('Field Teams'!$I$5="Inactive",-1,IFERROR((6-T35)+(77-ROW())*0.0001,0))</f>
        <v>2.9041999999999999</v>
      </c>
      <c r="AC35" s="35">
        <f>IF('Field Teams'!$I$5="Inactive",999,IFERROR((6-T35)+(ROW()-3)*0.0001,99))</f>
        <v>2.9032</v>
      </c>
      <c r="AD35" s="31">
        <f>IF('Field Teams'!$I$36="Inactive",999,IFERROR(AB35+(ROW()-3)*0.0001,99))</f>
        <v>2.9074</v>
      </c>
      <c r="AE35" s="29">
        <v>0</v>
      </c>
      <c r="AF35" s="31" t="str">
        <f>IF('Field Teams'!$I$36="Inactive","",IF(AA35="HIGH","YES - within 5 working days",""))</f>
        <v>YES - within 5 working days</v>
      </c>
      <c r="AG35" s="105"/>
      <c r="AH35" s="49">
        <f>IFERROR(SUMPRODUCT(ISNUMBER(SEARCH(B35,'Pole Results'!$A$13:$A$2000))*('Pole Results'!$B$13:$B$2000&gt;=$AG$3)*('Pole Results'!$B$13:$B$2000&lt;=$AE$3)),0)</f>
        <v>0</v>
      </c>
      <c r="AI35" s="49">
        <f>IFERROR(SUMPRODUCT(ISNUMBER(SEARCH(B35,'Pole Results'!$A$13:$A$2000))*('Pole Results'!$B$13:$B$2000&gt;=$AG$3)*('Pole Results'!$B$13:$B$2000&lt;=$AE$3)*('Pole Results'!$E$13:$E$2000="Compliant")),0)</f>
        <v>0</v>
      </c>
      <c r="AJ35" s="105"/>
      <c r="AK35" s="106">
        <f>IF('Field Teams'!$I$36="Inactive",-1,IF(AA35="HIGH",AB35,-1))</f>
        <v>2.9041999999999999</v>
      </c>
      <c r="AL35" s="106">
        <f>IF('Field Teams'!$I$36="Inactive",-1,IF(OR(AA35="HIGH",AA35="MEDIUM"),AB35,-1))</f>
        <v>2.9041999999999999</v>
      </c>
      <c r="AM35" t="str">
        <f>IF('Field Teams'!$I$36="Inactive","",IF(IFERROR(LOOKUP(2,1/('Historical Scores'!C36:N36&lt;&gt;""),'Historical Scores'!C36:N36),"")="","New",IF(T35=""," ",IF(T35&gt;IFERROR(LOOKUP(2,1/('Historical Scores'!C36:N36&lt;&gt;""),'Historical Scores'!C36:N36),""),"▲ Worsening",IF(T35&lt;IFERROR(LOOKUP(2,1/('Historical Scores'!C36:N36&lt;&gt;""),'Historical Scores'!C36:N36),""),"▼ Improving","► Stable")))))</f>
        <v>New</v>
      </c>
      <c r="AN35">
        <f>IFERROR(SUMPRODUCT((ISNUMBER(SEARCH(B35,'Data - SSV'!AE$6:AE$3000)))*('Data - SSV'!AF$6:AF$3000&gt;=(AJ$3-90))*('Data - SSV'!AF$6:AF$3000&lt;=AJ$3)*('Data - SSV'!AH$6:AH$3000&lt;&gt;"")),0)</f>
        <v>0</v>
      </c>
      <c r="AO35">
        <f>IF('Field Teams'!$I$36="Inactive","",IF(AN35=0,3,IF(AN35=1,IF(IFERROR(SUMPRODUCT((ISNUMBER(SEARCH(B35,'Data - SSV'!AE$6:AE$3000)))*('Data - SSV'!AF$6:AF$3000&gt;=(AJ$3-90))*('Data - SSV'!AF$6:AF$3000&lt;=AJ$3)*('Data - SSV'!AH$6:AH$3000&lt;&gt;"")*IF('Data - SSV'!AH$6:AH$3000="",0,'Data - SSV'!AH$6:AH$3000))/AN35,3)=4,4,IF(IFERROR(SUMPRODUCT((ISNUMBER(SEARCH(B35,'Data - SSV'!AE$6:AE$3000)))*('Data - SSV'!AF$6:AF$3000&gt;=(AJ$3-90))*('Data - SSV'!AF$6:AF$3000&lt;=AJ$3)*('Data - SSV'!AH$6:AH$3000&lt;&gt;"")*IF('Data - SSV'!AH$6:AH$3000="",0,'Data - SSV'!AH$6:AH$3000))/AN35,3)&gt;=3,3,IF(IFERROR(SUMPRODUCT((ISNUMBER(SEARCH(B35,'Data - SSV'!AE$6:AE$3000)))*('Data - SSV'!AF$6:AF$3000&gt;=(AJ$3-90))*('Data - SSV'!AF$6:AF$3000&lt;=AJ$3)*('Data - SSV'!AH$6:AH$3000&lt;&gt;"")*IF('Data - SSV'!AH$6:AH$3000="",0,'Data - SSV'!AH$6:AH$3000))/AN35,3)&gt;=2,2,1))),IF(IFERROR(SUMPRODUCT((ISNUMBER(SEARCH(B35,'Data - SSV'!AE$6:AE$3000)))*('Data - SSV'!AF$6:AF$3000&gt;=(AJ$3-90))*('Data - SSV'!AF$6:AF$3000&lt;=AJ$3)*('Data - SSV'!AH$6:AH$3000&lt;&gt;"")*IF('Data - SSV'!AH$6:AH$3000="",0,'Data - SSV'!AH$6:AH$3000))/AN35,3)=4,5,IF(IFERROR(SUMPRODUCT((ISNUMBER(SEARCH(B35,'Data - SSV'!AE$6:AE$3000)))*('Data - SSV'!AF$6:AF$3000&gt;=(AJ$3-90))*('Data - SSV'!AF$6:AF$3000&lt;=AJ$3)*('Data - SSV'!AH$6:AH$3000&lt;&gt;"")*IF('Data - SSV'!AH$6:AH$3000="",0,'Data - SSV'!AH$6:AH$3000))/AN35,3)&gt;=3.5,4,IF(IFERROR(SUMPRODUCT((ISNUMBER(SEARCH(B35,'Data - SSV'!AE$6:AE$3000)))*('Data - SSV'!AF$6:AF$3000&gt;=(AJ$3-90))*('Data - SSV'!AF$6:AF$3000&lt;=AJ$3)*('Data - SSV'!AH$6:AH$3000&lt;&gt;"")*IF('Data - SSV'!AH$6:AH$3000="",0,'Data - SSV'!AH$6:AH$3000))/AN35,3)&gt;=3,3,IF(IFERROR(SUMPRODUCT((ISNUMBER(SEARCH(B35,'Data - SSV'!AE$6:AE$3000)))*('Data - SSV'!AF$6:AF$3000&gt;=(AJ$3-90))*('Data - SSV'!AF$6:AF$3000&lt;=AJ$3)*('Data - SSV'!AH$6:AH$3000&lt;&gt;"")*IF('Data - SSV'!AH$6:AH$3000="",0,'Data - SSV'!AH$6:AH$3000))/AN35,3)&gt;=2,2,1)))))))</f>
        <v>3</v>
      </c>
    </row>
    <row r="36" spans="1:41" ht="19.5" customHeight="1" x14ac:dyDescent="0.15">
      <c r="A36" s="10" t="str">
        <f>'Field Teams'!A37</f>
        <v>FT-033</v>
      </c>
      <c r="B36" s="30" t="str">
        <f>'Field Teams'!B37</f>
        <v>TRACCS South West LTD</v>
      </c>
      <c r="C36" s="30" t="str">
        <f>'Field Teams'!C37</f>
        <v>Utility Arboriculture</v>
      </c>
      <c r="D36" s="10" t="str">
        <f>'Field Teams'!D37</f>
        <v>Donovan  Gosher</v>
      </c>
      <c r="E36" s="10" t="str">
        <f>'Field Teams'!E37</f>
        <v>Jake Bolwell</v>
      </c>
      <c r="F36" s="10">
        <f>'Field Teams'!F37</f>
        <v>0</v>
      </c>
      <c r="G36" s="10">
        <f>'Field Teams'!G37</f>
        <v>0</v>
      </c>
      <c r="H36" s="31">
        <f>'Field Teams'!H37</f>
        <v>6</v>
      </c>
      <c r="I36" s="31">
        <f t="shared" ref="I36:I67" si="5">H36*2</f>
        <v>12</v>
      </c>
      <c r="J36" s="31">
        <f>IFERROR(SUMPRODUCT((((ISNUMBER(SEARCH(B36,'Data - HSQE Events'!V$6:V$3000))+ISNUMBER(SEARCH(B36,'Data - HSQE Events'!H$6:H$3000)))&gt;0))*('Data - HSQE Events'!F$6:F$3000&gt;=$AG$3)*('Data - HSQE Events'!F$6:F$3000&lt;=$AJ$3)*('Data - HSQE Events'!R$6:R$3000="Opportunity")),0)</f>
        <v>0</v>
      </c>
      <c r="K36" s="31">
        <f>IFERROR(SUMPRODUCT((((ISNUMBER(SEARCH(B36,'Data - HSQE Events'!V$6:V$3000))+ISNUMBER(SEARCH(B36,'Data - HSQE Events'!H$6:H$3000)))&gt;0))*('Data - HSQE Events'!F$6:F$3000&gt;=$AG$3)*('Data - HSQE Events'!F$6:F$3000&lt;=$AJ$3)*('Data - HSQE Events'!R$6:R$3000="Minor")),0)</f>
        <v>0</v>
      </c>
      <c r="L36" s="31">
        <f>IFERROR(SUMPRODUCT((((ISNUMBER(SEARCH(B36,'Data - HSQE Events'!V$6:V$3000))+ISNUMBER(SEARCH(B36,'Data - HSQE Events'!H$6:H$3000)))&gt;0))*('Data - HSQE Events'!F$6:F$3000&gt;=$AG$3)*('Data - HSQE Events'!F$6:F$3000&lt;=$AJ$3)*(('Data - HSQE Events'!R$6:R$3000="Moderate")+('Data - HSQE Events'!R$6:R$3000="Major"))),0)</f>
        <v>0</v>
      </c>
      <c r="M36" s="31" t="str">
        <f>IF(IFERROR(SUMPRODUCT((((ISNUMBER(SEARCH(B36,'Data - HSQE Events'!V$6:V$3000))+ISNUMBER(SEARCH(B36,'Data - HSQE Events'!H$6:H$3000)))&gt;0))*('Data - HSQE Events'!F$6:F$3000&gt;=$AG$3)*('Data - HSQE Events'!F$6:F$3000&lt;=$AJ$3)*('Data - HSQE Events'!R$6:R$3000="Major")),0)&gt;0,"YES","NO")</f>
        <v>NO</v>
      </c>
      <c r="N36" s="31">
        <f>IFERROR(SUMPRODUCT(('Data - Skillko'!B$6:B$3000=B36)*('Data - Skillko'!C$6:C$3000="Total")*('Data - Skillko'!E$6:E$3000))*100,0)</f>
        <v>35</v>
      </c>
      <c r="O36" s="31">
        <f t="shared" ref="O36:O67" si="6">ROUND(MAX(1,MIN(5,1+N36/100*4)),1)</f>
        <v>2.4</v>
      </c>
      <c r="P36" s="31">
        <f>IFERROR(SUMPRODUCT(ISNUMBER(SEARCH(B36,'Pole Results'!$A$13:$A$2000))*('Pole Results'!$B$13:$B$2000&gt;=$AG$3)*('Pole Results'!$B$13:$B$2000&lt;=$AE$3)*('Pole Results'!$E$13:$E$2000="Non-Compliant")),0)</f>
        <v>0</v>
      </c>
      <c r="Q36" s="31">
        <f t="shared" ref="Q36:Q67" si="7">IF(I36=0,1,IFERROR(ROUND(MAX(1,MIN(5,1+J36/I36*4)),1),3))</f>
        <v>1</v>
      </c>
      <c r="R36" s="31">
        <f t="shared" ref="R36:R67" si="8">ROUND(6-MAX(MIN(5,K36*0.8+1),MIN(5,L36*2+1)),1)</f>
        <v>5</v>
      </c>
      <c r="S36" s="49">
        <f t="shared" ref="S36:S67" si="9">IFERROR(ROUND(MAX(1,MIN(5,5-(P36/MAX(1,AI36))*4)),1),5)</f>
        <v>5</v>
      </c>
      <c r="T36" s="31">
        <f>IF('Field Teams'!$I$37="Inactive","",ROUND((Q36*Settings!$D$6+R36*Settings!$D$7+O36*Settings!$D$10+S36*Settings!$D$12+AO36*Settings!$D$13)/Settings!$D$14,1))</f>
        <v>2.7</v>
      </c>
      <c r="U36" s="115" t="str">
        <f>IF('Field Teams'!$I$37="Inactive","",IF(Q36="","",IF(Q36&gt;=4.5,"★★★★★",IF(Q36&gt;=3.5,"★★★★☆",IF(Q36&gt;=2.5,"★★★☆☆",IF(Q36&gt;=1.5,"★★☆☆☆","★☆☆☆☆"))))))</f>
        <v>★☆☆☆☆</v>
      </c>
      <c r="V36" s="115" t="str">
        <f>IF('Field Teams'!$I$37="Inactive","",IF(R36="","",IF(R36&gt;=4.5,"★★★★★",IF(R36&gt;=3.5,"★★★★☆",IF(R36&gt;=2.5,"★★★☆☆",IF(R36&gt;=1.5,"★★☆☆☆","★☆☆☆☆"))))))</f>
        <v>★★★★★</v>
      </c>
      <c r="W36" s="115" t="str">
        <f>IF('Field Teams'!$I$37="Inactive","",IF(O36="","",IF(O36&gt;=4.5,"★★★★★",IF(O36&gt;=3.5,"★★★★☆",IF(O36&gt;=2.5,"★★★☆☆",IF(O36&gt;=1.5,"★★☆☆☆","★☆☆☆☆"))))))</f>
        <v>★★☆☆☆</v>
      </c>
      <c r="X36" s="115" t="str">
        <f>IF('Field Teams'!$I$37="Inactive","",IF(S36="","",IF(S36&gt;=4.5,"★★★★★",IF(S36&gt;=3.5,"★★★★☆",IF(S36&gt;=2.5,"★★★☆☆",IF(S36&gt;=1.5,"★★☆☆☆","★☆☆☆☆"))))))</f>
        <v>★★★★★</v>
      </c>
      <c r="Y36" s="115" t="str">
        <f>IF('Field Teams'!$I$37="Inactive","",IF(AO36="","",IF(AO36&gt;=4.5,"★★★★★",IF(AO36&gt;=3.5,"★★★★☆",IF(AO36&gt;=2.5,"★★★☆☆",IF(AO36&gt;=1.5,"★★☆☆☆","★☆☆☆☆"))))))</f>
        <v>★★★☆☆</v>
      </c>
      <c r="Z36" s="115" t="str">
        <f>IF('Field Teams'!$I$5="Inactive","",IF(T36="","",IF(T36&gt;=4.5,"★★★★★",IF(T36&gt;=3.5,"★★★★☆",IF(T36&gt;=2.5,"★★★☆☆",IF(T36&gt;=1.5,"★★☆☆☆","★☆☆☆☆"))))))</f>
        <v>★★★☆☆</v>
      </c>
      <c r="AA36" s="31" t="str">
        <f>IF('Field Teams'!$I$37="Inactive","",IF(M36="YES","HIGH",IF(Q36&lt;=Settings!$D$26,"HIGH",IF(T36&lt;=Settings!$D$23,"HIGH",IF(T36&lt;=Settings!$D$24,"MEDIUM","LOW")))))</f>
        <v>HIGH</v>
      </c>
      <c r="AB36" s="31">
        <f>IF('Field Teams'!$I$5="Inactive",-1,IFERROR((6-T36)+(77-ROW())*0.0001,0))</f>
        <v>3.3041</v>
      </c>
      <c r="AC36" s="35">
        <f>IF('Field Teams'!$I$5="Inactive",999,IFERROR((6-T36)+(ROW()-3)*0.0001,99))</f>
        <v>3.3032999999999997</v>
      </c>
      <c r="AD36" s="31">
        <f>IF('Field Teams'!$I$37="Inactive",999,IFERROR(AB36+(ROW()-3)*0.0001,99))</f>
        <v>3.3073999999999999</v>
      </c>
      <c r="AE36" s="29">
        <v>0</v>
      </c>
      <c r="AF36" s="31" t="str">
        <f>IF('Field Teams'!$I$37="Inactive","",IF(AA36="HIGH","YES - within 5 working days",""))</f>
        <v>YES - within 5 working days</v>
      </c>
      <c r="AG36" s="105"/>
      <c r="AH36" s="49">
        <f>IFERROR(SUMPRODUCT(ISNUMBER(SEARCH(B36,'Pole Results'!$A$13:$A$2000))*('Pole Results'!$B$13:$B$2000&gt;=$AG$3)*('Pole Results'!$B$13:$B$2000&lt;=$AE$3)),0)</f>
        <v>0</v>
      </c>
      <c r="AI36" s="49">
        <f>IFERROR(SUMPRODUCT(ISNUMBER(SEARCH(B36,'Pole Results'!$A$13:$A$2000))*('Pole Results'!$B$13:$B$2000&gt;=$AG$3)*('Pole Results'!$B$13:$B$2000&lt;=$AE$3)*('Pole Results'!$E$13:$E$2000="Compliant")),0)</f>
        <v>0</v>
      </c>
      <c r="AJ36" s="105"/>
      <c r="AK36" s="106">
        <f>IF('Field Teams'!$I$37="Inactive",-1,IF(AA36="HIGH",AB36,-1))</f>
        <v>3.3041</v>
      </c>
      <c r="AL36" s="106">
        <f>IF('Field Teams'!$I$37="Inactive",-1,IF(OR(AA36="HIGH",AA36="MEDIUM"),AB36,-1))</f>
        <v>3.3041</v>
      </c>
      <c r="AM36" t="str">
        <f>IF('Field Teams'!$I$37="Inactive","",IF(IFERROR(LOOKUP(2,1/('Historical Scores'!C37:N37&lt;&gt;""),'Historical Scores'!C37:N37),"")="","New",IF(T36=""," ",IF(T36&gt;IFERROR(LOOKUP(2,1/('Historical Scores'!C37:N37&lt;&gt;""),'Historical Scores'!C37:N37),""),"▲ Worsening",IF(T36&lt;IFERROR(LOOKUP(2,1/('Historical Scores'!C37:N37&lt;&gt;""),'Historical Scores'!C37:N37),""),"▼ Improving","► Stable")))))</f>
        <v>New</v>
      </c>
      <c r="AN36">
        <f>IFERROR(SUMPRODUCT((ISNUMBER(SEARCH(B36,'Data - SSV'!AE$6:AE$3000)))*('Data - SSV'!AF$6:AF$3000&gt;=(AJ$3-90))*('Data - SSV'!AF$6:AF$3000&lt;=AJ$3)*('Data - SSV'!AH$6:AH$3000&lt;&gt;"")),0)</f>
        <v>0</v>
      </c>
      <c r="AO36">
        <f>IF('Field Teams'!$I$37="Inactive","",IF(AN36=0,3,IF(AN36=1,IF(IFERROR(SUMPRODUCT((ISNUMBER(SEARCH(B36,'Data - SSV'!AE$6:AE$3000)))*('Data - SSV'!AF$6:AF$3000&gt;=(AJ$3-90))*('Data - SSV'!AF$6:AF$3000&lt;=AJ$3)*('Data - SSV'!AH$6:AH$3000&lt;&gt;"")*IF('Data - SSV'!AH$6:AH$3000="",0,'Data - SSV'!AH$6:AH$3000))/AN36,3)=4,4,IF(IFERROR(SUMPRODUCT((ISNUMBER(SEARCH(B36,'Data - SSV'!AE$6:AE$3000)))*('Data - SSV'!AF$6:AF$3000&gt;=(AJ$3-90))*('Data - SSV'!AF$6:AF$3000&lt;=AJ$3)*('Data - SSV'!AH$6:AH$3000&lt;&gt;"")*IF('Data - SSV'!AH$6:AH$3000="",0,'Data - SSV'!AH$6:AH$3000))/AN36,3)&gt;=3,3,IF(IFERROR(SUMPRODUCT((ISNUMBER(SEARCH(B36,'Data - SSV'!AE$6:AE$3000)))*('Data - SSV'!AF$6:AF$3000&gt;=(AJ$3-90))*('Data - SSV'!AF$6:AF$3000&lt;=AJ$3)*('Data - SSV'!AH$6:AH$3000&lt;&gt;"")*IF('Data - SSV'!AH$6:AH$3000="",0,'Data - SSV'!AH$6:AH$3000))/AN36,3)&gt;=2,2,1))),IF(IFERROR(SUMPRODUCT((ISNUMBER(SEARCH(B36,'Data - SSV'!AE$6:AE$3000)))*('Data - SSV'!AF$6:AF$3000&gt;=(AJ$3-90))*('Data - SSV'!AF$6:AF$3000&lt;=AJ$3)*('Data - SSV'!AH$6:AH$3000&lt;&gt;"")*IF('Data - SSV'!AH$6:AH$3000="",0,'Data - SSV'!AH$6:AH$3000))/AN36,3)=4,5,IF(IFERROR(SUMPRODUCT((ISNUMBER(SEARCH(B36,'Data - SSV'!AE$6:AE$3000)))*('Data - SSV'!AF$6:AF$3000&gt;=(AJ$3-90))*('Data - SSV'!AF$6:AF$3000&lt;=AJ$3)*('Data - SSV'!AH$6:AH$3000&lt;&gt;"")*IF('Data - SSV'!AH$6:AH$3000="",0,'Data - SSV'!AH$6:AH$3000))/AN36,3)&gt;=3.5,4,IF(IFERROR(SUMPRODUCT((ISNUMBER(SEARCH(B36,'Data - SSV'!AE$6:AE$3000)))*('Data - SSV'!AF$6:AF$3000&gt;=(AJ$3-90))*('Data - SSV'!AF$6:AF$3000&lt;=AJ$3)*('Data - SSV'!AH$6:AH$3000&lt;&gt;"")*IF('Data - SSV'!AH$6:AH$3000="",0,'Data - SSV'!AH$6:AH$3000))/AN36,3)&gt;=3,3,IF(IFERROR(SUMPRODUCT((ISNUMBER(SEARCH(B36,'Data - SSV'!AE$6:AE$3000)))*('Data - SSV'!AF$6:AF$3000&gt;=(AJ$3-90))*('Data - SSV'!AF$6:AF$3000&lt;=AJ$3)*('Data - SSV'!AH$6:AH$3000&lt;&gt;"")*IF('Data - SSV'!AH$6:AH$3000="",0,'Data - SSV'!AH$6:AH$3000))/AN36,3)&gt;=2,2,1)))))))</f>
        <v>3</v>
      </c>
    </row>
    <row r="37" spans="1:41" ht="19.5" customHeight="1" x14ac:dyDescent="0.15">
      <c r="A37" s="6" t="str">
        <f>'Field Teams'!A38</f>
        <v>FT-034</v>
      </c>
      <c r="B37" s="28" t="str">
        <f>'Field Teams'!B38</f>
        <v>Treerebral Ltd</v>
      </c>
      <c r="C37" s="28" t="str">
        <f>'Field Teams'!C38</f>
        <v>Utility Arboriculture</v>
      </c>
      <c r="D37" s="6" t="str">
        <f>'Field Teams'!D38</f>
        <v>Donovan  Gosher</v>
      </c>
      <c r="E37" s="6" t="str">
        <f>'Field Teams'!E38</f>
        <v>Jake Bolwell</v>
      </c>
      <c r="F37" s="6">
        <f>'Field Teams'!F38</f>
        <v>0</v>
      </c>
      <c r="G37" s="6">
        <f>'Field Teams'!G38</f>
        <v>0</v>
      </c>
      <c r="H37" s="31">
        <f>'Field Teams'!H38</f>
        <v>4</v>
      </c>
      <c r="I37" s="31">
        <f t="shared" si="5"/>
        <v>8</v>
      </c>
      <c r="J37" s="31">
        <f>IFERROR(SUMPRODUCT((((ISNUMBER(SEARCH(B37,'Data - HSQE Events'!V$6:V$3000))+ISNUMBER(SEARCH(B37,'Data - HSQE Events'!H$6:H$3000)))&gt;0))*('Data - HSQE Events'!F$6:F$3000&gt;=$AG$3)*('Data - HSQE Events'!F$6:F$3000&lt;=$AJ$3)*('Data - HSQE Events'!R$6:R$3000="Opportunity")),0)</f>
        <v>0</v>
      </c>
      <c r="K37" s="31">
        <f>IFERROR(SUMPRODUCT((((ISNUMBER(SEARCH(B37,'Data - HSQE Events'!V$6:V$3000))+ISNUMBER(SEARCH(B37,'Data - HSQE Events'!H$6:H$3000)))&gt;0))*('Data - HSQE Events'!F$6:F$3000&gt;=$AG$3)*('Data - HSQE Events'!F$6:F$3000&lt;=$AJ$3)*('Data - HSQE Events'!R$6:R$3000="Minor")),0)</f>
        <v>0</v>
      </c>
      <c r="L37" s="31">
        <f>IFERROR(SUMPRODUCT((((ISNUMBER(SEARCH(B37,'Data - HSQE Events'!V$6:V$3000))+ISNUMBER(SEARCH(B37,'Data - HSQE Events'!H$6:H$3000)))&gt;0))*('Data - HSQE Events'!F$6:F$3000&gt;=$AG$3)*('Data - HSQE Events'!F$6:F$3000&lt;=$AJ$3)*(('Data - HSQE Events'!R$6:R$3000="Moderate")+('Data - HSQE Events'!R$6:R$3000="Major"))),0)</f>
        <v>0</v>
      </c>
      <c r="M37" s="31" t="str">
        <f>IF(IFERROR(SUMPRODUCT((((ISNUMBER(SEARCH(B37,'Data - HSQE Events'!V$6:V$3000))+ISNUMBER(SEARCH(B37,'Data - HSQE Events'!H$6:H$3000)))&gt;0))*('Data - HSQE Events'!F$6:F$3000&gt;=$AG$3)*('Data - HSQE Events'!F$6:F$3000&lt;=$AJ$3)*('Data - HSQE Events'!R$6:R$3000="Major")),0)&gt;0,"YES","NO")</f>
        <v>NO</v>
      </c>
      <c r="N37" s="31">
        <f>IFERROR(SUMPRODUCT(('Data - Skillko'!B$6:B$3000=B37)*('Data - Skillko'!C$6:C$3000="Total")*('Data - Skillko'!E$6:E$3000))*100,0)</f>
        <v>60</v>
      </c>
      <c r="O37" s="31">
        <f t="shared" si="6"/>
        <v>3.4</v>
      </c>
      <c r="P37" s="31">
        <f>IFERROR(SUMPRODUCT(ISNUMBER(SEARCH(B37,'Pole Results'!$A$13:$A$2000))*('Pole Results'!$B$13:$B$2000&gt;=$AG$3)*('Pole Results'!$B$13:$B$2000&lt;=$AE$3)*('Pole Results'!$E$13:$E$2000="Non-Compliant")),0)</f>
        <v>0</v>
      </c>
      <c r="Q37" s="31">
        <f t="shared" si="7"/>
        <v>1</v>
      </c>
      <c r="R37" s="31">
        <f t="shared" si="8"/>
        <v>5</v>
      </c>
      <c r="S37" s="49">
        <f t="shared" si="9"/>
        <v>5</v>
      </c>
      <c r="T37" s="31">
        <f>IF('Field Teams'!$I$38="Inactive","",ROUND((Q37*Settings!$D$6+R37*Settings!$D$7+O37*Settings!$D$10+S37*Settings!$D$12+AO37*Settings!$D$13)/Settings!$D$14,1))</f>
        <v>2.9</v>
      </c>
      <c r="U37" s="115" t="str">
        <f>IF('Field Teams'!$I$38="Inactive","",IF(Q37="","",IF(Q37&gt;=4.5,"★★★★★",IF(Q37&gt;=3.5,"★★★★☆",IF(Q37&gt;=2.5,"★★★☆☆",IF(Q37&gt;=1.5,"★★☆☆☆","★☆☆☆☆"))))))</f>
        <v>★☆☆☆☆</v>
      </c>
      <c r="V37" s="115" t="str">
        <f>IF('Field Teams'!$I$38="Inactive","",IF(R37="","",IF(R37&gt;=4.5,"★★★★★",IF(R37&gt;=3.5,"★★★★☆",IF(R37&gt;=2.5,"★★★☆☆",IF(R37&gt;=1.5,"★★☆☆☆","★☆☆☆☆"))))))</f>
        <v>★★★★★</v>
      </c>
      <c r="W37" s="115" t="str">
        <f>IF('Field Teams'!$I$38="Inactive","",IF(O37="","",IF(O37&gt;=4.5,"★★★★★",IF(O37&gt;=3.5,"★★★★☆",IF(O37&gt;=2.5,"★★★☆☆",IF(O37&gt;=1.5,"★★☆☆☆","★☆☆☆☆"))))))</f>
        <v>★★★☆☆</v>
      </c>
      <c r="X37" s="115" t="str">
        <f>IF('Field Teams'!$I$38="Inactive","",IF(S37="","",IF(S37&gt;=4.5,"★★★★★",IF(S37&gt;=3.5,"★★★★☆",IF(S37&gt;=2.5,"★★★☆☆",IF(S37&gt;=1.5,"★★☆☆☆","★☆☆☆☆"))))))</f>
        <v>★★★★★</v>
      </c>
      <c r="Y37" s="115" t="str">
        <f>IF('Field Teams'!$I$38="Inactive","",IF(AO37="","",IF(AO37&gt;=4.5,"★★★★★",IF(AO37&gt;=3.5,"★★★★☆",IF(AO37&gt;=2.5,"★★★☆☆",IF(AO37&gt;=1.5,"★★☆☆☆","★☆☆☆☆"))))))</f>
        <v>★★★☆☆</v>
      </c>
      <c r="Z37" s="115" t="str">
        <f>IF('Field Teams'!$I$5="Inactive","",IF(T37="","",IF(T37&gt;=4.5,"★★★★★",IF(T37&gt;=3.5,"★★★★☆",IF(T37&gt;=2.5,"★★★☆☆",IF(T37&gt;=1.5,"★★☆☆☆","★☆☆☆☆"))))))</f>
        <v>★★★☆☆</v>
      </c>
      <c r="AA37" s="31" t="str">
        <f>IF('Field Teams'!$I$38="Inactive","",IF(M37="YES","HIGH",IF(Q37&lt;=Settings!$D$26,"HIGH",IF(T37&lt;=Settings!$D$23,"HIGH",IF(T37&lt;=Settings!$D$24,"MEDIUM","LOW")))))</f>
        <v>HIGH</v>
      </c>
      <c r="AB37" s="31">
        <f>IF('Field Teams'!$I$5="Inactive",-1,IFERROR((6-T37)+(77-ROW())*0.0001,0))</f>
        <v>3.1040000000000001</v>
      </c>
      <c r="AC37" s="35">
        <f>IF('Field Teams'!$I$5="Inactive",999,IFERROR((6-T37)+(ROW()-3)*0.0001,99))</f>
        <v>3.1034000000000002</v>
      </c>
      <c r="AD37" s="31">
        <f>IF('Field Teams'!$I$38="Inactive",999,IFERROR(AB37+(ROW()-3)*0.0001,99))</f>
        <v>3.1074000000000002</v>
      </c>
      <c r="AE37" s="29">
        <v>0</v>
      </c>
      <c r="AF37" s="31" t="str">
        <f>IF('Field Teams'!$I$38="Inactive","",IF(AA37="HIGH","YES - within 5 working days",""))</f>
        <v>YES - within 5 working days</v>
      </c>
      <c r="AG37" s="105"/>
      <c r="AH37" s="49">
        <f>IFERROR(SUMPRODUCT(ISNUMBER(SEARCH(B37,'Pole Results'!$A$13:$A$2000))*('Pole Results'!$B$13:$B$2000&gt;=$AG$3)*('Pole Results'!$B$13:$B$2000&lt;=$AE$3)),0)</f>
        <v>0</v>
      </c>
      <c r="AI37" s="49">
        <f>IFERROR(SUMPRODUCT(ISNUMBER(SEARCH(B37,'Pole Results'!$A$13:$A$2000))*('Pole Results'!$B$13:$B$2000&gt;=$AG$3)*('Pole Results'!$B$13:$B$2000&lt;=$AE$3)*('Pole Results'!$E$13:$E$2000="Compliant")),0)</f>
        <v>0</v>
      </c>
      <c r="AJ37" s="105"/>
      <c r="AK37" s="106">
        <f>IF('Field Teams'!$I$38="Inactive",-1,IF(AA37="HIGH",AB37,-1))</f>
        <v>3.1040000000000001</v>
      </c>
      <c r="AL37" s="106">
        <f>IF('Field Teams'!$I$38="Inactive",-1,IF(OR(AA37="HIGH",AA37="MEDIUM"),AB37,-1))</f>
        <v>3.1040000000000001</v>
      </c>
      <c r="AM37" t="str">
        <f>IF('Field Teams'!$I$38="Inactive","",IF(IFERROR(LOOKUP(2,1/('Historical Scores'!C38:N38&lt;&gt;""),'Historical Scores'!C38:N38),"")="","New",IF(T37=""," ",IF(T37&gt;IFERROR(LOOKUP(2,1/('Historical Scores'!C38:N38&lt;&gt;""),'Historical Scores'!C38:N38),""),"▲ Worsening",IF(T37&lt;IFERROR(LOOKUP(2,1/('Historical Scores'!C38:N38&lt;&gt;""),'Historical Scores'!C38:N38),""),"▼ Improving","► Stable")))))</f>
        <v>New</v>
      </c>
      <c r="AN37">
        <f>IFERROR(SUMPRODUCT((ISNUMBER(SEARCH(B37,'Data - SSV'!AE$6:AE$3000)))*('Data - SSV'!AF$6:AF$3000&gt;=(AJ$3-90))*('Data - SSV'!AF$6:AF$3000&lt;=AJ$3)*('Data - SSV'!AH$6:AH$3000&lt;&gt;"")),0)</f>
        <v>0</v>
      </c>
      <c r="AO37">
        <f>IF('Field Teams'!$I$38="Inactive","",IF(AN37=0,3,IF(AN37=1,IF(IFERROR(SUMPRODUCT((ISNUMBER(SEARCH(B37,'Data - SSV'!AE$6:AE$3000)))*('Data - SSV'!AF$6:AF$3000&gt;=(AJ$3-90))*('Data - SSV'!AF$6:AF$3000&lt;=AJ$3)*('Data - SSV'!AH$6:AH$3000&lt;&gt;"")*IF('Data - SSV'!AH$6:AH$3000="",0,'Data - SSV'!AH$6:AH$3000))/AN37,3)=4,4,IF(IFERROR(SUMPRODUCT((ISNUMBER(SEARCH(B37,'Data - SSV'!AE$6:AE$3000)))*('Data - SSV'!AF$6:AF$3000&gt;=(AJ$3-90))*('Data - SSV'!AF$6:AF$3000&lt;=AJ$3)*('Data - SSV'!AH$6:AH$3000&lt;&gt;"")*IF('Data - SSV'!AH$6:AH$3000="",0,'Data - SSV'!AH$6:AH$3000))/AN37,3)&gt;=3,3,IF(IFERROR(SUMPRODUCT((ISNUMBER(SEARCH(B37,'Data - SSV'!AE$6:AE$3000)))*('Data - SSV'!AF$6:AF$3000&gt;=(AJ$3-90))*('Data - SSV'!AF$6:AF$3000&lt;=AJ$3)*('Data - SSV'!AH$6:AH$3000&lt;&gt;"")*IF('Data - SSV'!AH$6:AH$3000="",0,'Data - SSV'!AH$6:AH$3000))/AN37,3)&gt;=2,2,1))),IF(IFERROR(SUMPRODUCT((ISNUMBER(SEARCH(B37,'Data - SSV'!AE$6:AE$3000)))*('Data - SSV'!AF$6:AF$3000&gt;=(AJ$3-90))*('Data - SSV'!AF$6:AF$3000&lt;=AJ$3)*('Data - SSV'!AH$6:AH$3000&lt;&gt;"")*IF('Data - SSV'!AH$6:AH$3000="",0,'Data - SSV'!AH$6:AH$3000))/AN37,3)=4,5,IF(IFERROR(SUMPRODUCT((ISNUMBER(SEARCH(B37,'Data - SSV'!AE$6:AE$3000)))*('Data - SSV'!AF$6:AF$3000&gt;=(AJ$3-90))*('Data - SSV'!AF$6:AF$3000&lt;=AJ$3)*('Data - SSV'!AH$6:AH$3000&lt;&gt;"")*IF('Data - SSV'!AH$6:AH$3000="",0,'Data - SSV'!AH$6:AH$3000))/AN37,3)&gt;=3.5,4,IF(IFERROR(SUMPRODUCT((ISNUMBER(SEARCH(B37,'Data - SSV'!AE$6:AE$3000)))*('Data - SSV'!AF$6:AF$3000&gt;=(AJ$3-90))*('Data - SSV'!AF$6:AF$3000&lt;=AJ$3)*('Data - SSV'!AH$6:AH$3000&lt;&gt;"")*IF('Data - SSV'!AH$6:AH$3000="",0,'Data - SSV'!AH$6:AH$3000))/AN37,3)&gt;=3,3,IF(IFERROR(SUMPRODUCT((ISNUMBER(SEARCH(B37,'Data - SSV'!AE$6:AE$3000)))*('Data - SSV'!AF$6:AF$3000&gt;=(AJ$3-90))*('Data - SSV'!AF$6:AF$3000&lt;=AJ$3)*('Data - SSV'!AH$6:AH$3000&lt;&gt;"")*IF('Data - SSV'!AH$6:AH$3000="",0,'Data - SSV'!AH$6:AH$3000))/AN37,3)&gt;=2,2,1)))))))</f>
        <v>3</v>
      </c>
    </row>
    <row r="38" spans="1:41" ht="19.5" customHeight="1" x14ac:dyDescent="0.15">
      <c r="A38" s="10" t="str">
        <f>'Field Teams'!A39</f>
        <v>FT-035</v>
      </c>
      <c r="B38" s="30" t="str">
        <f>'Field Teams'!B39</f>
        <v>Two Counties Tree Care Ltd</v>
      </c>
      <c r="C38" s="30" t="str">
        <f>'Field Teams'!C39</f>
        <v>Utility Arboriculture</v>
      </c>
      <c r="D38" s="10" t="str">
        <f>'Field Teams'!D39</f>
        <v>Donovan  Gosher</v>
      </c>
      <c r="E38" s="10" t="str">
        <f>'Field Teams'!E39</f>
        <v>Jake Bolwell</v>
      </c>
      <c r="F38" s="10">
        <f>'Field Teams'!F39</f>
        <v>0</v>
      </c>
      <c r="G38" s="10">
        <f>'Field Teams'!G39</f>
        <v>0</v>
      </c>
      <c r="H38" s="31">
        <f>'Field Teams'!H39</f>
        <v>2</v>
      </c>
      <c r="I38" s="31">
        <f t="shared" si="5"/>
        <v>4</v>
      </c>
      <c r="J38" s="31">
        <f>IFERROR(SUMPRODUCT((((ISNUMBER(SEARCH(B38,'Data - HSQE Events'!V$6:V$3000))+ISNUMBER(SEARCH(B38,'Data - HSQE Events'!H$6:H$3000)))&gt;0))*('Data - HSQE Events'!F$6:F$3000&gt;=$AG$3)*('Data - HSQE Events'!F$6:F$3000&lt;=$AJ$3)*('Data - HSQE Events'!R$6:R$3000="Opportunity")),0)</f>
        <v>0</v>
      </c>
      <c r="K38" s="31">
        <f>IFERROR(SUMPRODUCT((((ISNUMBER(SEARCH(B38,'Data - HSQE Events'!V$6:V$3000))+ISNUMBER(SEARCH(B38,'Data - HSQE Events'!H$6:H$3000)))&gt;0))*('Data - HSQE Events'!F$6:F$3000&gt;=$AG$3)*('Data - HSQE Events'!F$6:F$3000&lt;=$AJ$3)*('Data - HSQE Events'!R$6:R$3000="Minor")),0)</f>
        <v>0</v>
      </c>
      <c r="L38" s="31">
        <f>IFERROR(SUMPRODUCT((((ISNUMBER(SEARCH(B38,'Data - HSQE Events'!V$6:V$3000))+ISNUMBER(SEARCH(B38,'Data - HSQE Events'!H$6:H$3000)))&gt;0))*('Data - HSQE Events'!F$6:F$3000&gt;=$AG$3)*('Data - HSQE Events'!F$6:F$3000&lt;=$AJ$3)*(('Data - HSQE Events'!R$6:R$3000="Moderate")+('Data - HSQE Events'!R$6:R$3000="Major"))),0)</f>
        <v>0</v>
      </c>
      <c r="M38" s="31" t="str">
        <f>IF(IFERROR(SUMPRODUCT((((ISNUMBER(SEARCH(B38,'Data - HSQE Events'!V$6:V$3000))+ISNUMBER(SEARCH(B38,'Data - HSQE Events'!H$6:H$3000)))&gt;0))*('Data - HSQE Events'!F$6:F$3000&gt;=$AG$3)*('Data - HSQE Events'!F$6:F$3000&lt;=$AJ$3)*('Data - HSQE Events'!R$6:R$3000="Major")),0)&gt;0,"YES","NO")</f>
        <v>NO</v>
      </c>
      <c r="N38" s="31">
        <f>IFERROR(SUMPRODUCT(('Data - Skillko'!B$6:B$3000=B38)*('Data - Skillko'!C$6:C$3000="Total")*('Data - Skillko'!E$6:E$3000))*100,0)</f>
        <v>93</v>
      </c>
      <c r="O38" s="31">
        <f t="shared" si="6"/>
        <v>4.7</v>
      </c>
      <c r="P38" s="31">
        <f>IFERROR(SUMPRODUCT(ISNUMBER(SEARCH(B38,'Pole Results'!$A$13:$A$2000))*('Pole Results'!$B$13:$B$2000&gt;=$AG$3)*('Pole Results'!$B$13:$B$2000&lt;=$AE$3)*('Pole Results'!$E$13:$E$2000="Non-Compliant")),0)</f>
        <v>0</v>
      </c>
      <c r="Q38" s="31">
        <f t="shared" si="7"/>
        <v>1</v>
      </c>
      <c r="R38" s="31">
        <f t="shared" si="8"/>
        <v>5</v>
      </c>
      <c r="S38" s="49">
        <f t="shared" si="9"/>
        <v>5</v>
      </c>
      <c r="T38" s="31">
        <f>IF('Field Teams'!$I$39="Inactive","",ROUND((Q38*Settings!$D$6+R38*Settings!$D$7+O38*Settings!$D$10+S38*Settings!$D$12+AO38*Settings!$D$13)/Settings!$D$14,1))</f>
        <v>3.1</v>
      </c>
      <c r="U38" s="115" t="str">
        <f>IF('Field Teams'!$I$39="Inactive","",IF(Q38="","",IF(Q38&gt;=4.5,"★★★★★",IF(Q38&gt;=3.5,"★★★★☆",IF(Q38&gt;=2.5,"★★★☆☆",IF(Q38&gt;=1.5,"★★☆☆☆","★☆☆☆☆"))))))</f>
        <v>★☆☆☆☆</v>
      </c>
      <c r="V38" s="115" t="str">
        <f>IF('Field Teams'!$I$39="Inactive","",IF(R38="","",IF(R38&gt;=4.5,"★★★★★",IF(R38&gt;=3.5,"★★★★☆",IF(R38&gt;=2.5,"★★★☆☆",IF(R38&gt;=1.5,"★★☆☆☆","★☆☆☆☆"))))))</f>
        <v>★★★★★</v>
      </c>
      <c r="W38" s="115" t="str">
        <f>IF('Field Teams'!$I$39="Inactive","",IF(O38="","",IF(O38&gt;=4.5,"★★★★★",IF(O38&gt;=3.5,"★★★★☆",IF(O38&gt;=2.5,"★★★☆☆",IF(O38&gt;=1.5,"★★☆☆☆","★☆☆☆☆"))))))</f>
        <v>★★★★★</v>
      </c>
      <c r="X38" s="115" t="str">
        <f>IF('Field Teams'!$I$39="Inactive","",IF(S38="","",IF(S38&gt;=4.5,"★★★★★",IF(S38&gt;=3.5,"★★★★☆",IF(S38&gt;=2.5,"★★★☆☆",IF(S38&gt;=1.5,"★★☆☆☆","★☆☆☆☆"))))))</f>
        <v>★★★★★</v>
      </c>
      <c r="Y38" s="115" t="str">
        <f>IF('Field Teams'!$I$39="Inactive","",IF(AO38="","",IF(AO38&gt;=4.5,"★★★★★",IF(AO38&gt;=3.5,"★★★★☆",IF(AO38&gt;=2.5,"★★★☆☆",IF(AO38&gt;=1.5,"★★☆☆☆","★☆☆☆☆"))))))</f>
        <v>★★★☆☆</v>
      </c>
      <c r="Z38" s="115" t="str">
        <f>IF('Field Teams'!$I$5="Inactive","",IF(T38="","",IF(T38&gt;=4.5,"★★★★★",IF(T38&gt;=3.5,"★★★★☆",IF(T38&gt;=2.5,"★★★☆☆",IF(T38&gt;=1.5,"★★☆☆☆","★☆☆☆☆"))))))</f>
        <v>★★★☆☆</v>
      </c>
      <c r="AA38" s="31" t="str">
        <f>IF('Field Teams'!$I$39="Inactive","",IF(M38="YES","HIGH",IF(Q38&lt;=Settings!$D$26,"HIGH",IF(T38&lt;=Settings!$D$23,"HIGH",IF(T38&lt;=Settings!$D$24,"MEDIUM","LOW")))))</f>
        <v>HIGH</v>
      </c>
      <c r="AB38" s="31">
        <f>IF('Field Teams'!$I$5="Inactive",-1,IFERROR((6-T38)+(77-ROW())*0.0001,0))</f>
        <v>2.9038999999999997</v>
      </c>
      <c r="AC38" s="35">
        <f>IF('Field Teams'!$I$5="Inactive",999,IFERROR((6-T38)+(ROW()-3)*0.0001,99))</f>
        <v>2.9034999999999997</v>
      </c>
      <c r="AD38" s="31">
        <f>IF('Field Teams'!$I$39="Inactive",999,IFERROR(AB38+(ROW()-3)*0.0001,99))</f>
        <v>2.9073999999999995</v>
      </c>
      <c r="AE38" s="29">
        <v>0</v>
      </c>
      <c r="AF38" s="31" t="str">
        <f>IF('Field Teams'!$I$39="Inactive","",IF(AA38="HIGH","YES - within 5 working days",""))</f>
        <v>YES - within 5 working days</v>
      </c>
      <c r="AG38" s="105"/>
      <c r="AH38" s="49">
        <f>IFERROR(SUMPRODUCT(ISNUMBER(SEARCH(B38,'Pole Results'!$A$13:$A$2000))*('Pole Results'!$B$13:$B$2000&gt;=$AG$3)*('Pole Results'!$B$13:$B$2000&lt;=$AE$3)),0)</f>
        <v>0</v>
      </c>
      <c r="AI38" s="49">
        <f>IFERROR(SUMPRODUCT(ISNUMBER(SEARCH(B38,'Pole Results'!$A$13:$A$2000))*('Pole Results'!$B$13:$B$2000&gt;=$AG$3)*('Pole Results'!$B$13:$B$2000&lt;=$AE$3)*('Pole Results'!$E$13:$E$2000="Compliant")),0)</f>
        <v>0</v>
      </c>
      <c r="AJ38" s="105"/>
      <c r="AK38" s="106">
        <f>IF('Field Teams'!$I$39="Inactive",-1,IF(AA38="HIGH",AB38,-1))</f>
        <v>2.9038999999999997</v>
      </c>
      <c r="AL38" s="106">
        <f>IF('Field Teams'!$I$39="Inactive",-1,IF(OR(AA38="HIGH",AA38="MEDIUM"),AB38,-1))</f>
        <v>2.9038999999999997</v>
      </c>
      <c r="AM38" t="str">
        <f>IF('Field Teams'!$I$39="Inactive","",IF(IFERROR(LOOKUP(2,1/('Historical Scores'!C39:N39&lt;&gt;""),'Historical Scores'!C39:N39),"")="","New",IF(T38=""," ",IF(T38&gt;IFERROR(LOOKUP(2,1/('Historical Scores'!C39:N39&lt;&gt;""),'Historical Scores'!C39:N39),""),"▲ Worsening",IF(T38&lt;IFERROR(LOOKUP(2,1/('Historical Scores'!C39:N39&lt;&gt;""),'Historical Scores'!C39:N39),""),"▼ Improving","► Stable")))))</f>
        <v>New</v>
      </c>
      <c r="AN38">
        <f>IFERROR(SUMPRODUCT((ISNUMBER(SEARCH(B38,'Data - SSV'!AE$6:AE$3000)))*('Data - SSV'!AF$6:AF$3000&gt;=(AJ$3-90))*('Data - SSV'!AF$6:AF$3000&lt;=AJ$3)*('Data - SSV'!AH$6:AH$3000&lt;&gt;"")),0)</f>
        <v>0</v>
      </c>
      <c r="AO38">
        <f>IF('Field Teams'!$I$39="Inactive","",IF(AN38=0,3,IF(AN38=1,IF(IFERROR(SUMPRODUCT((ISNUMBER(SEARCH(B38,'Data - SSV'!AE$6:AE$3000)))*('Data - SSV'!AF$6:AF$3000&gt;=(AJ$3-90))*('Data - SSV'!AF$6:AF$3000&lt;=AJ$3)*('Data - SSV'!AH$6:AH$3000&lt;&gt;"")*IF('Data - SSV'!AH$6:AH$3000="",0,'Data - SSV'!AH$6:AH$3000))/AN38,3)=4,4,IF(IFERROR(SUMPRODUCT((ISNUMBER(SEARCH(B38,'Data - SSV'!AE$6:AE$3000)))*('Data - SSV'!AF$6:AF$3000&gt;=(AJ$3-90))*('Data - SSV'!AF$6:AF$3000&lt;=AJ$3)*('Data - SSV'!AH$6:AH$3000&lt;&gt;"")*IF('Data - SSV'!AH$6:AH$3000="",0,'Data - SSV'!AH$6:AH$3000))/AN38,3)&gt;=3,3,IF(IFERROR(SUMPRODUCT((ISNUMBER(SEARCH(B38,'Data - SSV'!AE$6:AE$3000)))*('Data - SSV'!AF$6:AF$3000&gt;=(AJ$3-90))*('Data - SSV'!AF$6:AF$3000&lt;=AJ$3)*('Data - SSV'!AH$6:AH$3000&lt;&gt;"")*IF('Data - SSV'!AH$6:AH$3000="",0,'Data - SSV'!AH$6:AH$3000))/AN38,3)&gt;=2,2,1))),IF(IFERROR(SUMPRODUCT((ISNUMBER(SEARCH(B38,'Data - SSV'!AE$6:AE$3000)))*('Data - SSV'!AF$6:AF$3000&gt;=(AJ$3-90))*('Data - SSV'!AF$6:AF$3000&lt;=AJ$3)*('Data - SSV'!AH$6:AH$3000&lt;&gt;"")*IF('Data - SSV'!AH$6:AH$3000="",0,'Data - SSV'!AH$6:AH$3000))/AN38,3)=4,5,IF(IFERROR(SUMPRODUCT((ISNUMBER(SEARCH(B38,'Data - SSV'!AE$6:AE$3000)))*('Data - SSV'!AF$6:AF$3000&gt;=(AJ$3-90))*('Data - SSV'!AF$6:AF$3000&lt;=AJ$3)*('Data - SSV'!AH$6:AH$3000&lt;&gt;"")*IF('Data - SSV'!AH$6:AH$3000="",0,'Data - SSV'!AH$6:AH$3000))/AN38,3)&gt;=3.5,4,IF(IFERROR(SUMPRODUCT((ISNUMBER(SEARCH(B38,'Data - SSV'!AE$6:AE$3000)))*('Data - SSV'!AF$6:AF$3000&gt;=(AJ$3-90))*('Data - SSV'!AF$6:AF$3000&lt;=AJ$3)*('Data - SSV'!AH$6:AH$3000&lt;&gt;"")*IF('Data - SSV'!AH$6:AH$3000="",0,'Data - SSV'!AH$6:AH$3000))/AN38,3)&gt;=3,3,IF(IFERROR(SUMPRODUCT((ISNUMBER(SEARCH(B38,'Data - SSV'!AE$6:AE$3000)))*('Data - SSV'!AF$6:AF$3000&gt;=(AJ$3-90))*('Data - SSV'!AF$6:AF$3000&lt;=AJ$3)*('Data - SSV'!AH$6:AH$3000&lt;&gt;"")*IF('Data - SSV'!AH$6:AH$3000="",0,'Data - SSV'!AH$6:AH$3000))/AN38,3)&gt;=2,2,1)))))))</f>
        <v>3</v>
      </c>
    </row>
    <row r="39" spans="1:41" ht="19.5" customHeight="1" x14ac:dyDescent="0.15">
      <c r="A39" s="6" t="str">
        <f>'Field Teams'!A40</f>
        <v>FT-036</v>
      </c>
      <c r="B39" s="28" t="str">
        <f>'Field Teams'!B40</f>
        <v>Vale Tree Surgeons</v>
      </c>
      <c r="C39" s="28" t="str">
        <f>'Field Teams'!C40</f>
        <v>Utility Arboriculture</v>
      </c>
      <c r="D39" s="6" t="str">
        <f>'Field Teams'!D40</f>
        <v>Donovan  Gosher</v>
      </c>
      <c r="E39" s="6" t="str">
        <f>'Field Teams'!E40</f>
        <v>Jake Bolwell</v>
      </c>
      <c r="F39" s="6">
        <f>'Field Teams'!F40</f>
        <v>0</v>
      </c>
      <c r="G39" s="6">
        <f>'Field Teams'!G40</f>
        <v>0</v>
      </c>
      <c r="H39" s="31">
        <f>'Field Teams'!H40</f>
        <v>5</v>
      </c>
      <c r="I39" s="31">
        <f t="shared" si="5"/>
        <v>10</v>
      </c>
      <c r="J39" s="31">
        <f>IFERROR(SUMPRODUCT((((ISNUMBER(SEARCH(B39,'Data - HSQE Events'!V$6:V$3000))+ISNUMBER(SEARCH(B39,'Data - HSQE Events'!H$6:H$3000)))&gt;0))*('Data - HSQE Events'!F$6:F$3000&gt;=$AG$3)*('Data - HSQE Events'!F$6:F$3000&lt;=$AJ$3)*('Data - HSQE Events'!R$6:R$3000="Opportunity")),0)</f>
        <v>0</v>
      </c>
      <c r="K39" s="31">
        <f>IFERROR(SUMPRODUCT((((ISNUMBER(SEARCH(B39,'Data - HSQE Events'!V$6:V$3000))+ISNUMBER(SEARCH(B39,'Data - HSQE Events'!H$6:H$3000)))&gt;0))*('Data - HSQE Events'!F$6:F$3000&gt;=$AG$3)*('Data - HSQE Events'!F$6:F$3000&lt;=$AJ$3)*('Data - HSQE Events'!R$6:R$3000="Minor")),0)</f>
        <v>0</v>
      </c>
      <c r="L39" s="31">
        <f>IFERROR(SUMPRODUCT((((ISNUMBER(SEARCH(B39,'Data - HSQE Events'!V$6:V$3000))+ISNUMBER(SEARCH(B39,'Data - HSQE Events'!H$6:H$3000)))&gt;0))*('Data - HSQE Events'!F$6:F$3000&gt;=$AG$3)*('Data - HSQE Events'!F$6:F$3000&lt;=$AJ$3)*(('Data - HSQE Events'!R$6:R$3000="Moderate")+('Data - HSQE Events'!R$6:R$3000="Major"))),0)</f>
        <v>0</v>
      </c>
      <c r="M39" s="31" t="str">
        <f>IF(IFERROR(SUMPRODUCT((((ISNUMBER(SEARCH(B39,'Data - HSQE Events'!V$6:V$3000))+ISNUMBER(SEARCH(B39,'Data - HSQE Events'!H$6:H$3000)))&gt;0))*('Data - HSQE Events'!F$6:F$3000&gt;=$AG$3)*('Data - HSQE Events'!F$6:F$3000&lt;=$AJ$3)*('Data - HSQE Events'!R$6:R$3000="Major")),0)&gt;0,"YES","NO")</f>
        <v>NO</v>
      </c>
      <c r="N39" s="31">
        <f>IFERROR(SUMPRODUCT(('Data - Skillko'!B$6:B$3000=B39)*('Data - Skillko'!C$6:C$3000="Total")*('Data - Skillko'!E$6:E$3000))*100,0)</f>
        <v>57.999999999999993</v>
      </c>
      <c r="O39" s="31">
        <f t="shared" si="6"/>
        <v>3.3</v>
      </c>
      <c r="P39" s="31">
        <f>IFERROR(SUMPRODUCT(ISNUMBER(SEARCH(B39,'Pole Results'!$A$13:$A$2000))*('Pole Results'!$B$13:$B$2000&gt;=$AG$3)*('Pole Results'!$B$13:$B$2000&lt;=$AE$3)*('Pole Results'!$E$13:$E$2000="Non-Compliant")),0)</f>
        <v>0</v>
      </c>
      <c r="Q39" s="31">
        <f t="shared" si="7"/>
        <v>1</v>
      </c>
      <c r="R39" s="31">
        <f t="shared" si="8"/>
        <v>5</v>
      </c>
      <c r="S39" s="49">
        <f t="shared" si="9"/>
        <v>5</v>
      </c>
      <c r="T39" s="31">
        <f>IF('Field Teams'!$I$40="Inactive","",ROUND((Q39*Settings!$D$6+R39*Settings!$D$7+O39*Settings!$D$10+S39*Settings!$D$12+AO39*Settings!$D$13)/Settings!$D$14,1))</f>
        <v>2.8</v>
      </c>
      <c r="U39" s="115" t="str">
        <f>IF('Field Teams'!$I$40="Inactive","",IF(Q39="","",IF(Q39&gt;=4.5,"★★★★★",IF(Q39&gt;=3.5,"★★★★☆",IF(Q39&gt;=2.5,"★★★☆☆",IF(Q39&gt;=1.5,"★★☆☆☆","★☆☆☆☆"))))))</f>
        <v>★☆☆☆☆</v>
      </c>
      <c r="V39" s="115" t="str">
        <f>IF('Field Teams'!$I$40="Inactive","",IF(R39="","",IF(R39&gt;=4.5,"★★★★★",IF(R39&gt;=3.5,"★★★★☆",IF(R39&gt;=2.5,"★★★☆☆",IF(R39&gt;=1.5,"★★☆☆☆","★☆☆☆☆"))))))</f>
        <v>★★★★★</v>
      </c>
      <c r="W39" s="115" t="str">
        <f>IF('Field Teams'!$I$40="Inactive","",IF(O39="","",IF(O39&gt;=4.5,"★★★★★",IF(O39&gt;=3.5,"★★★★☆",IF(O39&gt;=2.5,"★★★☆☆",IF(O39&gt;=1.5,"★★☆☆☆","★☆☆☆☆"))))))</f>
        <v>★★★☆☆</v>
      </c>
      <c r="X39" s="115" t="str">
        <f>IF('Field Teams'!$I$40="Inactive","",IF(S39="","",IF(S39&gt;=4.5,"★★★★★",IF(S39&gt;=3.5,"★★★★☆",IF(S39&gt;=2.5,"★★★☆☆",IF(S39&gt;=1.5,"★★☆☆☆","★☆☆☆☆"))))))</f>
        <v>★★★★★</v>
      </c>
      <c r="Y39" s="115" t="str">
        <f>IF('Field Teams'!$I$40="Inactive","",IF(AO39="","",IF(AO39&gt;=4.5,"★★★★★",IF(AO39&gt;=3.5,"★★★★☆",IF(AO39&gt;=2.5,"★★★☆☆",IF(AO39&gt;=1.5,"★★☆☆☆","★☆☆☆☆"))))))</f>
        <v>★★★☆☆</v>
      </c>
      <c r="Z39" s="115" t="str">
        <f>IF('Field Teams'!$I$5="Inactive","",IF(T39="","",IF(T39&gt;=4.5,"★★★★★",IF(T39&gt;=3.5,"★★★★☆",IF(T39&gt;=2.5,"★★★☆☆",IF(T39&gt;=1.5,"★★☆☆☆","★☆☆☆☆"))))))</f>
        <v>★★★☆☆</v>
      </c>
      <c r="AA39" s="31" t="str">
        <f>IF('Field Teams'!$I$40="Inactive","",IF(M39="YES","HIGH",IF(Q39&lt;=Settings!$D$26,"HIGH",IF(T39&lt;=Settings!$D$23,"HIGH",IF(T39&lt;=Settings!$D$24,"MEDIUM","LOW")))))</f>
        <v>HIGH</v>
      </c>
      <c r="AB39" s="31">
        <f>IF('Field Teams'!$I$5="Inactive",-1,IFERROR((6-T39)+(77-ROW())*0.0001,0))</f>
        <v>3.2038000000000002</v>
      </c>
      <c r="AC39" s="35">
        <f>IF('Field Teams'!$I$5="Inactive",999,IFERROR((6-T39)+(ROW()-3)*0.0001,99))</f>
        <v>3.2036000000000002</v>
      </c>
      <c r="AD39" s="31">
        <f>IF('Field Teams'!$I$40="Inactive",999,IFERROR(AB39+(ROW()-3)*0.0001,99))</f>
        <v>3.2074000000000003</v>
      </c>
      <c r="AE39" s="29">
        <v>0</v>
      </c>
      <c r="AF39" s="31" t="str">
        <f>IF('Field Teams'!$I$40="Inactive","",IF(AA39="HIGH","YES - within 5 working days",""))</f>
        <v>YES - within 5 working days</v>
      </c>
      <c r="AG39" s="105"/>
      <c r="AH39" s="49">
        <f>IFERROR(SUMPRODUCT(ISNUMBER(SEARCH(B39,'Pole Results'!$A$13:$A$2000))*('Pole Results'!$B$13:$B$2000&gt;=$AG$3)*('Pole Results'!$B$13:$B$2000&lt;=$AE$3)),0)</f>
        <v>0</v>
      </c>
      <c r="AI39" s="49">
        <f>IFERROR(SUMPRODUCT(ISNUMBER(SEARCH(B39,'Pole Results'!$A$13:$A$2000))*('Pole Results'!$B$13:$B$2000&gt;=$AG$3)*('Pole Results'!$B$13:$B$2000&lt;=$AE$3)*('Pole Results'!$E$13:$E$2000="Compliant")),0)</f>
        <v>0</v>
      </c>
      <c r="AJ39" s="105"/>
      <c r="AK39" s="106">
        <f>IF('Field Teams'!$I$40="Inactive",-1,IF(AA39="HIGH",AB39,-1))</f>
        <v>3.2038000000000002</v>
      </c>
      <c r="AL39" s="106">
        <f>IF('Field Teams'!$I$40="Inactive",-1,IF(OR(AA39="HIGH",AA39="MEDIUM"),AB39,-1))</f>
        <v>3.2038000000000002</v>
      </c>
      <c r="AM39" t="str">
        <f>IF('Field Teams'!$I$40="Inactive","",IF(IFERROR(LOOKUP(2,1/('Historical Scores'!C40:N40&lt;&gt;""),'Historical Scores'!C40:N40),"")="","New",IF(T39=""," ",IF(T39&gt;IFERROR(LOOKUP(2,1/('Historical Scores'!C40:N40&lt;&gt;""),'Historical Scores'!C40:N40),""),"▲ Worsening",IF(T39&lt;IFERROR(LOOKUP(2,1/('Historical Scores'!C40:N40&lt;&gt;""),'Historical Scores'!C40:N40),""),"▼ Improving","► Stable")))))</f>
        <v>New</v>
      </c>
      <c r="AN39">
        <f>IFERROR(SUMPRODUCT((ISNUMBER(SEARCH(B39,'Data - SSV'!AE$6:AE$3000)))*('Data - SSV'!AF$6:AF$3000&gt;=(AJ$3-90))*('Data - SSV'!AF$6:AF$3000&lt;=AJ$3)*('Data - SSV'!AH$6:AH$3000&lt;&gt;"")),0)</f>
        <v>0</v>
      </c>
      <c r="AO39">
        <f>IF('Field Teams'!$I$40="Inactive","",IF(AN39=0,3,IF(AN39=1,IF(IFERROR(SUMPRODUCT((ISNUMBER(SEARCH(B39,'Data - SSV'!AE$6:AE$3000)))*('Data - SSV'!AF$6:AF$3000&gt;=(AJ$3-90))*('Data - SSV'!AF$6:AF$3000&lt;=AJ$3)*('Data - SSV'!AH$6:AH$3000&lt;&gt;"")*IF('Data - SSV'!AH$6:AH$3000="",0,'Data - SSV'!AH$6:AH$3000))/AN39,3)=4,4,IF(IFERROR(SUMPRODUCT((ISNUMBER(SEARCH(B39,'Data - SSV'!AE$6:AE$3000)))*('Data - SSV'!AF$6:AF$3000&gt;=(AJ$3-90))*('Data - SSV'!AF$6:AF$3000&lt;=AJ$3)*('Data - SSV'!AH$6:AH$3000&lt;&gt;"")*IF('Data - SSV'!AH$6:AH$3000="",0,'Data - SSV'!AH$6:AH$3000))/AN39,3)&gt;=3,3,IF(IFERROR(SUMPRODUCT((ISNUMBER(SEARCH(B39,'Data - SSV'!AE$6:AE$3000)))*('Data - SSV'!AF$6:AF$3000&gt;=(AJ$3-90))*('Data - SSV'!AF$6:AF$3000&lt;=AJ$3)*('Data - SSV'!AH$6:AH$3000&lt;&gt;"")*IF('Data - SSV'!AH$6:AH$3000="",0,'Data - SSV'!AH$6:AH$3000))/AN39,3)&gt;=2,2,1))),IF(IFERROR(SUMPRODUCT((ISNUMBER(SEARCH(B39,'Data - SSV'!AE$6:AE$3000)))*('Data - SSV'!AF$6:AF$3000&gt;=(AJ$3-90))*('Data - SSV'!AF$6:AF$3000&lt;=AJ$3)*('Data - SSV'!AH$6:AH$3000&lt;&gt;"")*IF('Data - SSV'!AH$6:AH$3000="",0,'Data - SSV'!AH$6:AH$3000))/AN39,3)=4,5,IF(IFERROR(SUMPRODUCT((ISNUMBER(SEARCH(B39,'Data - SSV'!AE$6:AE$3000)))*('Data - SSV'!AF$6:AF$3000&gt;=(AJ$3-90))*('Data - SSV'!AF$6:AF$3000&lt;=AJ$3)*('Data - SSV'!AH$6:AH$3000&lt;&gt;"")*IF('Data - SSV'!AH$6:AH$3000="",0,'Data - SSV'!AH$6:AH$3000))/AN39,3)&gt;=3.5,4,IF(IFERROR(SUMPRODUCT((ISNUMBER(SEARCH(B39,'Data - SSV'!AE$6:AE$3000)))*('Data - SSV'!AF$6:AF$3000&gt;=(AJ$3-90))*('Data - SSV'!AF$6:AF$3000&lt;=AJ$3)*('Data - SSV'!AH$6:AH$3000&lt;&gt;"")*IF('Data - SSV'!AH$6:AH$3000="",0,'Data - SSV'!AH$6:AH$3000))/AN39,3)&gt;=3,3,IF(IFERROR(SUMPRODUCT((ISNUMBER(SEARCH(B39,'Data - SSV'!AE$6:AE$3000)))*('Data - SSV'!AF$6:AF$3000&gt;=(AJ$3-90))*('Data - SSV'!AF$6:AF$3000&lt;=AJ$3)*('Data - SSV'!AH$6:AH$3000&lt;&gt;"")*IF('Data - SSV'!AH$6:AH$3000="",0,'Data - SSV'!AH$6:AH$3000))/AN39,3)&gt;=2,2,1)))))))</f>
        <v>3</v>
      </c>
    </row>
    <row r="40" spans="1:41" ht="19.5" customHeight="1" x14ac:dyDescent="0.15">
      <c r="A40" s="10" t="str">
        <f>'Field Teams'!A41</f>
        <v>FT-037</v>
      </c>
      <c r="B40" s="30" t="str">
        <f>'Field Teams'!B41</f>
        <v>LT Countryside Services Ltd</v>
      </c>
      <c r="C40" s="30" t="str">
        <f>'Field Teams'!C41</f>
        <v>Utility Arboriculture</v>
      </c>
      <c r="D40" s="10" t="str">
        <f>'Field Teams'!D41</f>
        <v>Donovan  Gosher</v>
      </c>
      <c r="E40" s="10" t="str">
        <f>'Field Teams'!E41</f>
        <v>Jon Addis|Jake Bolwell</v>
      </c>
      <c r="F40" s="10">
        <f>'Field Teams'!F41</f>
        <v>0</v>
      </c>
      <c r="G40" s="10">
        <f>'Field Teams'!G41</f>
        <v>0</v>
      </c>
      <c r="H40" s="31">
        <f>'Field Teams'!H41</f>
        <v>2</v>
      </c>
      <c r="I40" s="31">
        <f t="shared" si="5"/>
        <v>4</v>
      </c>
      <c r="J40" s="31">
        <f>IFERROR(SUMPRODUCT((((ISNUMBER(SEARCH(B40,'Data - HSQE Events'!V$6:V$3000))+ISNUMBER(SEARCH(B40,'Data - HSQE Events'!H$6:H$3000)))&gt;0))*('Data - HSQE Events'!F$6:F$3000&gt;=$AG$3)*('Data - HSQE Events'!F$6:F$3000&lt;=$AJ$3)*('Data - HSQE Events'!R$6:R$3000="Opportunity")),0)</f>
        <v>0</v>
      </c>
      <c r="K40" s="31">
        <f>IFERROR(SUMPRODUCT((((ISNUMBER(SEARCH(B40,'Data - HSQE Events'!V$6:V$3000))+ISNUMBER(SEARCH(B40,'Data - HSQE Events'!H$6:H$3000)))&gt;0))*('Data - HSQE Events'!F$6:F$3000&gt;=$AG$3)*('Data - HSQE Events'!F$6:F$3000&lt;=$AJ$3)*('Data - HSQE Events'!R$6:R$3000="Minor")),0)</f>
        <v>0</v>
      </c>
      <c r="L40" s="31">
        <f>IFERROR(SUMPRODUCT((((ISNUMBER(SEARCH(B40,'Data - HSQE Events'!V$6:V$3000))+ISNUMBER(SEARCH(B40,'Data - HSQE Events'!H$6:H$3000)))&gt;0))*('Data - HSQE Events'!F$6:F$3000&gt;=$AG$3)*('Data - HSQE Events'!F$6:F$3000&lt;=$AJ$3)*(('Data - HSQE Events'!R$6:R$3000="Moderate")+('Data - HSQE Events'!R$6:R$3000="Major"))),0)</f>
        <v>0</v>
      </c>
      <c r="M40" s="31" t="str">
        <f>IF(IFERROR(SUMPRODUCT((((ISNUMBER(SEARCH(B40,'Data - HSQE Events'!V$6:V$3000))+ISNUMBER(SEARCH(B40,'Data - HSQE Events'!H$6:H$3000)))&gt;0))*('Data - HSQE Events'!F$6:F$3000&gt;=$AG$3)*('Data - HSQE Events'!F$6:F$3000&lt;=$AJ$3)*('Data - HSQE Events'!R$6:R$3000="Major")),0)&gt;0,"YES","NO")</f>
        <v>NO</v>
      </c>
      <c r="N40" s="31">
        <f>IFERROR(SUMPRODUCT(('Data - Skillko'!B$6:B$3000=B40)*('Data - Skillko'!C$6:C$3000="Total")*('Data - Skillko'!E$6:E$3000))*100,0)</f>
        <v>82</v>
      </c>
      <c r="O40" s="31">
        <f t="shared" si="6"/>
        <v>4.3</v>
      </c>
      <c r="P40" s="31">
        <f>IFERROR(SUMPRODUCT(ISNUMBER(SEARCH(B40,'Pole Results'!$A$13:$A$2000))*('Pole Results'!$B$13:$B$2000&gt;=$AG$3)*('Pole Results'!$B$13:$B$2000&lt;=$AE$3)*('Pole Results'!$E$13:$E$2000="Non-Compliant")),0)</f>
        <v>0</v>
      </c>
      <c r="Q40" s="31">
        <f t="shared" si="7"/>
        <v>1</v>
      </c>
      <c r="R40" s="31">
        <f t="shared" si="8"/>
        <v>5</v>
      </c>
      <c r="S40" s="49">
        <f t="shared" si="9"/>
        <v>5</v>
      </c>
      <c r="T40" s="31">
        <f>IF('Field Teams'!$I$41="Inactive","",ROUND((Q40*Settings!$D$6+R40*Settings!$D$7+O40*Settings!$D$10+S40*Settings!$D$12+AO40*Settings!$D$13)/Settings!$D$14,1))</f>
        <v>3</v>
      </c>
      <c r="U40" s="115" t="str">
        <f>IF('Field Teams'!$I$41="Inactive","",IF(Q40="","",IF(Q40&gt;=4.5,"★★★★★",IF(Q40&gt;=3.5,"★★★★☆",IF(Q40&gt;=2.5,"★★★☆☆",IF(Q40&gt;=1.5,"★★☆☆☆","★☆☆☆☆"))))))</f>
        <v>★☆☆☆☆</v>
      </c>
      <c r="V40" s="115" t="str">
        <f>IF('Field Teams'!$I$41="Inactive","",IF(R40="","",IF(R40&gt;=4.5,"★★★★★",IF(R40&gt;=3.5,"★★★★☆",IF(R40&gt;=2.5,"★★★☆☆",IF(R40&gt;=1.5,"★★☆☆☆","★☆☆☆☆"))))))</f>
        <v>★★★★★</v>
      </c>
      <c r="W40" s="115" t="str">
        <f>IF('Field Teams'!$I$41="Inactive","",IF(O40="","",IF(O40&gt;=4.5,"★★★★★",IF(O40&gt;=3.5,"★★★★☆",IF(O40&gt;=2.5,"★★★☆☆",IF(O40&gt;=1.5,"★★☆☆☆","★☆☆☆☆"))))))</f>
        <v>★★★★☆</v>
      </c>
      <c r="X40" s="115" t="str">
        <f>IF('Field Teams'!$I$41="Inactive","",IF(S40="","",IF(S40&gt;=4.5,"★★★★★",IF(S40&gt;=3.5,"★★★★☆",IF(S40&gt;=2.5,"★★★☆☆",IF(S40&gt;=1.5,"★★☆☆☆","★☆☆☆☆"))))))</f>
        <v>★★★★★</v>
      </c>
      <c r="Y40" s="115" t="str">
        <f>IF('Field Teams'!$I$41="Inactive","",IF(AO40="","",IF(AO40&gt;=4.5,"★★★★★",IF(AO40&gt;=3.5,"★★★★☆",IF(AO40&gt;=2.5,"★★★☆☆",IF(AO40&gt;=1.5,"★★☆☆☆","★☆☆☆☆"))))))</f>
        <v>★★★☆☆</v>
      </c>
      <c r="Z40" s="115" t="str">
        <f>IF('Field Teams'!$I$5="Inactive","",IF(T40="","",IF(T40&gt;=4.5,"★★★★★",IF(T40&gt;=3.5,"★★★★☆",IF(T40&gt;=2.5,"★★★☆☆",IF(T40&gt;=1.5,"★★☆☆☆","★☆☆☆☆"))))))</f>
        <v>★★★☆☆</v>
      </c>
      <c r="AA40" s="31" t="str">
        <f>IF('Field Teams'!$I$41="Inactive","",IF(M40="YES","HIGH",IF(Q40&lt;=Settings!$D$26,"HIGH",IF(T40&lt;=Settings!$D$23,"HIGH",IF(T40&lt;=Settings!$D$24,"MEDIUM","LOW")))))</f>
        <v>HIGH</v>
      </c>
      <c r="AB40" s="31">
        <f>IF('Field Teams'!$I$5="Inactive",-1,IFERROR((6-T40)+(77-ROW())*0.0001,0))</f>
        <v>3.0036999999999998</v>
      </c>
      <c r="AC40" s="35">
        <f>IF('Field Teams'!$I$5="Inactive",999,IFERROR((6-T40)+(ROW()-3)*0.0001,99))</f>
        <v>3.0036999999999998</v>
      </c>
      <c r="AD40" s="31">
        <f>IF('Field Teams'!$I$41="Inactive",999,IFERROR(AB40+(ROW()-3)*0.0001,99))</f>
        <v>3.0073999999999996</v>
      </c>
      <c r="AE40" s="29">
        <v>0</v>
      </c>
      <c r="AF40" s="31" t="str">
        <f>IF('Field Teams'!$I$41="Inactive","",IF(AA40="HIGH","YES - within 5 working days",""))</f>
        <v>YES - within 5 working days</v>
      </c>
      <c r="AG40" s="105"/>
      <c r="AH40" s="49">
        <f>IFERROR(SUMPRODUCT(ISNUMBER(SEARCH(B40,'Pole Results'!$A$13:$A$2000))*('Pole Results'!$B$13:$B$2000&gt;=$AG$3)*('Pole Results'!$B$13:$B$2000&lt;=$AE$3)),0)</f>
        <v>0</v>
      </c>
      <c r="AI40" s="49">
        <f>IFERROR(SUMPRODUCT(ISNUMBER(SEARCH(B40,'Pole Results'!$A$13:$A$2000))*('Pole Results'!$B$13:$B$2000&gt;=$AG$3)*('Pole Results'!$B$13:$B$2000&lt;=$AE$3)*('Pole Results'!$E$13:$E$2000="Compliant")),0)</f>
        <v>0</v>
      </c>
      <c r="AJ40" s="105"/>
      <c r="AK40" s="106">
        <f>IF('Field Teams'!$I$41="Inactive",-1,IF(AA40="HIGH",AB40,-1))</f>
        <v>3.0036999999999998</v>
      </c>
      <c r="AL40" s="106">
        <f>IF('Field Teams'!$I$41="Inactive",-1,IF(OR(AA40="HIGH",AA40="MEDIUM"),AB40,-1))</f>
        <v>3.0036999999999998</v>
      </c>
      <c r="AM40" t="str">
        <f>IF('Field Teams'!$I$41="Inactive","",IF(IFERROR(LOOKUP(2,1/('Historical Scores'!C41:N41&lt;&gt;""),'Historical Scores'!C41:N41),"")="","New",IF(T40=""," ",IF(T40&gt;IFERROR(LOOKUP(2,1/('Historical Scores'!C41:N41&lt;&gt;""),'Historical Scores'!C41:N41),""),"▲ Worsening",IF(T40&lt;IFERROR(LOOKUP(2,1/('Historical Scores'!C41:N41&lt;&gt;""),'Historical Scores'!C41:N41),""),"▼ Improving","► Stable")))))</f>
        <v>New</v>
      </c>
      <c r="AN40">
        <f>IFERROR(SUMPRODUCT((ISNUMBER(SEARCH(B40,'Data - SSV'!AE$6:AE$3000)))*('Data - SSV'!AF$6:AF$3000&gt;=(AJ$3-90))*('Data - SSV'!AF$6:AF$3000&lt;=AJ$3)*('Data - SSV'!AH$6:AH$3000&lt;&gt;"")),0)</f>
        <v>0</v>
      </c>
      <c r="AO40">
        <f>IF('Field Teams'!$I$41="Inactive","",IF(AN40=0,3,IF(AN40=1,IF(IFERROR(SUMPRODUCT((ISNUMBER(SEARCH(B40,'Data - SSV'!AE$6:AE$3000)))*('Data - SSV'!AF$6:AF$3000&gt;=(AJ$3-90))*('Data - SSV'!AF$6:AF$3000&lt;=AJ$3)*('Data - SSV'!AH$6:AH$3000&lt;&gt;"")*IF('Data - SSV'!AH$6:AH$3000="",0,'Data - SSV'!AH$6:AH$3000))/AN40,3)=4,4,IF(IFERROR(SUMPRODUCT((ISNUMBER(SEARCH(B40,'Data - SSV'!AE$6:AE$3000)))*('Data - SSV'!AF$6:AF$3000&gt;=(AJ$3-90))*('Data - SSV'!AF$6:AF$3000&lt;=AJ$3)*('Data - SSV'!AH$6:AH$3000&lt;&gt;"")*IF('Data - SSV'!AH$6:AH$3000="",0,'Data - SSV'!AH$6:AH$3000))/AN40,3)&gt;=3,3,IF(IFERROR(SUMPRODUCT((ISNUMBER(SEARCH(B40,'Data - SSV'!AE$6:AE$3000)))*('Data - SSV'!AF$6:AF$3000&gt;=(AJ$3-90))*('Data - SSV'!AF$6:AF$3000&lt;=AJ$3)*('Data - SSV'!AH$6:AH$3000&lt;&gt;"")*IF('Data - SSV'!AH$6:AH$3000="",0,'Data - SSV'!AH$6:AH$3000))/AN40,3)&gt;=2,2,1))),IF(IFERROR(SUMPRODUCT((ISNUMBER(SEARCH(B40,'Data - SSV'!AE$6:AE$3000)))*('Data - SSV'!AF$6:AF$3000&gt;=(AJ$3-90))*('Data - SSV'!AF$6:AF$3000&lt;=AJ$3)*('Data - SSV'!AH$6:AH$3000&lt;&gt;"")*IF('Data - SSV'!AH$6:AH$3000="",0,'Data - SSV'!AH$6:AH$3000))/AN40,3)=4,5,IF(IFERROR(SUMPRODUCT((ISNUMBER(SEARCH(B40,'Data - SSV'!AE$6:AE$3000)))*('Data - SSV'!AF$6:AF$3000&gt;=(AJ$3-90))*('Data - SSV'!AF$6:AF$3000&lt;=AJ$3)*('Data - SSV'!AH$6:AH$3000&lt;&gt;"")*IF('Data - SSV'!AH$6:AH$3000="",0,'Data - SSV'!AH$6:AH$3000))/AN40,3)&gt;=3.5,4,IF(IFERROR(SUMPRODUCT((ISNUMBER(SEARCH(B40,'Data - SSV'!AE$6:AE$3000)))*('Data - SSV'!AF$6:AF$3000&gt;=(AJ$3-90))*('Data - SSV'!AF$6:AF$3000&lt;=AJ$3)*('Data - SSV'!AH$6:AH$3000&lt;&gt;"")*IF('Data - SSV'!AH$6:AH$3000="",0,'Data - SSV'!AH$6:AH$3000))/AN40,3)&gt;=3,3,IF(IFERROR(SUMPRODUCT((ISNUMBER(SEARCH(B40,'Data - SSV'!AE$6:AE$3000)))*('Data - SSV'!AF$6:AF$3000&gt;=(AJ$3-90))*('Data - SSV'!AF$6:AF$3000&lt;=AJ$3)*('Data - SSV'!AH$6:AH$3000&lt;&gt;"")*IF('Data - SSV'!AH$6:AH$3000="",0,'Data - SSV'!AH$6:AH$3000))/AN40,3)&gt;=2,2,1)))))))</f>
        <v>3</v>
      </c>
    </row>
    <row r="41" spans="1:41" ht="19.5" customHeight="1" x14ac:dyDescent="0.15">
      <c r="A41" s="6" t="str">
        <f>'Field Teams'!A42</f>
        <v>FT-038</v>
      </c>
      <c r="B41" s="28" t="str">
        <f>'Field Teams'!B42</f>
        <v>ACME Arb Ltd (Pend Arb Utility)</v>
      </c>
      <c r="C41" s="28" t="str">
        <f>'Field Teams'!C42</f>
        <v>Utility Arboriculture</v>
      </c>
      <c r="D41" s="6" t="str">
        <f>'Field Teams'!D42</f>
        <v>Donovan  Gosher</v>
      </c>
      <c r="E41" s="6" t="str">
        <f>'Field Teams'!E42</f>
        <v>Paul Shaw</v>
      </c>
      <c r="F41" s="6">
        <f>'Field Teams'!F42</f>
        <v>0</v>
      </c>
      <c r="G41" s="6">
        <f>'Field Teams'!G42</f>
        <v>0</v>
      </c>
      <c r="H41" s="31">
        <f>'Field Teams'!H42</f>
        <v>9</v>
      </c>
      <c r="I41" s="31">
        <f t="shared" si="5"/>
        <v>18</v>
      </c>
      <c r="J41" s="31">
        <f>IFERROR(SUMPRODUCT((((ISNUMBER(SEARCH(B41,'Data - HSQE Events'!V$6:V$3000))+ISNUMBER(SEARCH(B41,'Data - HSQE Events'!H$6:H$3000)))&gt;0))*('Data - HSQE Events'!F$6:F$3000&gt;=$AG$3)*('Data - HSQE Events'!F$6:F$3000&lt;=$AJ$3)*('Data - HSQE Events'!R$6:R$3000="Opportunity")),0)</f>
        <v>0</v>
      </c>
      <c r="K41" s="31">
        <f>IFERROR(SUMPRODUCT((((ISNUMBER(SEARCH(B41,'Data - HSQE Events'!V$6:V$3000))+ISNUMBER(SEARCH(B41,'Data - HSQE Events'!H$6:H$3000)))&gt;0))*('Data - HSQE Events'!F$6:F$3000&gt;=$AG$3)*('Data - HSQE Events'!F$6:F$3000&lt;=$AJ$3)*('Data - HSQE Events'!R$6:R$3000="Minor")),0)</f>
        <v>0</v>
      </c>
      <c r="L41" s="31">
        <f>IFERROR(SUMPRODUCT((((ISNUMBER(SEARCH(B41,'Data - HSQE Events'!V$6:V$3000))+ISNUMBER(SEARCH(B41,'Data - HSQE Events'!H$6:H$3000)))&gt;0))*('Data - HSQE Events'!F$6:F$3000&gt;=$AG$3)*('Data - HSQE Events'!F$6:F$3000&lt;=$AJ$3)*(('Data - HSQE Events'!R$6:R$3000="Moderate")+('Data - HSQE Events'!R$6:R$3000="Major"))),0)</f>
        <v>0</v>
      </c>
      <c r="M41" s="31" t="str">
        <f>IF(IFERROR(SUMPRODUCT((((ISNUMBER(SEARCH(B41,'Data - HSQE Events'!V$6:V$3000))+ISNUMBER(SEARCH(B41,'Data - HSQE Events'!H$6:H$3000)))&gt;0))*('Data - HSQE Events'!F$6:F$3000&gt;=$AG$3)*('Data - HSQE Events'!F$6:F$3000&lt;=$AJ$3)*('Data - HSQE Events'!R$6:R$3000="Major")),0)&gt;0,"YES","NO")</f>
        <v>NO</v>
      </c>
      <c r="N41" s="31">
        <f>IFERROR(SUMPRODUCT(('Data - Skillko'!B$6:B$3000=B41)*('Data - Skillko'!C$6:C$3000="Total")*('Data - Skillko'!E$6:E$3000))*100,0)</f>
        <v>65</v>
      </c>
      <c r="O41" s="31">
        <f t="shared" si="6"/>
        <v>3.6</v>
      </c>
      <c r="P41" s="31">
        <f>IFERROR(SUMPRODUCT(ISNUMBER(SEARCH(B41,'Pole Results'!$A$13:$A$2000))*('Pole Results'!$B$13:$B$2000&gt;=$AG$3)*('Pole Results'!$B$13:$B$2000&lt;=$AE$3)*('Pole Results'!$E$13:$E$2000="Non-Compliant")),0)</f>
        <v>0</v>
      </c>
      <c r="Q41" s="31">
        <f t="shared" si="7"/>
        <v>1</v>
      </c>
      <c r="R41" s="31">
        <f t="shared" si="8"/>
        <v>5</v>
      </c>
      <c r="S41" s="49">
        <f t="shared" si="9"/>
        <v>5</v>
      </c>
      <c r="T41" s="31">
        <f>IF('Field Teams'!$I$42="Inactive","",ROUND((Q41*Settings!$D$6+R41*Settings!$D$7+O41*Settings!$D$10+S41*Settings!$D$12+AO41*Settings!$D$13)/Settings!$D$14,1))</f>
        <v>2.9</v>
      </c>
      <c r="U41" s="115" t="str">
        <f>IF('Field Teams'!$I$42="Inactive","",IF(Q41="","",IF(Q41&gt;=4.5,"★★★★★",IF(Q41&gt;=3.5,"★★★★☆",IF(Q41&gt;=2.5,"★★★☆☆",IF(Q41&gt;=1.5,"★★☆☆☆","★☆☆☆☆"))))))</f>
        <v>★☆☆☆☆</v>
      </c>
      <c r="V41" s="115" t="str">
        <f>IF('Field Teams'!$I$42="Inactive","",IF(R41="","",IF(R41&gt;=4.5,"★★★★★",IF(R41&gt;=3.5,"★★★★☆",IF(R41&gt;=2.5,"★★★☆☆",IF(R41&gt;=1.5,"★★☆☆☆","★☆☆☆☆"))))))</f>
        <v>★★★★★</v>
      </c>
      <c r="W41" s="115" t="str">
        <f>IF('Field Teams'!$I$42="Inactive","",IF(O41="","",IF(O41&gt;=4.5,"★★★★★",IF(O41&gt;=3.5,"★★★★☆",IF(O41&gt;=2.5,"★★★☆☆",IF(O41&gt;=1.5,"★★☆☆☆","★☆☆☆☆"))))))</f>
        <v>★★★★☆</v>
      </c>
      <c r="X41" s="115" t="str">
        <f>IF('Field Teams'!$I$42="Inactive","",IF(S41="","",IF(S41&gt;=4.5,"★★★★★",IF(S41&gt;=3.5,"★★★★☆",IF(S41&gt;=2.5,"★★★☆☆",IF(S41&gt;=1.5,"★★☆☆☆","★☆☆☆☆"))))))</f>
        <v>★★★★★</v>
      </c>
      <c r="Y41" s="115" t="str">
        <f>IF('Field Teams'!$I$42="Inactive","",IF(AO41="","",IF(AO41&gt;=4.5,"★★★★★",IF(AO41&gt;=3.5,"★★★★☆",IF(AO41&gt;=2.5,"★★★☆☆",IF(AO41&gt;=1.5,"★★☆☆☆","★☆☆☆☆"))))))</f>
        <v>★★★☆☆</v>
      </c>
      <c r="Z41" s="115" t="str">
        <f>IF('Field Teams'!$I$5="Inactive","",IF(T41="","",IF(T41&gt;=4.5,"★★★★★",IF(T41&gt;=3.5,"★★★★☆",IF(T41&gt;=2.5,"★★★☆☆",IF(T41&gt;=1.5,"★★☆☆☆","★☆☆☆☆"))))))</f>
        <v>★★★☆☆</v>
      </c>
      <c r="AA41" s="31" t="str">
        <f>IF('Field Teams'!$I$42="Inactive","",IF(M41="YES","HIGH",IF(Q41&lt;=Settings!$D$26,"HIGH",IF(T41&lt;=Settings!$D$23,"HIGH",IF(T41&lt;=Settings!$D$24,"MEDIUM","LOW")))))</f>
        <v>HIGH</v>
      </c>
      <c r="AB41" s="31">
        <f>IF('Field Teams'!$I$5="Inactive",-1,IFERROR((6-T41)+(77-ROW())*0.0001,0))</f>
        <v>3.1036000000000001</v>
      </c>
      <c r="AC41" s="35">
        <f>IF('Field Teams'!$I$5="Inactive",999,IFERROR((6-T41)+(ROW()-3)*0.0001,99))</f>
        <v>3.1038000000000001</v>
      </c>
      <c r="AD41" s="31">
        <f>IF('Field Teams'!$I$42="Inactive",999,IFERROR(AB41+(ROW()-3)*0.0001,99))</f>
        <v>3.1074000000000002</v>
      </c>
      <c r="AE41" s="29">
        <v>0</v>
      </c>
      <c r="AF41" s="31" t="str">
        <f>IF('Field Teams'!$I$42="Inactive","",IF(AA41="HIGH","YES - within 5 working days",""))</f>
        <v>YES - within 5 working days</v>
      </c>
      <c r="AG41" s="105"/>
      <c r="AH41" s="49">
        <f>IFERROR(SUMPRODUCT(ISNUMBER(SEARCH(B41,'Pole Results'!$A$13:$A$2000))*('Pole Results'!$B$13:$B$2000&gt;=$AG$3)*('Pole Results'!$B$13:$B$2000&lt;=$AE$3)),0)</f>
        <v>0</v>
      </c>
      <c r="AI41" s="49">
        <f>IFERROR(SUMPRODUCT(ISNUMBER(SEARCH(B41,'Pole Results'!$A$13:$A$2000))*('Pole Results'!$B$13:$B$2000&gt;=$AG$3)*('Pole Results'!$B$13:$B$2000&lt;=$AE$3)*('Pole Results'!$E$13:$E$2000="Compliant")),0)</f>
        <v>0</v>
      </c>
      <c r="AJ41" s="105"/>
      <c r="AK41" s="106">
        <f>IF('Field Teams'!$I$42="Inactive",-1,IF(AA41="HIGH",AB41,-1))</f>
        <v>3.1036000000000001</v>
      </c>
      <c r="AL41" s="106">
        <f>IF('Field Teams'!$I$42="Inactive",-1,IF(OR(AA41="HIGH",AA41="MEDIUM"),AB41,-1))</f>
        <v>3.1036000000000001</v>
      </c>
      <c r="AM41" t="str">
        <f>IF('Field Teams'!$I$42="Inactive","",IF(IFERROR(LOOKUP(2,1/('Historical Scores'!C42:N42&lt;&gt;""),'Historical Scores'!C42:N42),"")="","New",IF(T41=""," ",IF(T41&gt;IFERROR(LOOKUP(2,1/('Historical Scores'!C42:N42&lt;&gt;""),'Historical Scores'!C42:N42),""),"▲ Worsening",IF(T41&lt;IFERROR(LOOKUP(2,1/('Historical Scores'!C42:N42&lt;&gt;""),'Historical Scores'!C42:N42),""),"▼ Improving","► Stable")))))</f>
        <v>New</v>
      </c>
      <c r="AN41">
        <f>IFERROR(SUMPRODUCT((ISNUMBER(SEARCH(B41,'Data - SSV'!AE$6:AE$3000)))*('Data - SSV'!AF$6:AF$3000&gt;=(AJ$3-90))*('Data - SSV'!AF$6:AF$3000&lt;=AJ$3)*('Data - SSV'!AH$6:AH$3000&lt;&gt;"")),0)</f>
        <v>0</v>
      </c>
      <c r="AO41">
        <f>IF('Field Teams'!$I$42="Inactive","",IF(AN41=0,3,IF(AN41=1,IF(IFERROR(SUMPRODUCT((ISNUMBER(SEARCH(B41,'Data - SSV'!AE$6:AE$3000)))*('Data - SSV'!AF$6:AF$3000&gt;=(AJ$3-90))*('Data - SSV'!AF$6:AF$3000&lt;=AJ$3)*('Data - SSV'!AH$6:AH$3000&lt;&gt;"")*IF('Data - SSV'!AH$6:AH$3000="",0,'Data - SSV'!AH$6:AH$3000))/AN41,3)=4,4,IF(IFERROR(SUMPRODUCT((ISNUMBER(SEARCH(B41,'Data - SSV'!AE$6:AE$3000)))*('Data - SSV'!AF$6:AF$3000&gt;=(AJ$3-90))*('Data - SSV'!AF$6:AF$3000&lt;=AJ$3)*('Data - SSV'!AH$6:AH$3000&lt;&gt;"")*IF('Data - SSV'!AH$6:AH$3000="",0,'Data - SSV'!AH$6:AH$3000))/AN41,3)&gt;=3,3,IF(IFERROR(SUMPRODUCT((ISNUMBER(SEARCH(B41,'Data - SSV'!AE$6:AE$3000)))*('Data - SSV'!AF$6:AF$3000&gt;=(AJ$3-90))*('Data - SSV'!AF$6:AF$3000&lt;=AJ$3)*('Data - SSV'!AH$6:AH$3000&lt;&gt;"")*IF('Data - SSV'!AH$6:AH$3000="",0,'Data - SSV'!AH$6:AH$3000))/AN41,3)&gt;=2,2,1))),IF(IFERROR(SUMPRODUCT((ISNUMBER(SEARCH(B41,'Data - SSV'!AE$6:AE$3000)))*('Data - SSV'!AF$6:AF$3000&gt;=(AJ$3-90))*('Data - SSV'!AF$6:AF$3000&lt;=AJ$3)*('Data - SSV'!AH$6:AH$3000&lt;&gt;"")*IF('Data - SSV'!AH$6:AH$3000="",0,'Data - SSV'!AH$6:AH$3000))/AN41,3)=4,5,IF(IFERROR(SUMPRODUCT((ISNUMBER(SEARCH(B41,'Data - SSV'!AE$6:AE$3000)))*('Data - SSV'!AF$6:AF$3000&gt;=(AJ$3-90))*('Data - SSV'!AF$6:AF$3000&lt;=AJ$3)*('Data - SSV'!AH$6:AH$3000&lt;&gt;"")*IF('Data - SSV'!AH$6:AH$3000="",0,'Data - SSV'!AH$6:AH$3000))/AN41,3)&gt;=3.5,4,IF(IFERROR(SUMPRODUCT((ISNUMBER(SEARCH(B41,'Data - SSV'!AE$6:AE$3000)))*('Data - SSV'!AF$6:AF$3000&gt;=(AJ$3-90))*('Data - SSV'!AF$6:AF$3000&lt;=AJ$3)*('Data - SSV'!AH$6:AH$3000&lt;&gt;"")*IF('Data - SSV'!AH$6:AH$3000="",0,'Data - SSV'!AH$6:AH$3000))/AN41,3)&gt;=3,3,IF(IFERROR(SUMPRODUCT((ISNUMBER(SEARCH(B41,'Data - SSV'!AE$6:AE$3000)))*('Data - SSV'!AF$6:AF$3000&gt;=(AJ$3-90))*('Data - SSV'!AF$6:AF$3000&lt;=AJ$3)*('Data - SSV'!AH$6:AH$3000&lt;&gt;"")*IF('Data - SSV'!AH$6:AH$3000="",0,'Data - SSV'!AH$6:AH$3000))/AN41,3)&gt;=2,2,1)))))))</f>
        <v>3</v>
      </c>
    </row>
    <row r="42" spans="1:41" ht="19.5" customHeight="1" x14ac:dyDescent="0.15">
      <c r="A42" s="10" t="str">
        <f>'Field Teams'!A43</f>
        <v>FT-039</v>
      </c>
      <c r="B42" s="30" t="str">
        <f>'Field Teams'!B43</f>
        <v>Astbury Tree Care</v>
      </c>
      <c r="C42" s="30" t="str">
        <f>'Field Teams'!C43</f>
        <v>Utility Arboriculture</v>
      </c>
      <c r="D42" s="10" t="str">
        <f>'Field Teams'!D43</f>
        <v>Donovan  Gosher</v>
      </c>
      <c r="E42" s="10" t="str">
        <f>'Field Teams'!E43</f>
        <v>Paul Shaw</v>
      </c>
      <c r="F42" s="10">
        <f>'Field Teams'!F43</f>
        <v>0</v>
      </c>
      <c r="G42" s="10">
        <f>'Field Teams'!G43</f>
        <v>0</v>
      </c>
      <c r="H42" s="31">
        <f>'Field Teams'!H43</f>
        <v>3</v>
      </c>
      <c r="I42" s="31">
        <f t="shared" si="5"/>
        <v>6</v>
      </c>
      <c r="J42" s="31">
        <f>IFERROR(SUMPRODUCT((((ISNUMBER(SEARCH(B42,'Data - HSQE Events'!V$6:V$3000))+ISNUMBER(SEARCH(B42,'Data - HSQE Events'!H$6:H$3000)))&gt;0))*('Data - HSQE Events'!F$6:F$3000&gt;=$AG$3)*('Data - HSQE Events'!F$6:F$3000&lt;=$AJ$3)*('Data - HSQE Events'!R$6:R$3000="Opportunity")),0)</f>
        <v>0</v>
      </c>
      <c r="K42" s="31">
        <f>IFERROR(SUMPRODUCT((((ISNUMBER(SEARCH(B42,'Data - HSQE Events'!V$6:V$3000))+ISNUMBER(SEARCH(B42,'Data - HSQE Events'!H$6:H$3000)))&gt;0))*('Data - HSQE Events'!F$6:F$3000&gt;=$AG$3)*('Data - HSQE Events'!F$6:F$3000&lt;=$AJ$3)*('Data - HSQE Events'!R$6:R$3000="Minor")),0)</f>
        <v>0</v>
      </c>
      <c r="L42" s="31">
        <f>IFERROR(SUMPRODUCT((((ISNUMBER(SEARCH(B42,'Data - HSQE Events'!V$6:V$3000))+ISNUMBER(SEARCH(B42,'Data - HSQE Events'!H$6:H$3000)))&gt;0))*('Data - HSQE Events'!F$6:F$3000&gt;=$AG$3)*('Data - HSQE Events'!F$6:F$3000&lt;=$AJ$3)*(('Data - HSQE Events'!R$6:R$3000="Moderate")+('Data - HSQE Events'!R$6:R$3000="Major"))),0)</f>
        <v>0</v>
      </c>
      <c r="M42" s="31" t="str">
        <f>IF(IFERROR(SUMPRODUCT((((ISNUMBER(SEARCH(B42,'Data - HSQE Events'!V$6:V$3000))+ISNUMBER(SEARCH(B42,'Data - HSQE Events'!H$6:H$3000)))&gt;0))*('Data - HSQE Events'!F$6:F$3000&gt;=$AG$3)*('Data - HSQE Events'!F$6:F$3000&lt;=$AJ$3)*('Data - HSQE Events'!R$6:R$3000="Major")),0)&gt;0,"YES","NO")</f>
        <v>NO</v>
      </c>
      <c r="N42" s="31">
        <f>IFERROR(SUMPRODUCT(('Data - Skillko'!B$6:B$3000=B42)*('Data - Skillko'!C$6:C$3000="Total")*('Data - Skillko'!E$6:E$3000))*100,0)</f>
        <v>80</v>
      </c>
      <c r="O42" s="31">
        <f t="shared" si="6"/>
        <v>4.2</v>
      </c>
      <c r="P42" s="31">
        <f>IFERROR(SUMPRODUCT(ISNUMBER(SEARCH(B42,'Pole Results'!$A$13:$A$2000))*('Pole Results'!$B$13:$B$2000&gt;=$AG$3)*('Pole Results'!$B$13:$B$2000&lt;=$AE$3)*('Pole Results'!$E$13:$E$2000="Non-Compliant")),0)</f>
        <v>0</v>
      </c>
      <c r="Q42" s="31">
        <f t="shared" si="7"/>
        <v>1</v>
      </c>
      <c r="R42" s="31">
        <f t="shared" si="8"/>
        <v>5</v>
      </c>
      <c r="S42" s="49">
        <f t="shared" si="9"/>
        <v>5</v>
      </c>
      <c r="T42" s="31">
        <f>IF('Field Teams'!$I$43="Inactive","",ROUND((Q42*Settings!$D$6+R42*Settings!$D$7+O42*Settings!$D$10+S42*Settings!$D$12+AO42*Settings!$D$13)/Settings!$D$14,1))</f>
        <v>3</v>
      </c>
      <c r="U42" s="115" t="str">
        <f>IF('Field Teams'!$I$43="Inactive","",IF(Q42="","",IF(Q42&gt;=4.5,"★★★★★",IF(Q42&gt;=3.5,"★★★★☆",IF(Q42&gt;=2.5,"★★★☆☆",IF(Q42&gt;=1.5,"★★☆☆☆","★☆☆☆☆"))))))</f>
        <v>★☆☆☆☆</v>
      </c>
      <c r="V42" s="115" t="str">
        <f>IF('Field Teams'!$I$43="Inactive","",IF(R42="","",IF(R42&gt;=4.5,"★★★★★",IF(R42&gt;=3.5,"★★★★☆",IF(R42&gt;=2.5,"★★★☆☆",IF(R42&gt;=1.5,"★★☆☆☆","★☆☆☆☆"))))))</f>
        <v>★★★★★</v>
      </c>
      <c r="W42" s="115" t="str">
        <f>IF('Field Teams'!$I$43="Inactive","",IF(O42="","",IF(O42&gt;=4.5,"★★★★★",IF(O42&gt;=3.5,"★★★★☆",IF(O42&gt;=2.5,"★★★☆☆",IF(O42&gt;=1.5,"★★☆☆☆","★☆☆☆☆"))))))</f>
        <v>★★★★☆</v>
      </c>
      <c r="X42" s="115" t="str">
        <f>IF('Field Teams'!$I$43="Inactive","",IF(S42="","",IF(S42&gt;=4.5,"★★★★★",IF(S42&gt;=3.5,"★★★★☆",IF(S42&gt;=2.5,"★★★☆☆",IF(S42&gt;=1.5,"★★☆☆☆","★☆☆☆☆"))))))</f>
        <v>★★★★★</v>
      </c>
      <c r="Y42" s="115" t="str">
        <f>IF('Field Teams'!$I$43="Inactive","",IF(AO42="","",IF(AO42&gt;=4.5,"★★★★★",IF(AO42&gt;=3.5,"★★★★☆",IF(AO42&gt;=2.5,"★★★☆☆",IF(AO42&gt;=1.5,"★★☆☆☆","★☆☆☆☆"))))))</f>
        <v>★★★☆☆</v>
      </c>
      <c r="Z42" s="115" t="str">
        <f>IF('Field Teams'!$I$5="Inactive","",IF(T42="","",IF(T42&gt;=4.5,"★★★★★",IF(T42&gt;=3.5,"★★★★☆",IF(T42&gt;=2.5,"★★★☆☆",IF(T42&gt;=1.5,"★★☆☆☆","★☆☆☆☆"))))))</f>
        <v>★★★☆☆</v>
      </c>
      <c r="AA42" s="31" t="str">
        <f>IF('Field Teams'!$I$43="Inactive","",IF(M42="YES","HIGH",IF(Q42&lt;=Settings!$D$26,"HIGH",IF(T42&lt;=Settings!$D$23,"HIGH",IF(T42&lt;=Settings!$D$24,"MEDIUM","LOW")))))</f>
        <v>HIGH</v>
      </c>
      <c r="AB42" s="31">
        <f>IF('Field Teams'!$I$5="Inactive",-1,IFERROR((6-T42)+(77-ROW())*0.0001,0))</f>
        <v>3.0034999999999998</v>
      </c>
      <c r="AC42" s="35">
        <f>IF('Field Teams'!$I$5="Inactive",999,IFERROR((6-T42)+(ROW()-3)*0.0001,99))</f>
        <v>3.0038999999999998</v>
      </c>
      <c r="AD42" s="31">
        <f>IF('Field Teams'!$I$43="Inactive",999,IFERROR(AB42+(ROW()-3)*0.0001,99))</f>
        <v>3.0073999999999996</v>
      </c>
      <c r="AE42" s="29">
        <v>0</v>
      </c>
      <c r="AF42" s="31" t="str">
        <f>IF('Field Teams'!$I$43="Inactive","",IF(AA42="HIGH","YES - within 5 working days",""))</f>
        <v>YES - within 5 working days</v>
      </c>
      <c r="AG42" s="105"/>
      <c r="AH42" s="49">
        <f>IFERROR(SUMPRODUCT(ISNUMBER(SEARCH(B42,'Pole Results'!$A$13:$A$2000))*('Pole Results'!$B$13:$B$2000&gt;=$AG$3)*('Pole Results'!$B$13:$B$2000&lt;=$AE$3)),0)</f>
        <v>0</v>
      </c>
      <c r="AI42" s="49">
        <f>IFERROR(SUMPRODUCT(ISNUMBER(SEARCH(B42,'Pole Results'!$A$13:$A$2000))*('Pole Results'!$B$13:$B$2000&gt;=$AG$3)*('Pole Results'!$B$13:$B$2000&lt;=$AE$3)*('Pole Results'!$E$13:$E$2000="Compliant")),0)</f>
        <v>0</v>
      </c>
      <c r="AJ42" s="105"/>
      <c r="AK42" s="106">
        <f>IF('Field Teams'!$I$43="Inactive",-1,IF(AA42="HIGH",AB42,-1))</f>
        <v>3.0034999999999998</v>
      </c>
      <c r="AL42" s="106">
        <f>IF('Field Teams'!$I$43="Inactive",-1,IF(OR(AA42="HIGH",AA42="MEDIUM"),AB42,-1))</f>
        <v>3.0034999999999998</v>
      </c>
      <c r="AM42" t="str">
        <f>IF('Field Teams'!$I$43="Inactive","",IF(IFERROR(LOOKUP(2,1/('Historical Scores'!C43:N43&lt;&gt;""),'Historical Scores'!C43:N43),"")="","New",IF(T42=""," ",IF(T42&gt;IFERROR(LOOKUP(2,1/('Historical Scores'!C43:N43&lt;&gt;""),'Historical Scores'!C43:N43),""),"▲ Worsening",IF(T42&lt;IFERROR(LOOKUP(2,1/('Historical Scores'!C43:N43&lt;&gt;""),'Historical Scores'!C43:N43),""),"▼ Improving","► Stable")))))</f>
        <v>New</v>
      </c>
      <c r="AN42">
        <f>IFERROR(SUMPRODUCT((ISNUMBER(SEARCH(B42,'Data - SSV'!AE$6:AE$3000)))*('Data - SSV'!AF$6:AF$3000&gt;=(AJ$3-90))*('Data - SSV'!AF$6:AF$3000&lt;=AJ$3)*('Data - SSV'!AH$6:AH$3000&lt;&gt;"")),0)</f>
        <v>0</v>
      </c>
      <c r="AO42">
        <f>IF('Field Teams'!$I$43="Inactive","",IF(AN42=0,3,IF(AN42=1,IF(IFERROR(SUMPRODUCT((ISNUMBER(SEARCH(B42,'Data - SSV'!AE$6:AE$3000)))*('Data - SSV'!AF$6:AF$3000&gt;=(AJ$3-90))*('Data - SSV'!AF$6:AF$3000&lt;=AJ$3)*('Data - SSV'!AH$6:AH$3000&lt;&gt;"")*IF('Data - SSV'!AH$6:AH$3000="",0,'Data - SSV'!AH$6:AH$3000))/AN42,3)=4,4,IF(IFERROR(SUMPRODUCT((ISNUMBER(SEARCH(B42,'Data - SSV'!AE$6:AE$3000)))*('Data - SSV'!AF$6:AF$3000&gt;=(AJ$3-90))*('Data - SSV'!AF$6:AF$3000&lt;=AJ$3)*('Data - SSV'!AH$6:AH$3000&lt;&gt;"")*IF('Data - SSV'!AH$6:AH$3000="",0,'Data - SSV'!AH$6:AH$3000))/AN42,3)&gt;=3,3,IF(IFERROR(SUMPRODUCT((ISNUMBER(SEARCH(B42,'Data - SSV'!AE$6:AE$3000)))*('Data - SSV'!AF$6:AF$3000&gt;=(AJ$3-90))*('Data - SSV'!AF$6:AF$3000&lt;=AJ$3)*('Data - SSV'!AH$6:AH$3000&lt;&gt;"")*IF('Data - SSV'!AH$6:AH$3000="",0,'Data - SSV'!AH$6:AH$3000))/AN42,3)&gt;=2,2,1))),IF(IFERROR(SUMPRODUCT((ISNUMBER(SEARCH(B42,'Data - SSV'!AE$6:AE$3000)))*('Data - SSV'!AF$6:AF$3000&gt;=(AJ$3-90))*('Data - SSV'!AF$6:AF$3000&lt;=AJ$3)*('Data - SSV'!AH$6:AH$3000&lt;&gt;"")*IF('Data - SSV'!AH$6:AH$3000="",0,'Data - SSV'!AH$6:AH$3000))/AN42,3)=4,5,IF(IFERROR(SUMPRODUCT((ISNUMBER(SEARCH(B42,'Data - SSV'!AE$6:AE$3000)))*('Data - SSV'!AF$6:AF$3000&gt;=(AJ$3-90))*('Data - SSV'!AF$6:AF$3000&lt;=AJ$3)*('Data - SSV'!AH$6:AH$3000&lt;&gt;"")*IF('Data - SSV'!AH$6:AH$3000="",0,'Data - SSV'!AH$6:AH$3000))/AN42,3)&gt;=3.5,4,IF(IFERROR(SUMPRODUCT((ISNUMBER(SEARCH(B42,'Data - SSV'!AE$6:AE$3000)))*('Data - SSV'!AF$6:AF$3000&gt;=(AJ$3-90))*('Data - SSV'!AF$6:AF$3000&lt;=AJ$3)*('Data - SSV'!AH$6:AH$3000&lt;&gt;"")*IF('Data - SSV'!AH$6:AH$3000="",0,'Data - SSV'!AH$6:AH$3000))/AN42,3)&gt;=3,3,IF(IFERROR(SUMPRODUCT((ISNUMBER(SEARCH(B42,'Data - SSV'!AE$6:AE$3000)))*('Data - SSV'!AF$6:AF$3000&gt;=(AJ$3-90))*('Data - SSV'!AF$6:AF$3000&lt;=AJ$3)*('Data - SSV'!AH$6:AH$3000&lt;&gt;"")*IF('Data - SSV'!AH$6:AH$3000="",0,'Data - SSV'!AH$6:AH$3000))/AN42,3)&gt;=2,2,1)))))))</f>
        <v>3</v>
      </c>
    </row>
    <row r="43" spans="1:41" ht="19.5" customHeight="1" x14ac:dyDescent="0.15">
      <c r="A43" s="6" t="str">
        <f>'Field Teams'!A44</f>
        <v>FT-040</v>
      </c>
      <c r="B43" s="28" t="str">
        <f>'Field Teams'!B44</f>
        <v>Bathams Tree Care Ltd</v>
      </c>
      <c r="C43" s="28" t="str">
        <f>'Field Teams'!C44</f>
        <v>Utility Arboriculture</v>
      </c>
      <c r="D43" s="6" t="str">
        <f>'Field Teams'!D44</f>
        <v>Donovan  Gosher</v>
      </c>
      <c r="E43" s="6" t="str">
        <f>'Field Teams'!E44</f>
        <v>Paul Shaw</v>
      </c>
      <c r="F43" s="6">
        <f>'Field Teams'!F44</f>
        <v>0</v>
      </c>
      <c r="G43" s="6">
        <f>'Field Teams'!G44</f>
        <v>0</v>
      </c>
      <c r="H43" s="31">
        <f>'Field Teams'!H44</f>
        <v>5</v>
      </c>
      <c r="I43" s="31">
        <f t="shared" si="5"/>
        <v>10</v>
      </c>
      <c r="J43" s="31">
        <f>IFERROR(SUMPRODUCT((((ISNUMBER(SEARCH(B43,'Data - HSQE Events'!V$6:V$3000))+ISNUMBER(SEARCH(B43,'Data - HSQE Events'!H$6:H$3000)))&gt;0))*('Data - HSQE Events'!F$6:F$3000&gt;=$AG$3)*('Data - HSQE Events'!F$6:F$3000&lt;=$AJ$3)*('Data - HSQE Events'!R$6:R$3000="Opportunity")),0)</f>
        <v>0</v>
      </c>
      <c r="K43" s="31">
        <f>IFERROR(SUMPRODUCT((((ISNUMBER(SEARCH(B43,'Data - HSQE Events'!V$6:V$3000))+ISNUMBER(SEARCH(B43,'Data - HSQE Events'!H$6:H$3000)))&gt;0))*('Data - HSQE Events'!F$6:F$3000&gt;=$AG$3)*('Data - HSQE Events'!F$6:F$3000&lt;=$AJ$3)*('Data - HSQE Events'!R$6:R$3000="Minor")),0)</f>
        <v>0</v>
      </c>
      <c r="L43" s="31">
        <f>IFERROR(SUMPRODUCT((((ISNUMBER(SEARCH(B43,'Data - HSQE Events'!V$6:V$3000))+ISNUMBER(SEARCH(B43,'Data - HSQE Events'!H$6:H$3000)))&gt;0))*('Data - HSQE Events'!F$6:F$3000&gt;=$AG$3)*('Data - HSQE Events'!F$6:F$3000&lt;=$AJ$3)*(('Data - HSQE Events'!R$6:R$3000="Moderate")+('Data - HSQE Events'!R$6:R$3000="Major"))),0)</f>
        <v>0</v>
      </c>
      <c r="M43" s="31" t="str">
        <f>IF(IFERROR(SUMPRODUCT((((ISNUMBER(SEARCH(B43,'Data - HSQE Events'!V$6:V$3000))+ISNUMBER(SEARCH(B43,'Data - HSQE Events'!H$6:H$3000)))&gt;0))*('Data - HSQE Events'!F$6:F$3000&gt;=$AG$3)*('Data - HSQE Events'!F$6:F$3000&lt;=$AJ$3)*('Data - HSQE Events'!R$6:R$3000="Major")),0)&gt;0,"YES","NO")</f>
        <v>NO</v>
      </c>
      <c r="N43" s="31">
        <f>IFERROR(SUMPRODUCT(('Data - Skillko'!B$6:B$3000=B43)*('Data - Skillko'!C$6:C$3000="Total")*('Data - Skillko'!E$6:E$3000))*100,0)</f>
        <v>61</v>
      </c>
      <c r="O43" s="31">
        <f t="shared" si="6"/>
        <v>3.4</v>
      </c>
      <c r="P43" s="31">
        <f>IFERROR(SUMPRODUCT(ISNUMBER(SEARCH(B43,'Pole Results'!$A$13:$A$2000))*('Pole Results'!$B$13:$B$2000&gt;=$AG$3)*('Pole Results'!$B$13:$B$2000&lt;=$AE$3)*('Pole Results'!$E$13:$E$2000="Non-Compliant")),0)</f>
        <v>0</v>
      </c>
      <c r="Q43" s="31">
        <f t="shared" si="7"/>
        <v>1</v>
      </c>
      <c r="R43" s="31">
        <f t="shared" si="8"/>
        <v>5</v>
      </c>
      <c r="S43" s="49">
        <f t="shared" si="9"/>
        <v>5</v>
      </c>
      <c r="T43" s="31">
        <f>IF('Field Teams'!$I$44="Inactive","",ROUND((Q43*Settings!$D$6+R43*Settings!$D$7+O43*Settings!$D$10+S43*Settings!$D$12+AO43*Settings!$D$13)/Settings!$D$14,1))</f>
        <v>2.9</v>
      </c>
      <c r="U43" s="115" t="str">
        <f>IF('Field Teams'!$I$44="Inactive","",IF(Q43="","",IF(Q43&gt;=4.5,"★★★★★",IF(Q43&gt;=3.5,"★★★★☆",IF(Q43&gt;=2.5,"★★★☆☆",IF(Q43&gt;=1.5,"★★☆☆☆","★☆☆☆☆"))))))</f>
        <v>★☆☆☆☆</v>
      </c>
      <c r="V43" s="115" t="str">
        <f>IF('Field Teams'!$I$44="Inactive","",IF(R43="","",IF(R43&gt;=4.5,"★★★★★",IF(R43&gt;=3.5,"★★★★☆",IF(R43&gt;=2.5,"★★★☆☆",IF(R43&gt;=1.5,"★★☆☆☆","★☆☆☆☆"))))))</f>
        <v>★★★★★</v>
      </c>
      <c r="W43" s="115" t="str">
        <f>IF('Field Teams'!$I$44="Inactive","",IF(O43="","",IF(O43&gt;=4.5,"★★★★★",IF(O43&gt;=3.5,"★★★★☆",IF(O43&gt;=2.5,"★★★☆☆",IF(O43&gt;=1.5,"★★☆☆☆","★☆☆☆☆"))))))</f>
        <v>★★★☆☆</v>
      </c>
      <c r="X43" s="115" t="str">
        <f>IF('Field Teams'!$I$44="Inactive","",IF(S43="","",IF(S43&gt;=4.5,"★★★★★",IF(S43&gt;=3.5,"★★★★☆",IF(S43&gt;=2.5,"★★★☆☆",IF(S43&gt;=1.5,"★★☆☆☆","★☆☆☆☆"))))))</f>
        <v>★★★★★</v>
      </c>
      <c r="Y43" s="115" t="str">
        <f>IF('Field Teams'!$I$44="Inactive","",IF(AO43="","",IF(AO43&gt;=4.5,"★★★★★",IF(AO43&gt;=3.5,"★★★★☆",IF(AO43&gt;=2.5,"★★★☆☆",IF(AO43&gt;=1.5,"★★☆☆☆","★☆☆☆☆"))))))</f>
        <v>★★★☆☆</v>
      </c>
      <c r="Z43" s="115" t="str">
        <f>IF('Field Teams'!$I$5="Inactive","",IF(T43="","",IF(T43&gt;=4.5,"★★★★★",IF(T43&gt;=3.5,"★★★★☆",IF(T43&gt;=2.5,"★★★☆☆",IF(T43&gt;=1.5,"★★☆☆☆","★☆☆☆☆"))))))</f>
        <v>★★★☆☆</v>
      </c>
      <c r="AA43" s="31" t="str">
        <f>IF('Field Teams'!$I$44="Inactive","",IF(M43="YES","HIGH",IF(Q43&lt;=Settings!$D$26,"HIGH",IF(T43&lt;=Settings!$D$23,"HIGH",IF(T43&lt;=Settings!$D$24,"MEDIUM","LOW")))))</f>
        <v>HIGH</v>
      </c>
      <c r="AB43" s="31">
        <f>IF('Field Teams'!$I$5="Inactive",-1,IFERROR((6-T43)+(77-ROW())*0.0001,0))</f>
        <v>3.1034000000000002</v>
      </c>
      <c r="AC43" s="35">
        <f>IF('Field Teams'!$I$5="Inactive",999,IFERROR((6-T43)+(ROW()-3)*0.0001,99))</f>
        <v>3.1040000000000001</v>
      </c>
      <c r="AD43" s="31">
        <f>IF('Field Teams'!$I$44="Inactive",999,IFERROR(AB43+(ROW()-3)*0.0001,99))</f>
        <v>3.1074000000000002</v>
      </c>
      <c r="AE43" s="29">
        <v>0</v>
      </c>
      <c r="AF43" s="31" t="str">
        <f>IF('Field Teams'!$I$44="Inactive","",IF(AA43="HIGH","YES - within 5 working days",""))</f>
        <v>YES - within 5 working days</v>
      </c>
      <c r="AG43" s="105"/>
      <c r="AH43" s="49">
        <f>IFERROR(SUMPRODUCT(ISNUMBER(SEARCH(B43,'Pole Results'!$A$13:$A$2000))*('Pole Results'!$B$13:$B$2000&gt;=$AG$3)*('Pole Results'!$B$13:$B$2000&lt;=$AE$3)),0)</f>
        <v>0</v>
      </c>
      <c r="AI43" s="49">
        <f>IFERROR(SUMPRODUCT(ISNUMBER(SEARCH(B43,'Pole Results'!$A$13:$A$2000))*('Pole Results'!$B$13:$B$2000&gt;=$AG$3)*('Pole Results'!$B$13:$B$2000&lt;=$AE$3)*('Pole Results'!$E$13:$E$2000="Compliant")),0)</f>
        <v>0</v>
      </c>
      <c r="AJ43" s="105"/>
      <c r="AK43" s="106">
        <f>IF('Field Teams'!$I$44="Inactive",-1,IF(AA43="HIGH",AB43,-1))</f>
        <v>3.1034000000000002</v>
      </c>
      <c r="AL43" s="106">
        <f>IF('Field Teams'!$I$44="Inactive",-1,IF(OR(AA43="HIGH",AA43="MEDIUM"),AB43,-1))</f>
        <v>3.1034000000000002</v>
      </c>
      <c r="AM43" t="str">
        <f>IF('Field Teams'!$I$44="Inactive","",IF(IFERROR(LOOKUP(2,1/('Historical Scores'!C44:N44&lt;&gt;""),'Historical Scores'!C44:N44),"")="","New",IF(T43=""," ",IF(T43&gt;IFERROR(LOOKUP(2,1/('Historical Scores'!C44:N44&lt;&gt;""),'Historical Scores'!C44:N44),""),"▲ Worsening",IF(T43&lt;IFERROR(LOOKUP(2,1/('Historical Scores'!C44:N44&lt;&gt;""),'Historical Scores'!C44:N44),""),"▼ Improving","► Stable")))))</f>
        <v>New</v>
      </c>
      <c r="AN43">
        <f>IFERROR(SUMPRODUCT((ISNUMBER(SEARCH(B43,'Data - SSV'!AE$6:AE$3000)))*('Data - SSV'!AF$6:AF$3000&gt;=(AJ$3-90))*('Data - SSV'!AF$6:AF$3000&lt;=AJ$3)*('Data - SSV'!AH$6:AH$3000&lt;&gt;"")),0)</f>
        <v>0</v>
      </c>
      <c r="AO43">
        <f>IF('Field Teams'!$I$44="Inactive","",IF(AN43=0,3,IF(AN43=1,IF(IFERROR(SUMPRODUCT((ISNUMBER(SEARCH(B43,'Data - SSV'!AE$6:AE$3000)))*('Data - SSV'!AF$6:AF$3000&gt;=(AJ$3-90))*('Data - SSV'!AF$6:AF$3000&lt;=AJ$3)*('Data - SSV'!AH$6:AH$3000&lt;&gt;"")*IF('Data - SSV'!AH$6:AH$3000="",0,'Data - SSV'!AH$6:AH$3000))/AN43,3)=4,4,IF(IFERROR(SUMPRODUCT((ISNUMBER(SEARCH(B43,'Data - SSV'!AE$6:AE$3000)))*('Data - SSV'!AF$6:AF$3000&gt;=(AJ$3-90))*('Data - SSV'!AF$6:AF$3000&lt;=AJ$3)*('Data - SSV'!AH$6:AH$3000&lt;&gt;"")*IF('Data - SSV'!AH$6:AH$3000="",0,'Data - SSV'!AH$6:AH$3000))/AN43,3)&gt;=3,3,IF(IFERROR(SUMPRODUCT((ISNUMBER(SEARCH(B43,'Data - SSV'!AE$6:AE$3000)))*('Data - SSV'!AF$6:AF$3000&gt;=(AJ$3-90))*('Data - SSV'!AF$6:AF$3000&lt;=AJ$3)*('Data - SSV'!AH$6:AH$3000&lt;&gt;"")*IF('Data - SSV'!AH$6:AH$3000="",0,'Data - SSV'!AH$6:AH$3000))/AN43,3)&gt;=2,2,1))),IF(IFERROR(SUMPRODUCT((ISNUMBER(SEARCH(B43,'Data - SSV'!AE$6:AE$3000)))*('Data - SSV'!AF$6:AF$3000&gt;=(AJ$3-90))*('Data - SSV'!AF$6:AF$3000&lt;=AJ$3)*('Data - SSV'!AH$6:AH$3000&lt;&gt;"")*IF('Data - SSV'!AH$6:AH$3000="",0,'Data - SSV'!AH$6:AH$3000))/AN43,3)=4,5,IF(IFERROR(SUMPRODUCT((ISNUMBER(SEARCH(B43,'Data - SSV'!AE$6:AE$3000)))*('Data - SSV'!AF$6:AF$3000&gt;=(AJ$3-90))*('Data - SSV'!AF$6:AF$3000&lt;=AJ$3)*('Data - SSV'!AH$6:AH$3000&lt;&gt;"")*IF('Data - SSV'!AH$6:AH$3000="",0,'Data - SSV'!AH$6:AH$3000))/AN43,3)&gt;=3.5,4,IF(IFERROR(SUMPRODUCT((ISNUMBER(SEARCH(B43,'Data - SSV'!AE$6:AE$3000)))*('Data - SSV'!AF$6:AF$3000&gt;=(AJ$3-90))*('Data - SSV'!AF$6:AF$3000&lt;=AJ$3)*('Data - SSV'!AH$6:AH$3000&lt;&gt;"")*IF('Data - SSV'!AH$6:AH$3000="",0,'Data - SSV'!AH$6:AH$3000))/AN43,3)&gt;=3,3,IF(IFERROR(SUMPRODUCT((ISNUMBER(SEARCH(B43,'Data - SSV'!AE$6:AE$3000)))*('Data - SSV'!AF$6:AF$3000&gt;=(AJ$3-90))*('Data - SSV'!AF$6:AF$3000&lt;=AJ$3)*('Data - SSV'!AH$6:AH$3000&lt;&gt;"")*IF('Data - SSV'!AH$6:AH$3000="",0,'Data - SSV'!AH$6:AH$3000))/AN43,3)&gt;=2,2,1)))))))</f>
        <v>3</v>
      </c>
    </row>
    <row r="44" spans="1:41" ht="19.5" customHeight="1" x14ac:dyDescent="0.15">
      <c r="A44" s="10" t="str">
        <f>'Field Teams'!A45</f>
        <v>FT-041</v>
      </c>
      <c r="B44" s="30" t="str">
        <f>'Field Teams'!B45</f>
        <v>Belvoir Tree Care</v>
      </c>
      <c r="C44" s="30" t="str">
        <f>'Field Teams'!C45</f>
        <v>Utility Arboriculture</v>
      </c>
      <c r="D44" s="10" t="str">
        <f>'Field Teams'!D45</f>
        <v>Donovan  Gosher</v>
      </c>
      <c r="E44" s="10" t="str">
        <f>'Field Teams'!E45</f>
        <v>Paul Shaw</v>
      </c>
      <c r="F44" s="10">
        <f>'Field Teams'!F45</f>
        <v>0</v>
      </c>
      <c r="G44" s="10">
        <f>'Field Teams'!G45</f>
        <v>0</v>
      </c>
      <c r="H44" s="31">
        <f>'Field Teams'!H45</f>
        <v>2</v>
      </c>
      <c r="I44" s="31">
        <f t="shared" si="5"/>
        <v>4</v>
      </c>
      <c r="J44" s="31">
        <f>IFERROR(SUMPRODUCT((((ISNUMBER(SEARCH(B44,'Data - HSQE Events'!V$6:V$3000))+ISNUMBER(SEARCH(B44,'Data - HSQE Events'!H$6:H$3000)))&gt;0))*('Data - HSQE Events'!F$6:F$3000&gt;=$AG$3)*('Data - HSQE Events'!F$6:F$3000&lt;=$AJ$3)*('Data - HSQE Events'!R$6:R$3000="Opportunity")),0)</f>
        <v>0</v>
      </c>
      <c r="K44" s="31">
        <f>IFERROR(SUMPRODUCT((((ISNUMBER(SEARCH(B44,'Data - HSQE Events'!V$6:V$3000))+ISNUMBER(SEARCH(B44,'Data - HSQE Events'!H$6:H$3000)))&gt;0))*('Data - HSQE Events'!F$6:F$3000&gt;=$AG$3)*('Data - HSQE Events'!F$6:F$3000&lt;=$AJ$3)*('Data - HSQE Events'!R$6:R$3000="Minor")),0)</f>
        <v>0</v>
      </c>
      <c r="L44" s="31">
        <f>IFERROR(SUMPRODUCT((((ISNUMBER(SEARCH(B44,'Data - HSQE Events'!V$6:V$3000))+ISNUMBER(SEARCH(B44,'Data - HSQE Events'!H$6:H$3000)))&gt;0))*('Data - HSQE Events'!F$6:F$3000&gt;=$AG$3)*('Data - HSQE Events'!F$6:F$3000&lt;=$AJ$3)*(('Data - HSQE Events'!R$6:R$3000="Moderate")+('Data - HSQE Events'!R$6:R$3000="Major"))),0)</f>
        <v>0</v>
      </c>
      <c r="M44" s="31" t="str">
        <f>IF(IFERROR(SUMPRODUCT((((ISNUMBER(SEARCH(B44,'Data - HSQE Events'!V$6:V$3000))+ISNUMBER(SEARCH(B44,'Data - HSQE Events'!H$6:H$3000)))&gt;0))*('Data - HSQE Events'!F$6:F$3000&gt;=$AG$3)*('Data - HSQE Events'!F$6:F$3000&lt;=$AJ$3)*('Data - HSQE Events'!R$6:R$3000="Major")),0)&gt;0,"YES","NO")</f>
        <v>NO</v>
      </c>
      <c r="N44" s="31">
        <f>IFERROR(SUMPRODUCT(('Data - Skillko'!B$6:B$3000=B44)*('Data - Skillko'!C$6:C$3000="Total")*('Data - Skillko'!E$6:E$3000))*100,0)</f>
        <v>82</v>
      </c>
      <c r="O44" s="31">
        <f t="shared" si="6"/>
        <v>4.3</v>
      </c>
      <c r="P44" s="31">
        <f>IFERROR(SUMPRODUCT(ISNUMBER(SEARCH(B44,'Pole Results'!$A$13:$A$2000))*('Pole Results'!$B$13:$B$2000&gt;=$AG$3)*('Pole Results'!$B$13:$B$2000&lt;=$AE$3)*('Pole Results'!$E$13:$E$2000="Non-Compliant")),0)</f>
        <v>0</v>
      </c>
      <c r="Q44" s="31">
        <f t="shared" si="7"/>
        <v>1</v>
      </c>
      <c r="R44" s="31">
        <f t="shared" si="8"/>
        <v>5</v>
      </c>
      <c r="S44" s="49">
        <f t="shared" si="9"/>
        <v>5</v>
      </c>
      <c r="T44" s="31">
        <f>IF('Field Teams'!$I$45="Inactive","",ROUND((Q44*Settings!$D$6+R44*Settings!$D$7+O44*Settings!$D$10+S44*Settings!$D$12+AO44*Settings!$D$13)/Settings!$D$14,1))</f>
        <v>3</v>
      </c>
      <c r="U44" s="115" t="str">
        <f>IF('Field Teams'!$I$45="Inactive","",IF(Q44="","",IF(Q44&gt;=4.5,"★★★★★",IF(Q44&gt;=3.5,"★★★★☆",IF(Q44&gt;=2.5,"★★★☆☆",IF(Q44&gt;=1.5,"★★☆☆☆","★☆☆☆☆"))))))</f>
        <v>★☆☆☆☆</v>
      </c>
      <c r="V44" s="115" t="str">
        <f>IF('Field Teams'!$I$45="Inactive","",IF(R44="","",IF(R44&gt;=4.5,"★★★★★",IF(R44&gt;=3.5,"★★★★☆",IF(R44&gt;=2.5,"★★★☆☆",IF(R44&gt;=1.5,"★★☆☆☆","★☆☆☆☆"))))))</f>
        <v>★★★★★</v>
      </c>
      <c r="W44" s="115" t="str">
        <f>IF('Field Teams'!$I$45="Inactive","",IF(O44="","",IF(O44&gt;=4.5,"★★★★★",IF(O44&gt;=3.5,"★★★★☆",IF(O44&gt;=2.5,"★★★☆☆",IF(O44&gt;=1.5,"★★☆☆☆","★☆☆☆☆"))))))</f>
        <v>★★★★☆</v>
      </c>
      <c r="X44" s="115" t="str">
        <f>IF('Field Teams'!$I$45="Inactive","",IF(S44="","",IF(S44&gt;=4.5,"★★★★★",IF(S44&gt;=3.5,"★★★★☆",IF(S44&gt;=2.5,"★★★☆☆",IF(S44&gt;=1.5,"★★☆☆☆","★☆☆☆☆"))))))</f>
        <v>★★★★★</v>
      </c>
      <c r="Y44" s="115" t="str">
        <f>IF('Field Teams'!$I$45="Inactive","",IF(AO44="","",IF(AO44&gt;=4.5,"★★★★★",IF(AO44&gt;=3.5,"★★★★☆",IF(AO44&gt;=2.5,"★★★☆☆",IF(AO44&gt;=1.5,"★★☆☆☆","★☆☆☆☆"))))))</f>
        <v>★★★☆☆</v>
      </c>
      <c r="Z44" s="115" t="str">
        <f>IF('Field Teams'!$I$5="Inactive","",IF(T44="","",IF(T44&gt;=4.5,"★★★★★",IF(T44&gt;=3.5,"★★★★☆",IF(T44&gt;=2.5,"★★★☆☆",IF(T44&gt;=1.5,"★★☆☆☆","★☆☆☆☆"))))))</f>
        <v>★★★☆☆</v>
      </c>
      <c r="AA44" s="31" t="str">
        <f>IF('Field Teams'!$I$45="Inactive","",IF(M44="YES","HIGH",IF(Q44&lt;=Settings!$D$26,"HIGH",IF(T44&lt;=Settings!$D$23,"HIGH",IF(T44&lt;=Settings!$D$24,"MEDIUM","LOW")))))</f>
        <v>HIGH</v>
      </c>
      <c r="AB44" s="31">
        <f>IF('Field Teams'!$I$5="Inactive",-1,IFERROR((6-T44)+(77-ROW())*0.0001,0))</f>
        <v>3.0032999999999999</v>
      </c>
      <c r="AC44" s="35">
        <f>IF('Field Teams'!$I$5="Inactive",999,IFERROR((6-T44)+(ROW()-3)*0.0001,99))</f>
        <v>3.0041000000000002</v>
      </c>
      <c r="AD44" s="31">
        <f>IF('Field Teams'!$I$45="Inactive",999,IFERROR(AB44+(ROW()-3)*0.0001,99))</f>
        <v>3.0074000000000001</v>
      </c>
      <c r="AE44" s="29">
        <v>0</v>
      </c>
      <c r="AF44" s="31" t="str">
        <f>IF('Field Teams'!$I$45="Inactive","",IF(AA44="HIGH","YES - within 5 working days",""))</f>
        <v>YES - within 5 working days</v>
      </c>
      <c r="AG44" s="105"/>
      <c r="AH44" s="49">
        <f>IFERROR(SUMPRODUCT(ISNUMBER(SEARCH(B44,'Pole Results'!$A$13:$A$2000))*('Pole Results'!$B$13:$B$2000&gt;=$AG$3)*('Pole Results'!$B$13:$B$2000&lt;=$AE$3)),0)</f>
        <v>0</v>
      </c>
      <c r="AI44" s="49">
        <f>IFERROR(SUMPRODUCT(ISNUMBER(SEARCH(B44,'Pole Results'!$A$13:$A$2000))*('Pole Results'!$B$13:$B$2000&gt;=$AG$3)*('Pole Results'!$B$13:$B$2000&lt;=$AE$3)*('Pole Results'!$E$13:$E$2000="Compliant")),0)</f>
        <v>0</v>
      </c>
      <c r="AJ44" s="105"/>
      <c r="AK44" s="106">
        <f>IF('Field Teams'!$I$45="Inactive",-1,IF(AA44="HIGH",AB44,-1))</f>
        <v>3.0032999999999999</v>
      </c>
      <c r="AL44" s="106">
        <f>IF('Field Teams'!$I$45="Inactive",-1,IF(OR(AA44="HIGH",AA44="MEDIUM"),AB44,-1))</f>
        <v>3.0032999999999999</v>
      </c>
      <c r="AM44" t="str">
        <f>IF('Field Teams'!$I$45="Inactive","",IF(IFERROR(LOOKUP(2,1/('Historical Scores'!C45:N45&lt;&gt;""),'Historical Scores'!C45:N45),"")="","New",IF(T44=""," ",IF(T44&gt;IFERROR(LOOKUP(2,1/('Historical Scores'!C45:N45&lt;&gt;""),'Historical Scores'!C45:N45),""),"▲ Worsening",IF(T44&lt;IFERROR(LOOKUP(2,1/('Historical Scores'!C45:N45&lt;&gt;""),'Historical Scores'!C45:N45),""),"▼ Improving","► Stable")))))</f>
        <v>New</v>
      </c>
      <c r="AN44">
        <f>IFERROR(SUMPRODUCT((ISNUMBER(SEARCH(B44,'Data - SSV'!AE$6:AE$3000)))*('Data - SSV'!AF$6:AF$3000&gt;=(AJ$3-90))*('Data - SSV'!AF$6:AF$3000&lt;=AJ$3)*('Data - SSV'!AH$6:AH$3000&lt;&gt;"")),0)</f>
        <v>0</v>
      </c>
      <c r="AO44">
        <f>IF('Field Teams'!$I$45="Inactive","",IF(AN44=0,3,IF(AN44=1,IF(IFERROR(SUMPRODUCT((ISNUMBER(SEARCH(B44,'Data - SSV'!AE$6:AE$3000)))*('Data - SSV'!AF$6:AF$3000&gt;=(AJ$3-90))*('Data - SSV'!AF$6:AF$3000&lt;=AJ$3)*('Data - SSV'!AH$6:AH$3000&lt;&gt;"")*IF('Data - SSV'!AH$6:AH$3000="",0,'Data - SSV'!AH$6:AH$3000))/AN44,3)=4,4,IF(IFERROR(SUMPRODUCT((ISNUMBER(SEARCH(B44,'Data - SSV'!AE$6:AE$3000)))*('Data - SSV'!AF$6:AF$3000&gt;=(AJ$3-90))*('Data - SSV'!AF$6:AF$3000&lt;=AJ$3)*('Data - SSV'!AH$6:AH$3000&lt;&gt;"")*IF('Data - SSV'!AH$6:AH$3000="",0,'Data - SSV'!AH$6:AH$3000))/AN44,3)&gt;=3,3,IF(IFERROR(SUMPRODUCT((ISNUMBER(SEARCH(B44,'Data - SSV'!AE$6:AE$3000)))*('Data - SSV'!AF$6:AF$3000&gt;=(AJ$3-90))*('Data - SSV'!AF$6:AF$3000&lt;=AJ$3)*('Data - SSV'!AH$6:AH$3000&lt;&gt;"")*IF('Data - SSV'!AH$6:AH$3000="",0,'Data - SSV'!AH$6:AH$3000))/AN44,3)&gt;=2,2,1))),IF(IFERROR(SUMPRODUCT((ISNUMBER(SEARCH(B44,'Data - SSV'!AE$6:AE$3000)))*('Data - SSV'!AF$6:AF$3000&gt;=(AJ$3-90))*('Data - SSV'!AF$6:AF$3000&lt;=AJ$3)*('Data - SSV'!AH$6:AH$3000&lt;&gt;"")*IF('Data - SSV'!AH$6:AH$3000="",0,'Data - SSV'!AH$6:AH$3000))/AN44,3)=4,5,IF(IFERROR(SUMPRODUCT((ISNUMBER(SEARCH(B44,'Data - SSV'!AE$6:AE$3000)))*('Data - SSV'!AF$6:AF$3000&gt;=(AJ$3-90))*('Data - SSV'!AF$6:AF$3000&lt;=AJ$3)*('Data - SSV'!AH$6:AH$3000&lt;&gt;"")*IF('Data - SSV'!AH$6:AH$3000="",0,'Data - SSV'!AH$6:AH$3000))/AN44,3)&gt;=3.5,4,IF(IFERROR(SUMPRODUCT((ISNUMBER(SEARCH(B44,'Data - SSV'!AE$6:AE$3000)))*('Data - SSV'!AF$6:AF$3000&gt;=(AJ$3-90))*('Data - SSV'!AF$6:AF$3000&lt;=AJ$3)*('Data - SSV'!AH$6:AH$3000&lt;&gt;"")*IF('Data - SSV'!AH$6:AH$3000="",0,'Data - SSV'!AH$6:AH$3000))/AN44,3)&gt;=3,3,IF(IFERROR(SUMPRODUCT((ISNUMBER(SEARCH(B44,'Data - SSV'!AE$6:AE$3000)))*('Data - SSV'!AF$6:AF$3000&gt;=(AJ$3-90))*('Data - SSV'!AF$6:AF$3000&lt;=AJ$3)*('Data - SSV'!AH$6:AH$3000&lt;&gt;"")*IF('Data - SSV'!AH$6:AH$3000="",0,'Data - SSV'!AH$6:AH$3000))/AN44,3)&gt;=2,2,1)))))))</f>
        <v>3</v>
      </c>
    </row>
    <row r="45" spans="1:41" ht="19.5" customHeight="1" x14ac:dyDescent="0.15">
      <c r="A45" s="6" t="str">
        <f>'Field Teams'!A46</f>
        <v>FT-042</v>
      </c>
      <c r="B45" s="28" t="str">
        <f>'Field Teams'!B46</f>
        <v>Cedar Park Tree Care Ltd</v>
      </c>
      <c r="C45" s="28" t="str">
        <f>'Field Teams'!C46</f>
        <v>Utility Arboriculture</v>
      </c>
      <c r="D45" s="6" t="str">
        <f>'Field Teams'!D46</f>
        <v>Donovan  Gosher</v>
      </c>
      <c r="E45" s="6" t="str">
        <f>'Field Teams'!E46</f>
        <v>Paul Shaw</v>
      </c>
      <c r="F45" s="6">
        <f>'Field Teams'!F46</f>
        <v>0</v>
      </c>
      <c r="G45" s="6">
        <f>'Field Teams'!G46</f>
        <v>0</v>
      </c>
      <c r="H45" s="31">
        <f>'Field Teams'!H46</f>
        <v>2</v>
      </c>
      <c r="I45" s="31">
        <f t="shared" si="5"/>
        <v>4</v>
      </c>
      <c r="J45" s="31">
        <f>IFERROR(SUMPRODUCT((((ISNUMBER(SEARCH(B45,'Data - HSQE Events'!V$6:V$3000))+ISNUMBER(SEARCH(B45,'Data - HSQE Events'!H$6:H$3000)))&gt;0))*('Data - HSQE Events'!F$6:F$3000&gt;=$AG$3)*('Data - HSQE Events'!F$6:F$3000&lt;=$AJ$3)*('Data - HSQE Events'!R$6:R$3000="Opportunity")),0)</f>
        <v>0</v>
      </c>
      <c r="K45" s="31">
        <f>IFERROR(SUMPRODUCT((((ISNUMBER(SEARCH(B45,'Data - HSQE Events'!V$6:V$3000))+ISNUMBER(SEARCH(B45,'Data - HSQE Events'!H$6:H$3000)))&gt;0))*('Data - HSQE Events'!F$6:F$3000&gt;=$AG$3)*('Data - HSQE Events'!F$6:F$3000&lt;=$AJ$3)*('Data - HSQE Events'!R$6:R$3000="Minor")),0)</f>
        <v>0</v>
      </c>
      <c r="L45" s="31">
        <f>IFERROR(SUMPRODUCT((((ISNUMBER(SEARCH(B45,'Data - HSQE Events'!V$6:V$3000))+ISNUMBER(SEARCH(B45,'Data - HSQE Events'!H$6:H$3000)))&gt;0))*('Data - HSQE Events'!F$6:F$3000&gt;=$AG$3)*('Data - HSQE Events'!F$6:F$3000&lt;=$AJ$3)*(('Data - HSQE Events'!R$6:R$3000="Moderate")+('Data - HSQE Events'!R$6:R$3000="Major"))),0)</f>
        <v>0</v>
      </c>
      <c r="M45" s="31" t="str">
        <f>IF(IFERROR(SUMPRODUCT((((ISNUMBER(SEARCH(B45,'Data - HSQE Events'!V$6:V$3000))+ISNUMBER(SEARCH(B45,'Data - HSQE Events'!H$6:H$3000)))&gt;0))*('Data - HSQE Events'!F$6:F$3000&gt;=$AG$3)*('Data - HSQE Events'!F$6:F$3000&lt;=$AJ$3)*('Data - HSQE Events'!R$6:R$3000="Major")),0)&gt;0,"YES","NO")</f>
        <v>NO</v>
      </c>
      <c r="N45" s="31">
        <f>IFERROR(SUMPRODUCT(('Data - Skillko'!B$6:B$3000=B45)*('Data - Skillko'!C$6:C$3000="Total")*('Data - Skillko'!E$6:E$3000))*100,0)</f>
        <v>85</v>
      </c>
      <c r="O45" s="31">
        <f t="shared" si="6"/>
        <v>4.4000000000000004</v>
      </c>
      <c r="P45" s="31">
        <f>IFERROR(SUMPRODUCT(ISNUMBER(SEARCH(B45,'Pole Results'!$A$13:$A$2000))*('Pole Results'!$B$13:$B$2000&gt;=$AG$3)*('Pole Results'!$B$13:$B$2000&lt;=$AE$3)*('Pole Results'!$E$13:$E$2000="Non-Compliant")),0)</f>
        <v>0</v>
      </c>
      <c r="Q45" s="31">
        <f t="shared" si="7"/>
        <v>1</v>
      </c>
      <c r="R45" s="31">
        <f t="shared" si="8"/>
        <v>5</v>
      </c>
      <c r="S45" s="49">
        <f t="shared" si="9"/>
        <v>5</v>
      </c>
      <c r="T45" s="31">
        <f>IF('Field Teams'!$I$46="Inactive","",ROUND((Q45*Settings!$D$6+R45*Settings!$D$7+O45*Settings!$D$10+S45*Settings!$D$12+AO45*Settings!$D$13)/Settings!$D$14,1))</f>
        <v>3</v>
      </c>
      <c r="U45" s="115" t="str">
        <f>IF('Field Teams'!$I$46="Inactive","",IF(Q45="","",IF(Q45&gt;=4.5,"★★★★★",IF(Q45&gt;=3.5,"★★★★☆",IF(Q45&gt;=2.5,"★★★☆☆",IF(Q45&gt;=1.5,"★★☆☆☆","★☆☆☆☆"))))))</f>
        <v>★☆☆☆☆</v>
      </c>
      <c r="V45" s="115" t="str">
        <f>IF('Field Teams'!$I$46="Inactive","",IF(R45="","",IF(R45&gt;=4.5,"★★★★★",IF(R45&gt;=3.5,"★★★★☆",IF(R45&gt;=2.5,"★★★☆☆",IF(R45&gt;=1.5,"★★☆☆☆","★☆☆☆☆"))))))</f>
        <v>★★★★★</v>
      </c>
      <c r="W45" s="115" t="str">
        <f>IF('Field Teams'!$I$46="Inactive","",IF(O45="","",IF(O45&gt;=4.5,"★★★★★",IF(O45&gt;=3.5,"★★★★☆",IF(O45&gt;=2.5,"★★★☆☆",IF(O45&gt;=1.5,"★★☆☆☆","★☆☆☆☆"))))))</f>
        <v>★★★★☆</v>
      </c>
      <c r="X45" s="115" t="str">
        <f>IF('Field Teams'!$I$46="Inactive","",IF(S45="","",IF(S45&gt;=4.5,"★★★★★",IF(S45&gt;=3.5,"★★★★☆",IF(S45&gt;=2.5,"★★★☆☆",IF(S45&gt;=1.5,"★★☆☆☆","★☆☆☆☆"))))))</f>
        <v>★★★★★</v>
      </c>
      <c r="Y45" s="115" t="str">
        <f>IF('Field Teams'!$I$46="Inactive","",IF(AO45="","",IF(AO45&gt;=4.5,"★★★★★",IF(AO45&gt;=3.5,"★★★★☆",IF(AO45&gt;=2.5,"★★★☆☆",IF(AO45&gt;=1.5,"★★☆☆☆","★☆☆☆☆"))))))</f>
        <v>★★★☆☆</v>
      </c>
      <c r="Z45" s="115" t="str">
        <f>IF('Field Teams'!$I$5="Inactive","",IF(T45="","",IF(T45&gt;=4.5,"★★★★★",IF(T45&gt;=3.5,"★★★★☆",IF(T45&gt;=2.5,"★★★☆☆",IF(T45&gt;=1.5,"★★☆☆☆","★☆☆☆☆"))))))</f>
        <v>★★★☆☆</v>
      </c>
      <c r="AA45" s="31" t="str">
        <f>IF('Field Teams'!$I$46="Inactive","",IF(M45="YES","HIGH",IF(Q45&lt;=Settings!$D$26,"HIGH",IF(T45&lt;=Settings!$D$23,"HIGH",IF(T45&lt;=Settings!$D$24,"MEDIUM","LOW")))))</f>
        <v>HIGH</v>
      </c>
      <c r="AB45" s="31">
        <f>IF('Field Teams'!$I$5="Inactive",-1,IFERROR((6-T45)+(77-ROW())*0.0001,0))</f>
        <v>3.0032000000000001</v>
      </c>
      <c r="AC45" s="35">
        <f>IF('Field Teams'!$I$5="Inactive",999,IFERROR((6-T45)+(ROW()-3)*0.0001,99))</f>
        <v>3.0042</v>
      </c>
      <c r="AD45" s="31">
        <f>IF('Field Teams'!$I$46="Inactive",999,IFERROR(AB45+(ROW()-3)*0.0001,99))</f>
        <v>3.0074000000000001</v>
      </c>
      <c r="AE45" s="29">
        <v>0</v>
      </c>
      <c r="AF45" s="31" t="str">
        <f>IF('Field Teams'!$I$46="Inactive","",IF(AA45="HIGH","YES - within 5 working days",""))</f>
        <v>YES - within 5 working days</v>
      </c>
      <c r="AG45" s="105"/>
      <c r="AH45" s="49">
        <f>IFERROR(SUMPRODUCT(ISNUMBER(SEARCH(B45,'Pole Results'!$A$13:$A$2000))*('Pole Results'!$B$13:$B$2000&gt;=$AG$3)*('Pole Results'!$B$13:$B$2000&lt;=$AE$3)),0)</f>
        <v>0</v>
      </c>
      <c r="AI45" s="49">
        <f>IFERROR(SUMPRODUCT(ISNUMBER(SEARCH(B45,'Pole Results'!$A$13:$A$2000))*('Pole Results'!$B$13:$B$2000&gt;=$AG$3)*('Pole Results'!$B$13:$B$2000&lt;=$AE$3)*('Pole Results'!$E$13:$E$2000="Compliant")),0)</f>
        <v>0</v>
      </c>
      <c r="AJ45" s="105"/>
      <c r="AK45" s="106">
        <f>IF('Field Teams'!$I$46="Inactive",-1,IF(AA45="HIGH",AB45,-1))</f>
        <v>3.0032000000000001</v>
      </c>
      <c r="AL45" s="106">
        <f>IF('Field Teams'!$I$46="Inactive",-1,IF(OR(AA45="HIGH",AA45="MEDIUM"),AB45,-1))</f>
        <v>3.0032000000000001</v>
      </c>
      <c r="AM45" t="str">
        <f>IF('Field Teams'!$I$46="Inactive","",IF(IFERROR(LOOKUP(2,1/('Historical Scores'!C46:N46&lt;&gt;""),'Historical Scores'!C46:N46),"")="","New",IF(T45=""," ",IF(T45&gt;IFERROR(LOOKUP(2,1/('Historical Scores'!C46:N46&lt;&gt;""),'Historical Scores'!C46:N46),""),"▲ Worsening",IF(T45&lt;IFERROR(LOOKUP(2,1/('Historical Scores'!C46:N46&lt;&gt;""),'Historical Scores'!C46:N46),""),"▼ Improving","► Stable")))))</f>
        <v>New</v>
      </c>
      <c r="AN45">
        <f>IFERROR(SUMPRODUCT((ISNUMBER(SEARCH(B45,'Data - SSV'!AE$6:AE$3000)))*('Data - SSV'!AF$6:AF$3000&gt;=(AJ$3-90))*('Data - SSV'!AF$6:AF$3000&lt;=AJ$3)*('Data - SSV'!AH$6:AH$3000&lt;&gt;"")),0)</f>
        <v>0</v>
      </c>
      <c r="AO45">
        <f>IF('Field Teams'!$I$46="Inactive","",IF(AN45=0,3,IF(AN45=1,IF(IFERROR(SUMPRODUCT((ISNUMBER(SEARCH(B45,'Data - SSV'!AE$6:AE$3000)))*('Data - SSV'!AF$6:AF$3000&gt;=(AJ$3-90))*('Data - SSV'!AF$6:AF$3000&lt;=AJ$3)*('Data - SSV'!AH$6:AH$3000&lt;&gt;"")*IF('Data - SSV'!AH$6:AH$3000="",0,'Data - SSV'!AH$6:AH$3000))/AN45,3)=4,4,IF(IFERROR(SUMPRODUCT((ISNUMBER(SEARCH(B45,'Data - SSV'!AE$6:AE$3000)))*('Data - SSV'!AF$6:AF$3000&gt;=(AJ$3-90))*('Data - SSV'!AF$6:AF$3000&lt;=AJ$3)*('Data - SSV'!AH$6:AH$3000&lt;&gt;"")*IF('Data - SSV'!AH$6:AH$3000="",0,'Data - SSV'!AH$6:AH$3000))/AN45,3)&gt;=3,3,IF(IFERROR(SUMPRODUCT((ISNUMBER(SEARCH(B45,'Data - SSV'!AE$6:AE$3000)))*('Data - SSV'!AF$6:AF$3000&gt;=(AJ$3-90))*('Data - SSV'!AF$6:AF$3000&lt;=AJ$3)*('Data - SSV'!AH$6:AH$3000&lt;&gt;"")*IF('Data - SSV'!AH$6:AH$3000="",0,'Data - SSV'!AH$6:AH$3000))/AN45,3)&gt;=2,2,1))),IF(IFERROR(SUMPRODUCT((ISNUMBER(SEARCH(B45,'Data - SSV'!AE$6:AE$3000)))*('Data - SSV'!AF$6:AF$3000&gt;=(AJ$3-90))*('Data - SSV'!AF$6:AF$3000&lt;=AJ$3)*('Data - SSV'!AH$6:AH$3000&lt;&gt;"")*IF('Data - SSV'!AH$6:AH$3000="",0,'Data - SSV'!AH$6:AH$3000))/AN45,3)=4,5,IF(IFERROR(SUMPRODUCT((ISNUMBER(SEARCH(B45,'Data - SSV'!AE$6:AE$3000)))*('Data - SSV'!AF$6:AF$3000&gt;=(AJ$3-90))*('Data - SSV'!AF$6:AF$3000&lt;=AJ$3)*('Data - SSV'!AH$6:AH$3000&lt;&gt;"")*IF('Data - SSV'!AH$6:AH$3000="",0,'Data - SSV'!AH$6:AH$3000))/AN45,3)&gt;=3.5,4,IF(IFERROR(SUMPRODUCT((ISNUMBER(SEARCH(B45,'Data - SSV'!AE$6:AE$3000)))*('Data - SSV'!AF$6:AF$3000&gt;=(AJ$3-90))*('Data - SSV'!AF$6:AF$3000&lt;=AJ$3)*('Data - SSV'!AH$6:AH$3000&lt;&gt;"")*IF('Data - SSV'!AH$6:AH$3000="",0,'Data - SSV'!AH$6:AH$3000))/AN45,3)&gt;=3,3,IF(IFERROR(SUMPRODUCT((ISNUMBER(SEARCH(B45,'Data - SSV'!AE$6:AE$3000)))*('Data - SSV'!AF$6:AF$3000&gt;=(AJ$3-90))*('Data - SSV'!AF$6:AF$3000&lt;=AJ$3)*('Data - SSV'!AH$6:AH$3000&lt;&gt;"")*IF('Data - SSV'!AH$6:AH$3000="",0,'Data - SSV'!AH$6:AH$3000))/AN45,3)&gt;=2,2,1)))))))</f>
        <v>3</v>
      </c>
    </row>
    <row r="46" spans="1:41" ht="19.5" customHeight="1" x14ac:dyDescent="0.15">
      <c r="A46" s="10" t="str">
        <f>'Field Teams'!A47</f>
        <v>FT-043</v>
      </c>
      <c r="B46" s="30" t="str">
        <f>'Field Teams'!B47</f>
        <v>Cliff Tree Services Ian</v>
      </c>
      <c r="C46" s="30" t="str">
        <f>'Field Teams'!C47</f>
        <v>Utility Arboriculture</v>
      </c>
      <c r="D46" s="10" t="str">
        <f>'Field Teams'!D47</f>
        <v>Donovan  Gosher</v>
      </c>
      <c r="E46" s="10" t="str">
        <f>'Field Teams'!E47</f>
        <v>Paul Shaw</v>
      </c>
      <c r="F46" s="10">
        <f>'Field Teams'!F47</f>
        <v>0</v>
      </c>
      <c r="G46" s="10">
        <f>'Field Teams'!G47</f>
        <v>0</v>
      </c>
      <c r="H46" s="31">
        <f>'Field Teams'!H47</f>
        <v>2</v>
      </c>
      <c r="I46" s="31">
        <f t="shared" si="5"/>
        <v>4</v>
      </c>
      <c r="J46" s="31">
        <f>IFERROR(SUMPRODUCT((((ISNUMBER(SEARCH(B46,'Data - HSQE Events'!V$6:V$3000))+ISNUMBER(SEARCH(B46,'Data - HSQE Events'!H$6:H$3000)))&gt;0))*('Data - HSQE Events'!F$6:F$3000&gt;=$AG$3)*('Data - HSQE Events'!F$6:F$3000&lt;=$AJ$3)*('Data - HSQE Events'!R$6:R$3000="Opportunity")),0)</f>
        <v>0</v>
      </c>
      <c r="K46" s="31">
        <f>IFERROR(SUMPRODUCT((((ISNUMBER(SEARCH(B46,'Data - HSQE Events'!V$6:V$3000))+ISNUMBER(SEARCH(B46,'Data - HSQE Events'!H$6:H$3000)))&gt;0))*('Data - HSQE Events'!F$6:F$3000&gt;=$AG$3)*('Data - HSQE Events'!F$6:F$3000&lt;=$AJ$3)*('Data - HSQE Events'!R$6:R$3000="Minor")),0)</f>
        <v>0</v>
      </c>
      <c r="L46" s="31">
        <f>IFERROR(SUMPRODUCT((((ISNUMBER(SEARCH(B46,'Data - HSQE Events'!V$6:V$3000))+ISNUMBER(SEARCH(B46,'Data - HSQE Events'!H$6:H$3000)))&gt;0))*('Data - HSQE Events'!F$6:F$3000&gt;=$AG$3)*('Data - HSQE Events'!F$6:F$3000&lt;=$AJ$3)*(('Data - HSQE Events'!R$6:R$3000="Moderate")+('Data - HSQE Events'!R$6:R$3000="Major"))),0)</f>
        <v>0</v>
      </c>
      <c r="M46" s="31" t="str">
        <f>IF(IFERROR(SUMPRODUCT((((ISNUMBER(SEARCH(B46,'Data - HSQE Events'!V$6:V$3000))+ISNUMBER(SEARCH(B46,'Data - HSQE Events'!H$6:H$3000)))&gt;0))*('Data - HSQE Events'!F$6:F$3000&gt;=$AG$3)*('Data - HSQE Events'!F$6:F$3000&lt;=$AJ$3)*('Data - HSQE Events'!R$6:R$3000="Major")),0)&gt;0,"YES","NO")</f>
        <v>NO</v>
      </c>
      <c r="N46" s="31">
        <f>IFERROR(SUMPRODUCT(('Data - Skillko'!B$6:B$3000=B46)*('Data - Skillko'!C$6:C$3000="Total")*('Data - Skillko'!E$6:E$3000))*100,0)</f>
        <v>50</v>
      </c>
      <c r="O46" s="31">
        <f t="shared" si="6"/>
        <v>3</v>
      </c>
      <c r="P46" s="31">
        <f>IFERROR(SUMPRODUCT(ISNUMBER(SEARCH(B46,'Pole Results'!$A$13:$A$2000))*('Pole Results'!$B$13:$B$2000&gt;=$AG$3)*('Pole Results'!$B$13:$B$2000&lt;=$AE$3)*('Pole Results'!$E$13:$E$2000="Non-Compliant")),0)</f>
        <v>0</v>
      </c>
      <c r="Q46" s="31">
        <f t="shared" si="7"/>
        <v>1</v>
      </c>
      <c r="R46" s="31">
        <f t="shared" si="8"/>
        <v>5</v>
      </c>
      <c r="S46" s="49">
        <f t="shared" si="9"/>
        <v>5</v>
      </c>
      <c r="T46" s="31">
        <f>IF('Field Teams'!$I$47="Inactive","",ROUND((Q46*Settings!$D$6+R46*Settings!$D$7+O46*Settings!$D$10+S46*Settings!$D$12+AO46*Settings!$D$13)/Settings!$D$14,1))</f>
        <v>2.8</v>
      </c>
      <c r="U46" s="115" t="str">
        <f>IF('Field Teams'!$I$47="Inactive","",IF(Q46="","",IF(Q46&gt;=4.5,"★★★★★",IF(Q46&gt;=3.5,"★★★★☆",IF(Q46&gt;=2.5,"★★★☆☆",IF(Q46&gt;=1.5,"★★☆☆☆","★☆☆☆☆"))))))</f>
        <v>★☆☆☆☆</v>
      </c>
      <c r="V46" s="115" t="str">
        <f>IF('Field Teams'!$I$47="Inactive","",IF(R46="","",IF(R46&gt;=4.5,"★★★★★",IF(R46&gt;=3.5,"★★★★☆",IF(R46&gt;=2.5,"★★★☆☆",IF(R46&gt;=1.5,"★★☆☆☆","★☆☆☆☆"))))))</f>
        <v>★★★★★</v>
      </c>
      <c r="W46" s="115" t="str">
        <f>IF('Field Teams'!$I$47="Inactive","",IF(O46="","",IF(O46&gt;=4.5,"★★★★★",IF(O46&gt;=3.5,"★★★★☆",IF(O46&gt;=2.5,"★★★☆☆",IF(O46&gt;=1.5,"★★☆☆☆","★☆☆☆☆"))))))</f>
        <v>★★★☆☆</v>
      </c>
      <c r="X46" s="115" t="str">
        <f>IF('Field Teams'!$I$47="Inactive","",IF(S46="","",IF(S46&gt;=4.5,"★★★★★",IF(S46&gt;=3.5,"★★★★☆",IF(S46&gt;=2.5,"★★★☆☆",IF(S46&gt;=1.5,"★★☆☆☆","★☆☆☆☆"))))))</f>
        <v>★★★★★</v>
      </c>
      <c r="Y46" s="115" t="str">
        <f>IF('Field Teams'!$I$47="Inactive","",IF(AO46="","",IF(AO46&gt;=4.5,"★★★★★",IF(AO46&gt;=3.5,"★★★★☆",IF(AO46&gt;=2.5,"★★★☆☆",IF(AO46&gt;=1.5,"★★☆☆☆","★☆☆☆☆"))))))</f>
        <v>★★★☆☆</v>
      </c>
      <c r="Z46" s="115" t="str">
        <f>IF('Field Teams'!$I$5="Inactive","",IF(T46="","",IF(T46&gt;=4.5,"★★★★★",IF(T46&gt;=3.5,"★★★★☆",IF(T46&gt;=2.5,"★★★☆☆",IF(T46&gt;=1.5,"★★☆☆☆","★☆☆☆☆"))))))</f>
        <v>★★★☆☆</v>
      </c>
      <c r="AA46" s="31" t="str">
        <f>IF('Field Teams'!$I$47="Inactive","",IF(M46="YES","HIGH",IF(Q46&lt;=Settings!$D$26,"HIGH",IF(T46&lt;=Settings!$D$23,"HIGH",IF(T46&lt;=Settings!$D$24,"MEDIUM","LOW")))))</f>
        <v>HIGH</v>
      </c>
      <c r="AB46" s="31">
        <f>IF('Field Teams'!$I$5="Inactive",-1,IFERROR((6-T46)+(77-ROW())*0.0001,0))</f>
        <v>3.2031000000000001</v>
      </c>
      <c r="AC46" s="35">
        <f>IF('Field Teams'!$I$5="Inactive",999,IFERROR((6-T46)+(ROW()-3)*0.0001,99))</f>
        <v>3.2043000000000004</v>
      </c>
      <c r="AD46" s="31">
        <f>IF('Field Teams'!$I$47="Inactive",999,IFERROR(AB46+(ROW()-3)*0.0001,99))</f>
        <v>3.2074000000000003</v>
      </c>
      <c r="AE46" s="29">
        <v>0</v>
      </c>
      <c r="AF46" s="31" t="str">
        <f>IF('Field Teams'!$I$47="Inactive","",IF(AA46="HIGH","YES - within 5 working days",""))</f>
        <v>YES - within 5 working days</v>
      </c>
      <c r="AG46" s="105"/>
      <c r="AH46" s="49">
        <f>IFERROR(SUMPRODUCT(ISNUMBER(SEARCH(B46,'Pole Results'!$A$13:$A$2000))*('Pole Results'!$B$13:$B$2000&gt;=$AG$3)*('Pole Results'!$B$13:$B$2000&lt;=$AE$3)),0)</f>
        <v>0</v>
      </c>
      <c r="AI46" s="49">
        <f>IFERROR(SUMPRODUCT(ISNUMBER(SEARCH(B46,'Pole Results'!$A$13:$A$2000))*('Pole Results'!$B$13:$B$2000&gt;=$AG$3)*('Pole Results'!$B$13:$B$2000&lt;=$AE$3)*('Pole Results'!$E$13:$E$2000="Compliant")),0)</f>
        <v>0</v>
      </c>
      <c r="AJ46" s="105"/>
      <c r="AK46" s="106">
        <f>IF('Field Teams'!$I$47="Inactive",-1,IF(AA46="HIGH",AB46,-1))</f>
        <v>3.2031000000000001</v>
      </c>
      <c r="AL46" s="106">
        <f>IF('Field Teams'!$I$47="Inactive",-1,IF(OR(AA46="HIGH",AA46="MEDIUM"),AB46,-1))</f>
        <v>3.2031000000000001</v>
      </c>
      <c r="AM46" t="str">
        <f>IF('Field Teams'!$I$47="Inactive","",IF(IFERROR(LOOKUP(2,1/('Historical Scores'!C47:N47&lt;&gt;""),'Historical Scores'!C47:N47),"")="","New",IF(T46=""," ",IF(T46&gt;IFERROR(LOOKUP(2,1/('Historical Scores'!C47:N47&lt;&gt;""),'Historical Scores'!C47:N47),""),"▲ Worsening",IF(T46&lt;IFERROR(LOOKUP(2,1/('Historical Scores'!C47:N47&lt;&gt;""),'Historical Scores'!C47:N47),""),"▼ Improving","► Stable")))))</f>
        <v>New</v>
      </c>
      <c r="AN46">
        <f>IFERROR(SUMPRODUCT((ISNUMBER(SEARCH(B46,'Data - SSV'!AE$6:AE$3000)))*('Data - SSV'!AF$6:AF$3000&gt;=(AJ$3-90))*('Data - SSV'!AF$6:AF$3000&lt;=AJ$3)*('Data - SSV'!AH$6:AH$3000&lt;&gt;"")),0)</f>
        <v>0</v>
      </c>
      <c r="AO46">
        <f>IF('Field Teams'!$I$47="Inactive","",IF(AN46=0,3,IF(AN46=1,IF(IFERROR(SUMPRODUCT((ISNUMBER(SEARCH(B46,'Data - SSV'!AE$6:AE$3000)))*('Data - SSV'!AF$6:AF$3000&gt;=(AJ$3-90))*('Data - SSV'!AF$6:AF$3000&lt;=AJ$3)*('Data - SSV'!AH$6:AH$3000&lt;&gt;"")*IF('Data - SSV'!AH$6:AH$3000="",0,'Data - SSV'!AH$6:AH$3000))/AN46,3)=4,4,IF(IFERROR(SUMPRODUCT((ISNUMBER(SEARCH(B46,'Data - SSV'!AE$6:AE$3000)))*('Data - SSV'!AF$6:AF$3000&gt;=(AJ$3-90))*('Data - SSV'!AF$6:AF$3000&lt;=AJ$3)*('Data - SSV'!AH$6:AH$3000&lt;&gt;"")*IF('Data - SSV'!AH$6:AH$3000="",0,'Data - SSV'!AH$6:AH$3000))/AN46,3)&gt;=3,3,IF(IFERROR(SUMPRODUCT((ISNUMBER(SEARCH(B46,'Data - SSV'!AE$6:AE$3000)))*('Data - SSV'!AF$6:AF$3000&gt;=(AJ$3-90))*('Data - SSV'!AF$6:AF$3000&lt;=AJ$3)*('Data - SSV'!AH$6:AH$3000&lt;&gt;"")*IF('Data - SSV'!AH$6:AH$3000="",0,'Data - SSV'!AH$6:AH$3000))/AN46,3)&gt;=2,2,1))),IF(IFERROR(SUMPRODUCT((ISNUMBER(SEARCH(B46,'Data - SSV'!AE$6:AE$3000)))*('Data - SSV'!AF$6:AF$3000&gt;=(AJ$3-90))*('Data - SSV'!AF$6:AF$3000&lt;=AJ$3)*('Data - SSV'!AH$6:AH$3000&lt;&gt;"")*IF('Data - SSV'!AH$6:AH$3000="",0,'Data - SSV'!AH$6:AH$3000))/AN46,3)=4,5,IF(IFERROR(SUMPRODUCT((ISNUMBER(SEARCH(B46,'Data - SSV'!AE$6:AE$3000)))*('Data - SSV'!AF$6:AF$3000&gt;=(AJ$3-90))*('Data - SSV'!AF$6:AF$3000&lt;=AJ$3)*('Data - SSV'!AH$6:AH$3000&lt;&gt;"")*IF('Data - SSV'!AH$6:AH$3000="",0,'Data - SSV'!AH$6:AH$3000))/AN46,3)&gt;=3.5,4,IF(IFERROR(SUMPRODUCT((ISNUMBER(SEARCH(B46,'Data - SSV'!AE$6:AE$3000)))*('Data - SSV'!AF$6:AF$3000&gt;=(AJ$3-90))*('Data - SSV'!AF$6:AF$3000&lt;=AJ$3)*('Data - SSV'!AH$6:AH$3000&lt;&gt;"")*IF('Data - SSV'!AH$6:AH$3000="",0,'Data - SSV'!AH$6:AH$3000))/AN46,3)&gt;=3,3,IF(IFERROR(SUMPRODUCT((ISNUMBER(SEARCH(B46,'Data - SSV'!AE$6:AE$3000)))*('Data - SSV'!AF$6:AF$3000&gt;=(AJ$3-90))*('Data - SSV'!AF$6:AF$3000&lt;=AJ$3)*('Data - SSV'!AH$6:AH$3000&lt;&gt;"")*IF('Data - SSV'!AH$6:AH$3000="",0,'Data - SSV'!AH$6:AH$3000))/AN46,3)&gt;=2,2,1)))))))</f>
        <v>3</v>
      </c>
    </row>
    <row r="47" spans="1:41" ht="19.5" customHeight="1" x14ac:dyDescent="0.15">
      <c r="A47" s="6" t="str">
        <f>'Field Teams'!A48</f>
        <v>FT-044</v>
      </c>
      <c r="B47" s="28" t="str">
        <f>'Field Teams'!B48</f>
        <v>Coxley Tree Care Ltd</v>
      </c>
      <c r="C47" s="28" t="str">
        <f>'Field Teams'!C48</f>
        <v>Utility Arboriculture</v>
      </c>
      <c r="D47" s="6" t="str">
        <f>'Field Teams'!D48</f>
        <v>Donovan  Gosher</v>
      </c>
      <c r="E47" s="6" t="str">
        <f>'Field Teams'!E48</f>
        <v>Paul Shaw</v>
      </c>
      <c r="F47" s="6">
        <f>'Field Teams'!F48</f>
        <v>0</v>
      </c>
      <c r="G47" s="6">
        <f>'Field Teams'!G48</f>
        <v>0</v>
      </c>
      <c r="H47" s="31">
        <f>'Field Teams'!H48</f>
        <v>8</v>
      </c>
      <c r="I47" s="31">
        <f t="shared" si="5"/>
        <v>16</v>
      </c>
      <c r="J47" s="31">
        <f>IFERROR(SUMPRODUCT((((ISNUMBER(SEARCH(B47,'Data - HSQE Events'!V$6:V$3000))+ISNUMBER(SEARCH(B47,'Data - HSQE Events'!H$6:H$3000)))&gt;0))*('Data - HSQE Events'!F$6:F$3000&gt;=$AG$3)*('Data - HSQE Events'!F$6:F$3000&lt;=$AJ$3)*('Data - HSQE Events'!R$6:R$3000="Opportunity")),0)</f>
        <v>0</v>
      </c>
      <c r="K47" s="31">
        <f>IFERROR(SUMPRODUCT((((ISNUMBER(SEARCH(B47,'Data - HSQE Events'!V$6:V$3000))+ISNUMBER(SEARCH(B47,'Data - HSQE Events'!H$6:H$3000)))&gt;0))*('Data - HSQE Events'!F$6:F$3000&gt;=$AG$3)*('Data - HSQE Events'!F$6:F$3000&lt;=$AJ$3)*('Data - HSQE Events'!R$6:R$3000="Minor")),0)</f>
        <v>0</v>
      </c>
      <c r="L47" s="31">
        <f>IFERROR(SUMPRODUCT((((ISNUMBER(SEARCH(B47,'Data - HSQE Events'!V$6:V$3000))+ISNUMBER(SEARCH(B47,'Data - HSQE Events'!H$6:H$3000)))&gt;0))*('Data - HSQE Events'!F$6:F$3000&gt;=$AG$3)*('Data - HSQE Events'!F$6:F$3000&lt;=$AJ$3)*(('Data - HSQE Events'!R$6:R$3000="Moderate")+('Data - HSQE Events'!R$6:R$3000="Major"))),0)</f>
        <v>0</v>
      </c>
      <c r="M47" s="31" t="str">
        <f>IF(IFERROR(SUMPRODUCT((((ISNUMBER(SEARCH(B47,'Data - HSQE Events'!V$6:V$3000))+ISNUMBER(SEARCH(B47,'Data - HSQE Events'!H$6:H$3000)))&gt;0))*('Data - HSQE Events'!F$6:F$3000&gt;=$AG$3)*('Data - HSQE Events'!F$6:F$3000&lt;=$AJ$3)*('Data - HSQE Events'!R$6:R$3000="Major")),0)&gt;0,"YES","NO")</f>
        <v>NO</v>
      </c>
      <c r="N47" s="31">
        <f>IFERROR(SUMPRODUCT(('Data - Skillko'!B$6:B$3000=B47)*('Data - Skillko'!C$6:C$3000="Total")*('Data - Skillko'!E$6:E$3000))*100,0)</f>
        <v>45</v>
      </c>
      <c r="O47" s="31">
        <f t="shared" si="6"/>
        <v>2.8</v>
      </c>
      <c r="P47" s="31">
        <f>IFERROR(SUMPRODUCT(ISNUMBER(SEARCH(B47,'Pole Results'!$A$13:$A$2000))*('Pole Results'!$B$13:$B$2000&gt;=$AG$3)*('Pole Results'!$B$13:$B$2000&lt;=$AE$3)*('Pole Results'!$E$13:$E$2000="Non-Compliant")),0)</f>
        <v>0</v>
      </c>
      <c r="Q47" s="31">
        <f t="shared" si="7"/>
        <v>1</v>
      </c>
      <c r="R47" s="31">
        <f t="shared" si="8"/>
        <v>5</v>
      </c>
      <c r="S47" s="49">
        <f t="shared" si="9"/>
        <v>5</v>
      </c>
      <c r="T47" s="31">
        <f>IF('Field Teams'!$I$48="Inactive","",ROUND((Q47*Settings!$D$6+R47*Settings!$D$7+O47*Settings!$D$10+S47*Settings!$D$12+AO47*Settings!$D$13)/Settings!$D$14,1))</f>
        <v>2.8</v>
      </c>
      <c r="U47" s="115" t="str">
        <f>IF('Field Teams'!$I$48="Inactive","",IF(Q47="","",IF(Q47&gt;=4.5,"★★★★★",IF(Q47&gt;=3.5,"★★★★☆",IF(Q47&gt;=2.5,"★★★☆☆",IF(Q47&gt;=1.5,"★★☆☆☆","★☆☆☆☆"))))))</f>
        <v>★☆☆☆☆</v>
      </c>
      <c r="V47" s="115" t="str">
        <f>IF('Field Teams'!$I$48="Inactive","",IF(R47="","",IF(R47&gt;=4.5,"★★★★★",IF(R47&gt;=3.5,"★★★★☆",IF(R47&gt;=2.5,"★★★☆☆",IF(R47&gt;=1.5,"★★☆☆☆","★☆☆☆☆"))))))</f>
        <v>★★★★★</v>
      </c>
      <c r="W47" s="115" t="str">
        <f>IF('Field Teams'!$I$48="Inactive","",IF(O47="","",IF(O47&gt;=4.5,"★★★★★",IF(O47&gt;=3.5,"★★★★☆",IF(O47&gt;=2.5,"★★★☆☆",IF(O47&gt;=1.5,"★★☆☆☆","★☆☆☆☆"))))))</f>
        <v>★★★☆☆</v>
      </c>
      <c r="X47" s="115" t="str">
        <f>IF('Field Teams'!$I$48="Inactive","",IF(S47="","",IF(S47&gt;=4.5,"★★★★★",IF(S47&gt;=3.5,"★★★★☆",IF(S47&gt;=2.5,"★★★☆☆",IF(S47&gt;=1.5,"★★☆☆☆","★☆☆☆☆"))))))</f>
        <v>★★★★★</v>
      </c>
      <c r="Y47" s="115" t="str">
        <f>IF('Field Teams'!$I$48="Inactive","",IF(AO47="","",IF(AO47&gt;=4.5,"★★★★★",IF(AO47&gt;=3.5,"★★★★☆",IF(AO47&gt;=2.5,"★★★☆☆",IF(AO47&gt;=1.5,"★★☆☆☆","★☆☆☆☆"))))))</f>
        <v>★★★☆☆</v>
      </c>
      <c r="Z47" s="115" t="str">
        <f>IF('Field Teams'!$I$5="Inactive","",IF(T47="","",IF(T47&gt;=4.5,"★★★★★",IF(T47&gt;=3.5,"★★★★☆",IF(T47&gt;=2.5,"★★★☆☆",IF(T47&gt;=1.5,"★★☆☆☆","★☆☆☆☆"))))))</f>
        <v>★★★☆☆</v>
      </c>
      <c r="AA47" s="31" t="str">
        <f>IF('Field Teams'!$I$48="Inactive","",IF(M47="YES","HIGH",IF(Q47&lt;=Settings!$D$26,"HIGH",IF(T47&lt;=Settings!$D$23,"HIGH",IF(T47&lt;=Settings!$D$24,"MEDIUM","LOW")))))</f>
        <v>HIGH</v>
      </c>
      <c r="AB47" s="31">
        <f>IF('Field Teams'!$I$5="Inactive",-1,IFERROR((6-T47)+(77-ROW())*0.0001,0))</f>
        <v>3.2030000000000003</v>
      </c>
      <c r="AC47" s="35">
        <f>IF('Field Teams'!$I$5="Inactive",999,IFERROR((6-T47)+(ROW()-3)*0.0001,99))</f>
        <v>3.2044000000000001</v>
      </c>
      <c r="AD47" s="31">
        <f>IF('Field Teams'!$I$48="Inactive",999,IFERROR(AB47+(ROW()-3)*0.0001,99))</f>
        <v>3.2074000000000003</v>
      </c>
      <c r="AE47" s="29">
        <v>0</v>
      </c>
      <c r="AF47" s="31" t="str">
        <f>IF('Field Teams'!$I$48="Inactive","",IF(AA47="HIGH","YES - within 5 working days",""))</f>
        <v>YES - within 5 working days</v>
      </c>
      <c r="AG47" s="105"/>
      <c r="AH47" s="49">
        <f>IFERROR(SUMPRODUCT(ISNUMBER(SEARCH(B47,'Pole Results'!$A$13:$A$2000))*('Pole Results'!$B$13:$B$2000&gt;=$AG$3)*('Pole Results'!$B$13:$B$2000&lt;=$AE$3)),0)</f>
        <v>0</v>
      </c>
      <c r="AI47" s="49">
        <f>IFERROR(SUMPRODUCT(ISNUMBER(SEARCH(B47,'Pole Results'!$A$13:$A$2000))*('Pole Results'!$B$13:$B$2000&gt;=$AG$3)*('Pole Results'!$B$13:$B$2000&lt;=$AE$3)*('Pole Results'!$E$13:$E$2000="Compliant")),0)</f>
        <v>0</v>
      </c>
      <c r="AJ47" s="105"/>
      <c r="AK47" s="106">
        <f>IF('Field Teams'!$I$48="Inactive",-1,IF(AA47="HIGH",AB47,-1))</f>
        <v>3.2030000000000003</v>
      </c>
      <c r="AL47" s="106">
        <f>IF('Field Teams'!$I$48="Inactive",-1,IF(OR(AA47="HIGH",AA47="MEDIUM"),AB47,-1))</f>
        <v>3.2030000000000003</v>
      </c>
      <c r="AM47" t="str">
        <f>IF('Field Teams'!$I$48="Inactive","",IF(IFERROR(LOOKUP(2,1/('Historical Scores'!C48:N48&lt;&gt;""),'Historical Scores'!C48:N48),"")="","New",IF(T47=""," ",IF(T47&gt;IFERROR(LOOKUP(2,1/('Historical Scores'!C48:N48&lt;&gt;""),'Historical Scores'!C48:N48),""),"▲ Worsening",IF(T47&lt;IFERROR(LOOKUP(2,1/('Historical Scores'!C48:N48&lt;&gt;""),'Historical Scores'!C48:N48),""),"▼ Improving","► Stable")))))</f>
        <v>New</v>
      </c>
      <c r="AN47">
        <f>IFERROR(SUMPRODUCT((ISNUMBER(SEARCH(B47,'Data - SSV'!AE$6:AE$3000)))*('Data - SSV'!AF$6:AF$3000&gt;=(AJ$3-90))*('Data - SSV'!AF$6:AF$3000&lt;=AJ$3)*('Data - SSV'!AH$6:AH$3000&lt;&gt;"")),0)</f>
        <v>0</v>
      </c>
      <c r="AO47">
        <f>IF('Field Teams'!$I$48="Inactive","",IF(AN47=0,3,IF(AN47=1,IF(IFERROR(SUMPRODUCT((ISNUMBER(SEARCH(B47,'Data - SSV'!AE$6:AE$3000)))*('Data - SSV'!AF$6:AF$3000&gt;=(AJ$3-90))*('Data - SSV'!AF$6:AF$3000&lt;=AJ$3)*('Data - SSV'!AH$6:AH$3000&lt;&gt;"")*IF('Data - SSV'!AH$6:AH$3000="",0,'Data - SSV'!AH$6:AH$3000))/AN47,3)=4,4,IF(IFERROR(SUMPRODUCT((ISNUMBER(SEARCH(B47,'Data - SSV'!AE$6:AE$3000)))*('Data - SSV'!AF$6:AF$3000&gt;=(AJ$3-90))*('Data - SSV'!AF$6:AF$3000&lt;=AJ$3)*('Data - SSV'!AH$6:AH$3000&lt;&gt;"")*IF('Data - SSV'!AH$6:AH$3000="",0,'Data - SSV'!AH$6:AH$3000))/AN47,3)&gt;=3,3,IF(IFERROR(SUMPRODUCT((ISNUMBER(SEARCH(B47,'Data - SSV'!AE$6:AE$3000)))*('Data - SSV'!AF$6:AF$3000&gt;=(AJ$3-90))*('Data - SSV'!AF$6:AF$3000&lt;=AJ$3)*('Data - SSV'!AH$6:AH$3000&lt;&gt;"")*IF('Data - SSV'!AH$6:AH$3000="",0,'Data - SSV'!AH$6:AH$3000))/AN47,3)&gt;=2,2,1))),IF(IFERROR(SUMPRODUCT((ISNUMBER(SEARCH(B47,'Data - SSV'!AE$6:AE$3000)))*('Data - SSV'!AF$6:AF$3000&gt;=(AJ$3-90))*('Data - SSV'!AF$6:AF$3000&lt;=AJ$3)*('Data - SSV'!AH$6:AH$3000&lt;&gt;"")*IF('Data - SSV'!AH$6:AH$3000="",0,'Data - SSV'!AH$6:AH$3000))/AN47,3)=4,5,IF(IFERROR(SUMPRODUCT((ISNUMBER(SEARCH(B47,'Data - SSV'!AE$6:AE$3000)))*('Data - SSV'!AF$6:AF$3000&gt;=(AJ$3-90))*('Data - SSV'!AF$6:AF$3000&lt;=AJ$3)*('Data - SSV'!AH$6:AH$3000&lt;&gt;"")*IF('Data - SSV'!AH$6:AH$3000="",0,'Data - SSV'!AH$6:AH$3000))/AN47,3)&gt;=3.5,4,IF(IFERROR(SUMPRODUCT((ISNUMBER(SEARCH(B47,'Data - SSV'!AE$6:AE$3000)))*('Data - SSV'!AF$6:AF$3000&gt;=(AJ$3-90))*('Data - SSV'!AF$6:AF$3000&lt;=AJ$3)*('Data - SSV'!AH$6:AH$3000&lt;&gt;"")*IF('Data - SSV'!AH$6:AH$3000="",0,'Data - SSV'!AH$6:AH$3000))/AN47,3)&gt;=3,3,IF(IFERROR(SUMPRODUCT((ISNUMBER(SEARCH(B47,'Data - SSV'!AE$6:AE$3000)))*('Data - SSV'!AF$6:AF$3000&gt;=(AJ$3-90))*('Data - SSV'!AF$6:AF$3000&lt;=AJ$3)*('Data - SSV'!AH$6:AH$3000&lt;&gt;"")*IF('Data - SSV'!AH$6:AH$3000="",0,'Data - SSV'!AH$6:AH$3000))/AN47,3)&gt;=2,2,1)))))))</f>
        <v>3</v>
      </c>
    </row>
    <row r="48" spans="1:41" ht="19.5" customHeight="1" x14ac:dyDescent="0.15">
      <c r="A48" s="10" t="str">
        <f>'Field Teams'!A49</f>
        <v>FT-045</v>
      </c>
      <c r="B48" s="30" t="str">
        <f>'Field Teams'!B49</f>
        <v>Crimson Kings (Midlands) Ltd</v>
      </c>
      <c r="C48" s="30" t="str">
        <f>'Field Teams'!C49</f>
        <v>Utility Arboriculture</v>
      </c>
      <c r="D48" s="10" t="str">
        <f>'Field Teams'!D49</f>
        <v>Donovan  Gosher</v>
      </c>
      <c r="E48" s="10" t="str">
        <f>'Field Teams'!E49</f>
        <v>Paul Shaw</v>
      </c>
      <c r="F48" s="10">
        <f>'Field Teams'!F49</f>
        <v>0</v>
      </c>
      <c r="G48" s="10">
        <f>'Field Teams'!G49</f>
        <v>0</v>
      </c>
      <c r="H48" s="31">
        <f>'Field Teams'!H49</f>
        <v>8</v>
      </c>
      <c r="I48" s="31">
        <f t="shared" si="5"/>
        <v>16</v>
      </c>
      <c r="J48" s="31">
        <f>IFERROR(SUMPRODUCT((((ISNUMBER(SEARCH(B48,'Data - HSQE Events'!V$6:V$3000))+ISNUMBER(SEARCH(B48,'Data - HSQE Events'!H$6:H$3000)))&gt;0))*('Data - HSQE Events'!F$6:F$3000&gt;=$AG$3)*('Data - HSQE Events'!F$6:F$3000&lt;=$AJ$3)*('Data - HSQE Events'!R$6:R$3000="Opportunity")),0)</f>
        <v>0</v>
      </c>
      <c r="K48" s="31">
        <f>IFERROR(SUMPRODUCT((((ISNUMBER(SEARCH(B48,'Data - HSQE Events'!V$6:V$3000))+ISNUMBER(SEARCH(B48,'Data - HSQE Events'!H$6:H$3000)))&gt;0))*('Data - HSQE Events'!F$6:F$3000&gt;=$AG$3)*('Data - HSQE Events'!F$6:F$3000&lt;=$AJ$3)*('Data - HSQE Events'!R$6:R$3000="Minor")),0)</f>
        <v>0</v>
      </c>
      <c r="L48" s="31">
        <f>IFERROR(SUMPRODUCT((((ISNUMBER(SEARCH(B48,'Data - HSQE Events'!V$6:V$3000))+ISNUMBER(SEARCH(B48,'Data - HSQE Events'!H$6:H$3000)))&gt;0))*('Data - HSQE Events'!F$6:F$3000&gt;=$AG$3)*('Data - HSQE Events'!F$6:F$3000&lt;=$AJ$3)*(('Data - HSQE Events'!R$6:R$3000="Moderate")+('Data - HSQE Events'!R$6:R$3000="Major"))),0)</f>
        <v>0</v>
      </c>
      <c r="M48" s="31" t="str">
        <f>IF(IFERROR(SUMPRODUCT((((ISNUMBER(SEARCH(B48,'Data - HSQE Events'!V$6:V$3000))+ISNUMBER(SEARCH(B48,'Data - HSQE Events'!H$6:H$3000)))&gt;0))*('Data - HSQE Events'!F$6:F$3000&gt;=$AG$3)*('Data - HSQE Events'!F$6:F$3000&lt;=$AJ$3)*('Data - HSQE Events'!R$6:R$3000="Major")),0)&gt;0,"YES","NO")</f>
        <v>NO</v>
      </c>
      <c r="N48" s="31">
        <f>IFERROR(SUMPRODUCT(('Data - Skillko'!B$6:B$3000=B48)*('Data - Skillko'!C$6:C$3000="Total")*('Data - Skillko'!E$6:E$3000))*100,0)</f>
        <v>57.999999999999993</v>
      </c>
      <c r="O48" s="31">
        <f t="shared" si="6"/>
        <v>3.3</v>
      </c>
      <c r="P48" s="31">
        <f>IFERROR(SUMPRODUCT(ISNUMBER(SEARCH(B48,'Pole Results'!$A$13:$A$2000))*('Pole Results'!$B$13:$B$2000&gt;=$AG$3)*('Pole Results'!$B$13:$B$2000&lt;=$AE$3)*('Pole Results'!$E$13:$E$2000="Non-Compliant")),0)</f>
        <v>0</v>
      </c>
      <c r="Q48" s="31">
        <f t="shared" si="7"/>
        <v>1</v>
      </c>
      <c r="R48" s="31">
        <f t="shared" si="8"/>
        <v>5</v>
      </c>
      <c r="S48" s="49">
        <f t="shared" si="9"/>
        <v>5</v>
      </c>
      <c r="T48" s="31">
        <f>IF('Field Teams'!$I$49="Inactive","",ROUND((Q48*Settings!$D$6+R48*Settings!$D$7+O48*Settings!$D$10+S48*Settings!$D$12+AO48*Settings!$D$13)/Settings!$D$14,1))</f>
        <v>2.8</v>
      </c>
      <c r="U48" s="115" t="str">
        <f>IF('Field Teams'!$I$49="Inactive","",IF(Q48="","",IF(Q48&gt;=4.5,"★★★★★",IF(Q48&gt;=3.5,"★★★★☆",IF(Q48&gt;=2.5,"★★★☆☆",IF(Q48&gt;=1.5,"★★☆☆☆","★☆☆☆☆"))))))</f>
        <v>★☆☆☆☆</v>
      </c>
      <c r="V48" s="115" t="str">
        <f>IF('Field Teams'!$I$49="Inactive","",IF(R48="","",IF(R48&gt;=4.5,"★★★★★",IF(R48&gt;=3.5,"★★★★☆",IF(R48&gt;=2.5,"★★★☆☆",IF(R48&gt;=1.5,"★★☆☆☆","★☆☆☆☆"))))))</f>
        <v>★★★★★</v>
      </c>
      <c r="W48" s="115" t="str">
        <f>IF('Field Teams'!$I$49="Inactive","",IF(O48="","",IF(O48&gt;=4.5,"★★★★★",IF(O48&gt;=3.5,"★★★★☆",IF(O48&gt;=2.5,"★★★☆☆",IF(O48&gt;=1.5,"★★☆☆☆","★☆☆☆☆"))))))</f>
        <v>★★★☆☆</v>
      </c>
      <c r="X48" s="115" t="str">
        <f>IF('Field Teams'!$I$49="Inactive","",IF(S48="","",IF(S48&gt;=4.5,"★★★★★",IF(S48&gt;=3.5,"★★★★☆",IF(S48&gt;=2.5,"★★★☆☆",IF(S48&gt;=1.5,"★★☆☆☆","★☆☆☆☆"))))))</f>
        <v>★★★★★</v>
      </c>
      <c r="Y48" s="115" t="str">
        <f>IF('Field Teams'!$I$49="Inactive","",IF(AO48="","",IF(AO48&gt;=4.5,"★★★★★",IF(AO48&gt;=3.5,"★★★★☆",IF(AO48&gt;=2.5,"★★★☆☆",IF(AO48&gt;=1.5,"★★☆☆☆","★☆☆☆☆"))))))</f>
        <v>★★★☆☆</v>
      </c>
      <c r="Z48" s="115" t="str">
        <f>IF('Field Teams'!$I$5="Inactive","",IF(T48="","",IF(T48&gt;=4.5,"★★★★★",IF(T48&gt;=3.5,"★★★★☆",IF(T48&gt;=2.5,"★★★☆☆",IF(T48&gt;=1.5,"★★☆☆☆","★☆☆☆☆"))))))</f>
        <v>★★★☆☆</v>
      </c>
      <c r="AA48" s="31" t="str">
        <f>IF('Field Teams'!$I$49="Inactive","",IF(M48="YES","HIGH",IF(Q48&lt;=Settings!$D$26,"HIGH",IF(T48&lt;=Settings!$D$23,"HIGH",IF(T48&lt;=Settings!$D$24,"MEDIUM","LOW")))))</f>
        <v>HIGH</v>
      </c>
      <c r="AB48" s="31">
        <f>IF('Field Teams'!$I$5="Inactive",-1,IFERROR((6-T48)+(77-ROW())*0.0001,0))</f>
        <v>3.2029000000000001</v>
      </c>
      <c r="AC48" s="35">
        <f>IF('Field Teams'!$I$5="Inactive",999,IFERROR((6-T48)+(ROW()-3)*0.0001,99))</f>
        <v>3.2045000000000003</v>
      </c>
      <c r="AD48" s="31">
        <f>IF('Field Teams'!$I$49="Inactive",999,IFERROR(AB48+(ROW()-3)*0.0001,99))</f>
        <v>3.2074000000000003</v>
      </c>
      <c r="AE48" s="29">
        <v>0</v>
      </c>
      <c r="AF48" s="31" t="str">
        <f>IF('Field Teams'!$I$49="Inactive","",IF(AA48="HIGH","YES - within 5 working days",""))</f>
        <v>YES - within 5 working days</v>
      </c>
      <c r="AG48" s="105"/>
      <c r="AH48" s="49">
        <f>IFERROR(SUMPRODUCT(ISNUMBER(SEARCH(B48,'Pole Results'!$A$13:$A$2000))*('Pole Results'!$B$13:$B$2000&gt;=$AG$3)*('Pole Results'!$B$13:$B$2000&lt;=$AE$3)),0)</f>
        <v>0</v>
      </c>
      <c r="AI48" s="49">
        <f>IFERROR(SUMPRODUCT(ISNUMBER(SEARCH(B48,'Pole Results'!$A$13:$A$2000))*('Pole Results'!$B$13:$B$2000&gt;=$AG$3)*('Pole Results'!$B$13:$B$2000&lt;=$AE$3)*('Pole Results'!$E$13:$E$2000="Compliant")),0)</f>
        <v>0</v>
      </c>
      <c r="AJ48" s="105"/>
      <c r="AK48" s="106">
        <f>IF('Field Teams'!$I$49="Inactive",-1,IF(AA48="HIGH",AB48,-1))</f>
        <v>3.2029000000000001</v>
      </c>
      <c r="AL48" s="106">
        <f>IF('Field Teams'!$I$49="Inactive",-1,IF(OR(AA48="HIGH",AA48="MEDIUM"),AB48,-1))</f>
        <v>3.2029000000000001</v>
      </c>
      <c r="AM48" t="str">
        <f>IF('Field Teams'!$I$49="Inactive","",IF(IFERROR(LOOKUP(2,1/('Historical Scores'!C49:N49&lt;&gt;""),'Historical Scores'!C49:N49),"")="","New",IF(T48=""," ",IF(T48&gt;IFERROR(LOOKUP(2,1/('Historical Scores'!C49:N49&lt;&gt;""),'Historical Scores'!C49:N49),""),"▲ Worsening",IF(T48&lt;IFERROR(LOOKUP(2,1/('Historical Scores'!C49:N49&lt;&gt;""),'Historical Scores'!C49:N49),""),"▼ Improving","► Stable")))))</f>
        <v>New</v>
      </c>
      <c r="AN48">
        <f>IFERROR(SUMPRODUCT((ISNUMBER(SEARCH(B48,'Data - SSV'!AE$6:AE$3000)))*('Data - SSV'!AF$6:AF$3000&gt;=(AJ$3-90))*('Data - SSV'!AF$6:AF$3000&lt;=AJ$3)*('Data - SSV'!AH$6:AH$3000&lt;&gt;"")),0)</f>
        <v>0</v>
      </c>
      <c r="AO48">
        <f>IF('Field Teams'!$I$49="Inactive","",IF(AN48=0,3,IF(AN48=1,IF(IFERROR(SUMPRODUCT((ISNUMBER(SEARCH(B48,'Data - SSV'!AE$6:AE$3000)))*('Data - SSV'!AF$6:AF$3000&gt;=(AJ$3-90))*('Data - SSV'!AF$6:AF$3000&lt;=AJ$3)*('Data - SSV'!AH$6:AH$3000&lt;&gt;"")*IF('Data - SSV'!AH$6:AH$3000="",0,'Data - SSV'!AH$6:AH$3000))/AN48,3)=4,4,IF(IFERROR(SUMPRODUCT((ISNUMBER(SEARCH(B48,'Data - SSV'!AE$6:AE$3000)))*('Data - SSV'!AF$6:AF$3000&gt;=(AJ$3-90))*('Data - SSV'!AF$6:AF$3000&lt;=AJ$3)*('Data - SSV'!AH$6:AH$3000&lt;&gt;"")*IF('Data - SSV'!AH$6:AH$3000="",0,'Data - SSV'!AH$6:AH$3000))/AN48,3)&gt;=3,3,IF(IFERROR(SUMPRODUCT((ISNUMBER(SEARCH(B48,'Data - SSV'!AE$6:AE$3000)))*('Data - SSV'!AF$6:AF$3000&gt;=(AJ$3-90))*('Data - SSV'!AF$6:AF$3000&lt;=AJ$3)*('Data - SSV'!AH$6:AH$3000&lt;&gt;"")*IF('Data - SSV'!AH$6:AH$3000="",0,'Data - SSV'!AH$6:AH$3000))/AN48,3)&gt;=2,2,1))),IF(IFERROR(SUMPRODUCT((ISNUMBER(SEARCH(B48,'Data - SSV'!AE$6:AE$3000)))*('Data - SSV'!AF$6:AF$3000&gt;=(AJ$3-90))*('Data - SSV'!AF$6:AF$3000&lt;=AJ$3)*('Data - SSV'!AH$6:AH$3000&lt;&gt;"")*IF('Data - SSV'!AH$6:AH$3000="",0,'Data - SSV'!AH$6:AH$3000))/AN48,3)=4,5,IF(IFERROR(SUMPRODUCT((ISNUMBER(SEARCH(B48,'Data - SSV'!AE$6:AE$3000)))*('Data - SSV'!AF$6:AF$3000&gt;=(AJ$3-90))*('Data - SSV'!AF$6:AF$3000&lt;=AJ$3)*('Data - SSV'!AH$6:AH$3000&lt;&gt;"")*IF('Data - SSV'!AH$6:AH$3000="",0,'Data - SSV'!AH$6:AH$3000))/AN48,3)&gt;=3.5,4,IF(IFERROR(SUMPRODUCT((ISNUMBER(SEARCH(B48,'Data - SSV'!AE$6:AE$3000)))*('Data - SSV'!AF$6:AF$3000&gt;=(AJ$3-90))*('Data - SSV'!AF$6:AF$3000&lt;=AJ$3)*('Data - SSV'!AH$6:AH$3000&lt;&gt;"")*IF('Data - SSV'!AH$6:AH$3000="",0,'Data - SSV'!AH$6:AH$3000))/AN48,3)&gt;=3,3,IF(IFERROR(SUMPRODUCT((ISNUMBER(SEARCH(B48,'Data - SSV'!AE$6:AE$3000)))*('Data - SSV'!AF$6:AF$3000&gt;=(AJ$3-90))*('Data - SSV'!AF$6:AF$3000&lt;=AJ$3)*('Data - SSV'!AH$6:AH$3000&lt;&gt;"")*IF('Data - SSV'!AH$6:AH$3000="",0,'Data - SSV'!AH$6:AH$3000))/AN48,3)&gt;=2,2,1)))))))</f>
        <v>3</v>
      </c>
    </row>
    <row r="49" spans="1:41" ht="19.5" customHeight="1" x14ac:dyDescent="0.15">
      <c r="A49" s="6" t="str">
        <f>'Field Teams'!A50</f>
        <v>FT-046</v>
      </c>
      <c r="B49" s="28" t="str">
        <f>'Field Teams'!B50</f>
        <v>Down To Earth Tree Management</v>
      </c>
      <c r="C49" s="28" t="str">
        <f>'Field Teams'!C50</f>
        <v>Utility Arboriculture</v>
      </c>
      <c r="D49" s="6" t="str">
        <f>'Field Teams'!D50</f>
        <v>Donovan  Gosher</v>
      </c>
      <c r="E49" s="6" t="str">
        <f>'Field Teams'!E50</f>
        <v>Paul Shaw</v>
      </c>
      <c r="F49" s="6">
        <f>'Field Teams'!F50</f>
        <v>0</v>
      </c>
      <c r="G49" s="6">
        <f>'Field Teams'!G50</f>
        <v>0</v>
      </c>
      <c r="H49" s="31">
        <f>'Field Teams'!H50</f>
        <v>4</v>
      </c>
      <c r="I49" s="31">
        <f t="shared" si="5"/>
        <v>8</v>
      </c>
      <c r="J49" s="31">
        <f>IFERROR(SUMPRODUCT((((ISNUMBER(SEARCH(B49,'Data - HSQE Events'!V$6:V$3000))+ISNUMBER(SEARCH(B49,'Data - HSQE Events'!H$6:H$3000)))&gt;0))*('Data - HSQE Events'!F$6:F$3000&gt;=$AG$3)*('Data - HSQE Events'!F$6:F$3000&lt;=$AJ$3)*('Data - HSQE Events'!R$6:R$3000="Opportunity")),0)</f>
        <v>0</v>
      </c>
      <c r="K49" s="31">
        <f>IFERROR(SUMPRODUCT((((ISNUMBER(SEARCH(B49,'Data - HSQE Events'!V$6:V$3000))+ISNUMBER(SEARCH(B49,'Data - HSQE Events'!H$6:H$3000)))&gt;0))*('Data - HSQE Events'!F$6:F$3000&gt;=$AG$3)*('Data - HSQE Events'!F$6:F$3000&lt;=$AJ$3)*('Data - HSQE Events'!R$6:R$3000="Minor")),0)</f>
        <v>0</v>
      </c>
      <c r="L49" s="31">
        <f>IFERROR(SUMPRODUCT((((ISNUMBER(SEARCH(B49,'Data - HSQE Events'!V$6:V$3000))+ISNUMBER(SEARCH(B49,'Data - HSQE Events'!H$6:H$3000)))&gt;0))*('Data - HSQE Events'!F$6:F$3000&gt;=$AG$3)*('Data - HSQE Events'!F$6:F$3000&lt;=$AJ$3)*(('Data - HSQE Events'!R$6:R$3000="Moderate")+('Data - HSQE Events'!R$6:R$3000="Major"))),0)</f>
        <v>0</v>
      </c>
      <c r="M49" s="31" t="str">
        <f>IF(IFERROR(SUMPRODUCT((((ISNUMBER(SEARCH(B49,'Data - HSQE Events'!V$6:V$3000))+ISNUMBER(SEARCH(B49,'Data - HSQE Events'!H$6:H$3000)))&gt;0))*('Data - HSQE Events'!F$6:F$3000&gt;=$AG$3)*('Data - HSQE Events'!F$6:F$3000&lt;=$AJ$3)*('Data - HSQE Events'!R$6:R$3000="Major")),0)&gt;0,"YES","NO")</f>
        <v>NO</v>
      </c>
      <c r="N49" s="31">
        <f>IFERROR(SUMPRODUCT(('Data - Skillko'!B$6:B$3000=B49)*('Data - Skillko'!C$6:C$3000="Total")*('Data - Skillko'!E$6:E$3000))*100,0)</f>
        <v>62</v>
      </c>
      <c r="O49" s="31">
        <f t="shared" si="6"/>
        <v>3.5</v>
      </c>
      <c r="P49" s="31">
        <f>IFERROR(SUMPRODUCT(ISNUMBER(SEARCH(B49,'Pole Results'!$A$13:$A$2000))*('Pole Results'!$B$13:$B$2000&gt;=$AG$3)*('Pole Results'!$B$13:$B$2000&lt;=$AE$3)*('Pole Results'!$E$13:$E$2000="Non-Compliant")),0)</f>
        <v>0</v>
      </c>
      <c r="Q49" s="31">
        <f t="shared" si="7"/>
        <v>1</v>
      </c>
      <c r="R49" s="31">
        <f t="shared" si="8"/>
        <v>5</v>
      </c>
      <c r="S49" s="49">
        <f t="shared" si="9"/>
        <v>5</v>
      </c>
      <c r="T49" s="31">
        <f>IF('Field Teams'!$I$50="Inactive","",ROUND((Q49*Settings!$D$6+R49*Settings!$D$7+O49*Settings!$D$10+S49*Settings!$D$12+AO49*Settings!$D$13)/Settings!$D$14,1))</f>
        <v>2.9</v>
      </c>
      <c r="U49" s="115" t="str">
        <f>IF('Field Teams'!$I$50="Inactive","",IF(Q49="","",IF(Q49&gt;=4.5,"★★★★★",IF(Q49&gt;=3.5,"★★★★☆",IF(Q49&gt;=2.5,"★★★☆☆",IF(Q49&gt;=1.5,"★★☆☆☆","★☆☆☆☆"))))))</f>
        <v>★☆☆☆☆</v>
      </c>
      <c r="V49" s="115" t="str">
        <f>IF('Field Teams'!$I$50="Inactive","",IF(R49="","",IF(R49&gt;=4.5,"★★★★★",IF(R49&gt;=3.5,"★★★★☆",IF(R49&gt;=2.5,"★★★☆☆",IF(R49&gt;=1.5,"★★☆☆☆","★☆☆☆☆"))))))</f>
        <v>★★★★★</v>
      </c>
      <c r="W49" s="115" t="str">
        <f>IF('Field Teams'!$I$50="Inactive","",IF(O49="","",IF(O49&gt;=4.5,"★★★★★",IF(O49&gt;=3.5,"★★★★☆",IF(O49&gt;=2.5,"★★★☆☆",IF(O49&gt;=1.5,"★★☆☆☆","★☆☆☆☆"))))))</f>
        <v>★★★★☆</v>
      </c>
      <c r="X49" s="115" t="str">
        <f>IF('Field Teams'!$I$50="Inactive","",IF(S49="","",IF(S49&gt;=4.5,"★★★★★",IF(S49&gt;=3.5,"★★★★☆",IF(S49&gt;=2.5,"★★★☆☆",IF(S49&gt;=1.5,"★★☆☆☆","★☆☆☆☆"))))))</f>
        <v>★★★★★</v>
      </c>
      <c r="Y49" s="115" t="str">
        <f>IF('Field Teams'!$I$50="Inactive","",IF(AO49="","",IF(AO49&gt;=4.5,"★★★★★",IF(AO49&gt;=3.5,"★★★★☆",IF(AO49&gt;=2.5,"★★★☆☆",IF(AO49&gt;=1.5,"★★☆☆☆","★☆☆☆☆"))))))</f>
        <v>★★★☆☆</v>
      </c>
      <c r="Z49" s="115" t="str">
        <f>IF('Field Teams'!$I$5="Inactive","",IF(T49="","",IF(T49&gt;=4.5,"★★★★★",IF(T49&gt;=3.5,"★★★★☆",IF(T49&gt;=2.5,"★★★☆☆",IF(T49&gt;=1.5,"★★☆☆☆","★☆☆☆☆"))))))</f>
        <v>★★★☆☆</v>
      </c>
      <c r="AA49" s="31" t="str">
        <f>IF('Field Teams'!$I$50="Inactive","",IF(M49="YES","HIGH",IF(Q49&lt;=Settings!$D$26,"HIGH",IF(T49&lt;=Settings!$D$23,"HIGH",IF(T49&lt;=Settings!$D$24,"MEDIUM","LOW")))))</f>
        <v>HIGH</v>
      </c>
      <c r="AB49" s="31">
        <f>IF('Field Teams'!$I$5="Inactive",-1,IFERROR((6-T49)+(77-ROW())*0.0001,0))</f>
        <v>3.1028000000000002</v>
      </c>
      <c r="AC49" s="35">
        <f>IF('Field Teams'!$I$5="Inactive",999,IFERROR((6-T49)+(ROW()-3)*0.0001,99))</f>
        <v>3.1046</v>
      </c>
      <c r="AD49" s="31">
        <f>IF('Field Teams'!$I$50="Inactive",999,IFERROR(AB49+(ROW()-3)*0.0001,99))</f>
        <v>3.1074000000000002</v>
      </c>
      <c r="AE49" s="29">
        <v>0</v>
      </c>
      <c r="AF49" s="31" t="str">
        <f>IF('Field Teams'!$I$50="Inactive","",IF(AA49="HIGH","YES - within 5 working days",""))</f>
        <v>YES - within 5 working days</v>
      </c>
      <c r="AG49" s="105"/>
      <c r="AH49" s="49">
        <f>IFERROR(SUMPRODUCT(ISNUMBER(SEARCH(B49,'Pole Results'!$A$13:$A$2000))*('Pole Results'!$B$13:$B$2000&gt;=$AG$3)*('Pole Results'!$B$13:$B$2000&lt;=$AE$3)),0)</f>
        <v>0</v>
      </c>
      <c r="AI49" s="49">
        <f>IFERROR(SUMPRODUCT(ISNUMBER(SEARCH(B49,'Pole Results'!$A$13:$A$2000))*('Pole Results'!$B$13:$B$2000&gt;=$AG$3)*('Pole Results'!$B$13:$B$2000&lt;=$AE$3)*('Pole Results'!$E$13:$E$2000="Compliant")),0)</f>
        <v>0</v>
      </c>
      <c r="AJ49" s="105"/>
      <c r="AK49" s="106">
        <f>IF('Field Teams'!$I$50="Inactive",-1,IF(AA49="HIGH",AB49,-1))</f>
        <v>3.1028000000000002</v>
      </c>
      <c r="AL49" s="106">
        <f>IF('Field Teams'!$I$50="Inactive",-1,IF(OR(AA49="HIGH",AA49="MEDIUM"),AB49,-1))</f>
        <v>3.1028000000000002</v>
      </c>
      <c r="AM49" t="str">
        <f>IF('Field Teams'!$I$50="Inactive","",IF(IFERROR(LOOKUP(2,1/('Historical Scores'!C50:N50&lt;&gt;""),'Historical Scores'!C50:N50),"")="","New",IF(T49=""," ",IF(T49&gt;IFERROR(LOOKUP(2,1/('Historical Scores'!C50:N50&lt;&gt;""),'Historical Scores'!C50:N50),""),"▲ Worsening",IF(T49&lt;IFERROR(LOOKUP(2,1/('Historical Scores'!C50:N50&lt;&gt;""),'Historical Scores'!C50:N50),""),"▼ Improving","► Stable")))))</f>
        <v>New</v>
      </c>
      <c r="AN49">
        <f>IFERROR(SUMPRODUCT((ISNUMBER(SEARCH(B49,'Data - SSV'!AE$6:AE$3000)))*('Data - SSV'!AF$6:AF$3000&gt;=(AJ$3-90))*('Data - SSV'!AF$6:AF$3000&lt;=AJ$3)*('Data - SSV'!AH$6:AH$3000&lt;&gt;"")),0)</f>
        <v>0</v>
      </c>
      <c r="AO49">
        <f>IF('Field Teams'!$I$50="Inactive","",IF(AN49=0,3,IF(AN49=1,IF(IFERROR(SUMPRODUCT((ISNUMBER(SEARCH(B49,'Data - SSV'!AE$6:AE$3000)))*('Data - SSV'!AF$6:AF$3000&gt;=(AJ$3-90))*('Data - SSV'!AF$6:AF$3000&lt;=AJ$3)*('Data - SSV'!AH$6:AH$3000&lt;&gt;"")*IF('Data - SSV'!AH$6:AH$3000="",0,'Data - SSV'!AH$6:AH$3000))/AN49,3)=4,4,IF(IFERROR(SUMPRODUCT((ISNUMBER(SEARCH(B49,'Data - SSV'!AE$6:AE$3000)))*('Data - SSV'!AF$6:AF$3000&gt;=(AJ$3-90))*('Data - SSV'!AF$6:AF$3000&lt;=AJ$3)*('Data - SSV'!AH$6:AH$3000&lt;&gt;"")*IF('Data - SSV'!AH$6:AH$3000="",0,'Data - SSV'!AH$6:AH$3000))/AN49,3)&gt;=3,3,IF(IFERROR(SUMPRODUCT((ISNUMBER(SEARCH(B49,'Data - SSV'!AE$6:AE$3000)))*('Data - SSV'!AF$6:AF$3000&gt;=(AJ$3-90))*('Data - SSV'!AF$6:AF$3000&lt;=AJ$3)*('Data - SSV'!AH$6:AH$3000&lt;&gt;"")*IF('Data - SSV'!AH$6:AH$3000="",0,'Data - SSV'!AH$6:AH$3000))/AN49,3)&gt;=2,2,1))),IF(IFERROR(SUMPRODUCT((ISNUMBER(SEARCH(B49,'Data - SSV'!AE$6:AE$3000)))*('Data - SSV'!AF$6:AF$3000&gt;=(AJ$3-90))*('Data - SSV'!AF$6:AF$3000&lt;=AJ$3)*('Data - SSV'!AH$6:AH$3000&lt;&gt;"")*IF('Data - SSV'!AH$6:AH$3000="",0,'Data - SSV'!AH$6:AH$3000))/AN49,3)=4,5,IF(IFERROR(SUMPRODUCT((ISNUMBER(SEARCH(B49,'Data - SSV'!AE$6:AE$3000)))*('Data - SSV'!AF$6:AF$3000&gt;=(AJ$3-90))*('Data - SSV'!AF$6:AF$3000&lt;=AJ$3)*('Data - SSV'!AH$6:AH$3000&lt;&gt;"")*IF('Data - SSV'!AH$6:AH$3000="",0,'Data - SSV'!AH$6:AH$3000))/AN49,3)&gt;=3.5,4,IF(IFERROR(SUMPRODUCT((ISNUMBER(SEARCH(B49,'Data - SSV'!AE$6:AE$3000)))*('Data - SSV'!AF$6:AF$3000&gt;=(AJ$3-90))*('Data - SSV'!AF$6:AF$3000&lt;=AJ$3)*('Data - SSV'!AH$6:AH$3000&lt;&gt;"")*IF('Data - SSV'!AH$6:AH$3000="",0,'Data - SSV'!AH$6:AH$3000))/AN49,3)&gt;=3,3,IF(IFERROR(SUMPRODUCT((ISNUMBER(SEARCH(B49,'Data - SSV'!AE$6:AE$3000)))*('Data - SSV'!AF$6:AF$3000&gt;=(AJ$3-90))*('Data - SSV'!AF$6:AF$3000&lt;=AJ$3)*('Data - SSV'!AH$6:AH$3000&lt;&gt;"")*IF('Data - SSV'!AH$6:AH$3000="",0,'Data - SSV'!AH$6:AH$3000))/AN49,3)&gt;=2,2,1)))))))</f>
        <v>3</v>
      </c>
    </row>
    <row r="50" spans="1:41" ht="19.5" customHeight="1" x14ac:dyDescent="0.15">
      <c r="A50" s="10" t="str">
        <f>'Field Teams'!A51</f>
        <v>FT-047</v>
      </c>
      <c r="B50" s="30" t="str">
        <f>'Field Teams'!B51</f>
        <v>EWS Tree Services Ltd</v>
      </c>
      <c r="C50" s="30" t="str">
        <f>'Field Teams'!C51</f>
        <v>Utility Arboriculture</v>
      </c>
      <c r="D50" s="10" t="str">
        <f>'Field Teams'!D51</f>
        <v>Donovan  Gosher</v>
      </c>
      <c r="E50" s="10" t="str">
        <f>'Field Teams'!E51</f>
        <v>Paul Shaw</v>
      </c>
      <c r="F50" s="10">
        <f>'Field Teams'!F51</f>
        <v>0</v>
      </c>
      <c r="G50" s="10">
        <f>'Field Teams'!G51</f>
        <v>0</v>
      </c>
      <c r="H50" s="31">
        <f>'Field Teams'!H51</f>
        <v>2</v>
      </c>
      <c r="I50" s="31">
        <f t="shared" si="5"/>
        <v>4</v>
      </c>
      <c r="J50" s="31">
        <f>IFERROR(SUMPRODUCT((((ISNUMBER(SEARCH(B50,'Data - HSQE Events'!V$6:V$3000))+ISNUMBER(SEARCH(B50,'Data - HSQE Events'!H$6:H$3000)))&gt;0))*('Data - HSQE Events'!F$6:F$3000&gt;=$AG$3)*('Data - HSQE Events'!F$6:F$3000&lt;=$AJ$3)*('Data - HSQE Events'!R$6:R$3000="Opportunity")),0)</f>
        <v>0</v>
      </c>
      <c r="K50" s="31">
        <f>IFERROR(SUMPRODUCT((((ISNUMBER(SEARCH(B50,'Data - HSQE Events'!V$6:V$3000))+ISNUMBER(SEARCH(B50,'Data - HSQE Events'!H$6:H$3000)))&gt;0))*('Data - HSQE Events'!F$6:F$3000&gt;=$AG$3)*('Data - HSQE Events'!F$6:F$3000&lt;=$AJ$3)*('Data - HSQE Events'!R$6:R$3000="Minor")),0)</f>
        <v>0</v>
      </c>
      <c r="L50" s="31">
        <f>IFERROR(SUMPRODUCT((((ISNUMBER(SEARCH(B50,'Data - HSQE Events'!V$6:V$3000))+ISNUMBER(SEARCH(B50,'Data - HSQE Events'!H$6:H$3000)))&gt;0))*('Data - HSQE Events'!F$6:F$3000&gt;=$AG$3)*('Data - HSQE Events'!F$6:F$3000&lt;=$AJ$3)*(('Data - HSQE Events'!R$6:R$3000="Moderate")+('Data - HSQE Events'!R$6:R$3000="Major"))),0)</f>
        <v>0</v>
      </c>
      <c r="M50" s="31" t="str">
        <f>IF(IFERROR(SUMPRODUCT((((ISNUMBER(SEARCH(B50,'Data - HSQE Events'!V$6:V$3000))+ISNUMBER(SEARCH(B50,'Data - HSQE Events'!H$6:H$3000)))&gt;0))*('Data - HSQE Events'!F$6:F$3000&gt;=$AG$3)*('Data - HSQE Events'!F$6:F$3000&lt;=$AJ$3)*('Data - HSQE Events'!R$6:R$3000="Major")),0)&gt;0,"YES","NO")</f>
        <v>NO</v>
      </c>
      <c r="N50" s="31">
        <f>IFERROR(SUMPRODUCT(('Data - Skillko'!B$6:B$3000=B50)*('Data - Skillko'!C$6:C$3000="Total")*('Data - Skillko'!E$6:E$3000))*100,0)</f>
        <v>71</v>
      </c>
      <c r="O50" s="31">
        <f t="shared" si="6"/>
        <v>3.8</v>
      </c>
      <c r="P50" s="31">
        <f>IFERROR(SUMPRODUCT(ISNUMBER(SEARCH(B50,'Pole Results'!$A$13:$A$2000))*('Pole Results'!$B$13:$B$2000&gt;=$AG$3)*('Pole Results'!$B$13:$B$2000&lt;=$AE$3)*('Pole Results'!$E$13:$E$2000="Non-Compliant")),0)</f>
        <v>0</v>
      </c>
      <c r="Q50" s="31">
        <f t="shared" si="7"/>
        <v>1</v>
      </c>
      <c r="R50" s="31">
        <f t="shared" si="8"/>
        <v>5</v>
      </c>
      <c r="S50" s="49">
        <f t="shared" si="9"/>
        <v>5</v>
      </c>
      <c r="T50" s="31">
        <f>IF('Field Teams'!$I$51="Inactive","",ROUND((Q50*Settings!$D$6+R50*Settings!$D$7+O50*Settings!$D$10+S50*Settings!$D$12+AO50*Settings!$D$13)/Settings!$D$14,1))</f>
        <v>2.9</v>
      </c>
      <c r="U50" s="115" t="str">
        <f>IF('Field Teams'!$I$51="Inactive","",IF(Q50="","",IF(Q50&gt;=4.5,"★★★★★",IF(Q50&gt;=3.5,"★★★★☆",IF(Q50&gt;=2.5,"★★★☆☆",IF(Q50&gt;=1.5,"★★☆☆☆","★☆☆☆☆"))))))</f>
        <v>★☆☆☆☆</v>
      </c>
      <c r="V50" s="115" t="str">
        <f>IF('Field Teams'!$I$51="Inactive","",IF(R50="","",IF(R50&gt;=4.5,"★★★★★",IF(R50&gt;=3.5,"★★★★☆",IF(R50&gt;=2.5,"★★★☆☆",IF(R50&gt;=1.5,"★★☆☆☆","★☆☆☆☆"))))))</f>
        <v>★★★★★</v>
      </c>
      <c r="W50" s="115" t="str">
        <f>IF('Field Teams'!$I$51="Inactive","",IF(O50="","",IF(O50&gt;=4.5,"★★★★★",IF(O50&gt;=3.5,"★★★★☆",IF(O50&gt;=2.5,"★★★☆☆",IF(O50&gt;=1.5,"★★☆☆☆","★☆☆☆☆"))))))</f>
        <v>★★★★☆</v>
      </c>
      <c r="X50" s="115" t="str">
        <f>IF('Field Teams'!$I$51="Inactive","",IF(S50="","",IF(S50&gt;=4.5,"★★★★★",IF(S50&gt;=3.5,"★★★★☆",IF(S50&gt;=2.5,"★★★☆☆",IF(S50&gt;=1.5,"★★☆☆☆","★☆☆☆☆"))))))</f>
        <v>★★★★★</v>
      </c>
      <c r="Y50" s="115" t="str">
        <f>IF('Field Teams'!$I$51="Inactive","",IF(AO50="","",IF(AO50&gt;=4.5,"★★★★★",IF(AO50&gt;=3.5,"★★★★☆",IF(AO50&gt;=2.5,"★★★☆☆",IF(AO50&gt;=1.5,"★★☆☆☆","★☆☆☆☆"))))))</f>
        <v>★★★☆☆</v>
      </c>
      <c r="Z50" s="115" t="str">
        <f>IF('Field Teams'!$I$5="Inactive","",IF(T50="","",IF(T50&gt;=4.5,"★★★★★",IF(T50&gt;=3.5,"★★★★☆",IF(T50&gt;=2.5,"★★★☆☆",IF(T50&gt;=1.5,"★★☆☆☆","★☆☆☆☆"))))))</f>
        <v>★★★☆☆</v>
      </c>
      <c r="AA50" s="31" t="str">
        <f>IF('Field Teams'!$I$51="Inactive","",IF(M50="YES","HIGH",IF(Q50&lt;=Settings!$D$26,"HIGH",IF(T50&lt;=Settings!$D$23,"HIGH",IF(T50&lt;=Settings!$D$24,"MEDIUM","LOW")))))</f>
        <v>HIGH</v>
      </c>
      <c r="AB50" s="31">
        <f>IF('Field Teams'!$I$5="Inactive",-1,IFERROR((6-T50)+(77-ROW())*0.0001,0))</f>
        <v>3.1027</v>
      </c>
      <c r="AC50" s="35">
        <f>IF('Field Teams'!$I$5="Inactive",999,IFERROR((6-T50)+(ROW()-3)*0.0001,99))</f>
        <v>3.1047000000000002</v>
      </c>
      <c r="AD50" s="31">
        <f>IF('Field Teams'!$I$51="Inactive",999,IFERROR(AB50+(ROW()-3)*0.0001,99))</f>
        <v>3.1074000000000002</v>
      </c>
      <c r="AE50" s="29">
        <v>0</v>
      </c>
      <c r="AF50" s="31" t="str">
        <f>IF('Field Teams'!$I$51="Inactive","",IF(AA50="HIGH","YES - within 5 working days",""))</f>
        <v>YES - within 5 working days</v>
      </c>
      <c r="AG50" s="105"/>
      <c r="AH50" s="49">
        <f>IFERROR(SUMPRODUCT(ISNUMBER(SEARCH(B50,'Pole Results'!$A$13:$A$2000))*('Pole Results'!$B$13:$B$2000&gt;=$AG$3)*('Pole Results'!$B$13:$B$2000&lt;=$AE$3)),0)</f>
        <v>0</v>
      </c>
      <c r="AI50" s="49">
        <f>IFERROR(SUMPRODUCT(ISNUMBER(SEARCH(B50,'Pole Results'!$A$13:$A$2000))*('Pole Results'!$B$13:$B$2000&gt;=$AG$3)*('Pole Results'!$B$13:$B$2000&lt;=$AE$3)*('Pole Results'!$E$13:$E$2000="Compliant")),0)</f>
        <v>0</v>
      </c>
      <c r="AJ50" s="105"/>
      <c r="AK50" s="106">
        <f>IF('Field Teams'!$I$51="Inactive",-1,IF(AA50="HIGH",AB50,-1))</f>
        <v>3.1027</v>
      </c>
      <c r="AL50" s="106">
        <f>IF('Field Teams'!$I$51="Inactive",-1,IF(OR(AA50="HIGH",AA50="MEDIUM"),AB50,-1))</f>
        <v>3.1027</v>
      </c>
      <c r="AM50" t="str">
        <f>IF('Field Teams'!$I$51="Inactive","",IF(IFERROR(LOOKUP(2,1/('Historical Scores'!C51:N51&lt;&gt;""),'Historical Scores'!C51:N51),"")="","New",IF(T50=""," ",IF(T50&gt;IFERROR(LOOKUP(2,1/('Historical Scores'!C51:N51&lt;&gt;""),'Historical Scores'!C51:N51),""),"▲ Worsening",IF(T50&lt;IFERROR(LOOKUP(2,1/('Historical Scores'!C51:N51&lt;&gt;""),'Historical Scores'!C51:N51),""),"▼ Improving","► Stable")))))</f>
        <v>New</v>
      </c>
      <c r="AN50">
        <f>IFERROR(SUMPRODUCT((ISNUMBER(SEARCH(B50,'Data - SSV'!AE$6:AE$3000)))*('Data - SSV'!AF$6:AF$3000&gt;=(AJ$3-90))*('Data - SSV'!AF$6:AF$3000&lt;=AJ$3)*('Data - SSV'!AH$6:AH$3000&lt;&gt;"")),0)</f>
        <v>0</v>
      </c>
      <c r="AO50">
        <f>IF('Field Teams'!$I$51="Inactive","",IF(AN50=0,3,IF(AN50=1,IF(IFERROR(SUMPRODUCT((ISNUMBER(SEARCH(B50,'Data - SSV'!AE$6:AE$3000)))*('Data - SSV'!AF$6:AF$3000&gt;=(AJ$3-90))*('Data - SSV'!AF$6:AF$3000&lt;=AJ$3)*('Data - SSV'!AH$6:AH$3000&lt;&gt;"")*IF('Data - SSV'!AH$6:AH$3000="",0,'Data - SSV'!AH$6:AH$3000))/AN50,3)=4,4,IF(IFERROR(SUMPRODUCT((ISNUMBER(SEARCH(B50,'Data - SSV'!AE$6:AE$3000)))*('Data - SSV'!AF$6:AF$3000&gt;=(AJ$3-90))*('Data - SSV'!AF$6:AF$3000&lt;=AJ$3)*('Data - SSV'!AH$6:AH$3000&lt;&gt;"")*IF('Data - SSV'!AH$6:AH$3000="",0,'Data - SSV'!AH$6:AH$3000))/AN50,3)&gt;=3,3,IF(IFERROR(SUMPRODUCT((ISNUMBER(SEARCH(B50,'Data - SSV'!AE$6:AE$3000)))*('Data - SSV'!AF$6:AF$3000&gt;=(AJ$3-90))*('Data - SSV'!AF$6:AF$3000&lt;=AJ$3)*('Data - SSV'!AH$6:AH$3000&lt;&gt;"")*IF('Data - SSV'!AH$6:AH$3000="",0,'Data - SSV'!AH$6:AH$3000))/AN50,3)&gt;=2,2,1))),IF(IFERROR(SUMPRODUCT((ISNUMBER(SEARCH(B50,'Data - SSV'!AE$6:AE$3000)))*('Data - SSV'!AF$6:AF$3000&gt;=(AJ$3-90))*('Data - SSV'!AF$6:AF$3000&lt;=AJ$3)*('Data - SSV'!AH$6:AH$3000&lt;&gt;"")*IF('Data - SSV'!AH$6:AH$3000="",0,'Data - SSV'!AH$6:AH$3000))/AN50,3)=4,5,IF(IFERROR(SUMPRODUCT((ISNUMBER(SEARCH(B50,'Data - SSV'!AE$6:AE$3000)))*('Data - SSV'!AF$6:AF$3000&gt;=(AJ$3-90))*('Data - SSV'!AF$6:AF$3000&lt;=AJ$3)*('Data - SSV'!AH$6:AH$3000&lt;&gt;"")*IF('Data - SSV'!AH$6:AH$3000="",0,'Data - SSV'!AH$6:AH$3000))/AN50,3)&gt;=3.5,4,IF(IFERROR(SUMPRODUCT((ISNUMBER(SEARCH(B50,'Data - SSV'!AE$6:AE$3000)))*('Data - SSV'!AF$6:AF$3000&gt;=(AJ$3-90))*('Data - SSV'!AF$6:AF$3000&lt;=AJ$3)*('Data - SSV'!AH$6:AH$3000&lt;&gt;"")*IF('Data - SSV'!AH$6:AH$3000="",0,'Data - SSV'!AH$6:AH$3000))/AN50,3)&gt;=3,3,IF(IFERROR(SUMPRODUCT((ISNUMBER(SEARCH(B50,'Data - SSV'!AE$6:AE$3000)))*('Data - SSV'!AF$6:AF$3000&gt;=(AJ$3-90))*('Data - SSV'!AF$6:AF$3000&lt;=AJ$3)*('Data - SSV'!AH$6:AH$3000&lt;&gt;"")*IF('Data - SSV'!AH$6:AH$3000="",0,'Data - SSV'!AH$6:AH$3000))/AN50,3)&gt;=2,2,1)))))))</f>
        <v>3</v>
      </c>
    </row>
    <row r="51" spans="1:41" ht="19.5" customHeight="1" x14ac:dyDescent="0.15">
      <c r="A51" s="6" t="str">
        <f>'Field Teams'!A52</f>
        <v>FT-048</v>
      </c>
      <c r="B51" s="28" t="str">
        <f>'Field Teams'!B52</f>
        <v>East Midlands Arb Ltd</v>
      </c>
      <c r="C51" s="28" t="str">
        <f>'Field Teams'!C52</f>
        <v>Utility Arboriculture</v>
      </c>
      <c r="D51" s="6" t="str">
        <f>'Field Teams'!D52</f>
        <v>Donovan  Gosher</v>
      </c>
      <c r="E51" s="6" t="str">
        <f>'Field Teams'!E52</f>
        <v>Paul Shaw</v>
      </c>
      <c r="F51" s="6">
        <f>'Field Teams'!F52</f>
        <v>0</v>
      </c>
      <c r="G51" s="6">
        <f>'Field Teams'!G52</f>
        <v>0</v>
      </c>
      <c r="H51" s="31">
        <f>'Field Teams'!H52</f>
        <v>5</v>
      </c>
      <c r="I51" s="31">
        <f t="shared" si="5"/>
        <v>10</v>
      </c>
      <c r="J51" s="31">
        <f>IFERROR(SUMPRODUCT((((ISNUMBER(SEARCH(B51,'Data - HSQE Events'!V$6:V$3000))+ISNUMBER(SEARCH(B51,'Data - HSQE Events'!H$6:H$3000)))&gt;0))*('Data - HSQE Events'!F$6:F$3000&gt;=$AG$3)*('Data - HSQE Events'!F$6:F$3000&lt;=$AJ$3)*('Data - HSQE Events'!R$6:R$3000="Opportunity")),0)</f>
        <v>0</v>
      </c>
      <c r="K51" s="31">
        <f>IFERROR(SUMPRODUCT((((ISNUMBER(SEARCH(B51,'Data - HSQE Events'!V$6:V$3000))+ISNUMBER(SEARCH(B51,'Data - HSQE Events'!H$6:H$3000)))&gt;0))*('Data - HSQE Events'!F$6:F$3000&gt;=$AG$3)*('Data - HSQE Events'!F$6:F$3000&lt;=$AJ$3)*('Data - HSQE Events'!R$6:R$3000="Minor")),0)</f>
        <v>0</v>
      </c>
      <c r="L51" s="31">
        <f>IFERROR(SUMPRODUCT((((ISNUMBER(SEARCH(B51,'Data - HSQE Events'!V$6:V$3000))+ISNUMBER(SEARCH(B51,'Data - HSQE Events'!H$6:H$3000)))&gt;0))*('Data - HSQE Events'!F$6:F$3000&gt;=$AG$3)*('Data - HSQE Events'!F$6:F$3000&lt;=$AJ$3)*(('Data - HSQE Events'!R$6:R$3000="Moderate")+('Data - HSQE Events'!R$6:R$3000="Major"))),0)</f>
        <v>0</v>
      </c>
      <c r="M51" s="31" t="str">
        <f>IF(IFERROR(SUMPRODUCT((((ISNUMBER(SEARCH(B51,'Data - HSQE Events'!V$6:V$3000))+ISNUMBER(SEARCH(B51,'Data - HSQE Events'!H$6:H$3000)))&gt;0))*('Data - HSQE Events'!F$6:F$3000&gt;=$AG$3)*('Data - HSQE Events'!F$6:F$3000&lt;=$AJ$3)*('Data - HSQE Events'!R$6:R$3000="Major")),0)&gt;0,"YES","NO")</f>
        <v>NO</v>
      </c>
      <c r="N51" s="31">
        <f>IFERROR(SUMPRODUCT(('Data - Skillko'!B$6:B$3000=B51)*('Data - Skillko'!C$6:C$3000="Total")*('Data - Skillko'!E$6:E$3000))*100,0)</f>
        <v>56.000000000000007</v>
      </c>
      <c r="O51" s="31">
        <f t="shared" si="6"/>
        <v>3.2</v>
      </c>
      <c r="P51" s="31">
        <f>IFERROR(SUMPRODUCT(ISNUMBER(SEARCH(B51,'Pole Results'!$A$13:$A$2000))*('Pole Results'!$B$13:$B$2000&gt;=$AG$3)*('Pole Results'!$B$13:$B$2000&lt;=$AE$3)*('Pole Results'!$E$13:$E$2000="Non-Compliant")),0)</f>
        <v>0</v>
      </c>
      <c r="Q51" s="31">
        <f t="shared" si="7"/>
        <v>1</v>
      </c>
      <c r="R51" s="31">
        <f t="shared" si="8"/>
        <v>5</v>
      </c>
      <c r="S51" s="49">
        <f t="shared" si="9"/>
        <v>5</v>
      </c>
      <c r="T51" s="31">
        <f>IF('Field Teams'!$I$52="Inactive","",ROUND((Q51*Settings!$D$6+R51*Settings!$D$7+O51*Settings!$D$10+S51*Settings!$D$12+AO51*Settings!$D$13)/Settings!$D$14,1))</f>
        <v>2.8</v>
      </c>
      <c r="U51" s="115" t="str">
        <f>IF('Field Teams'!$I$52="Inactive","",IF(Q51="","",IF(Q51&gt;=4.5,"★★★★★",IF(Q51&gt;=3.5,"★★★★☆",IF(Q51&gt;=2.5,"★★★☆☆",IF(Q51&gt;=1.5,"★★☆☆☆","★☆☆☆☆"))))))</f>
        <v>★☆☆☆☆</v>
      </c>
      <c r="V51" s="115" t="str">
        <f>IF('Field Teams'!$I$52="Inactive","",IF(R51="","",IF(R51&gt;=4.5,"★★★★★",IF(R51&gt;=3.5,"★★★★☆",IF(R51&gt;=2.5,"★★★☆☆",IF(R51&gt;=1.5,"★★☆☆☆","★☆☆☆☆"))))))</f>
        <v>★★★★★</v>
      </c>
      <c r="W51" s="115" t="str">
        <f>IF('Field Teams'!$I$52="Inactive","",IF(O51="","",IF(O51&gt;=4.5,"★★★★★",IF(O51&gt;=3.5,"★★★★☆",IF(O51&gt;=2.5,"★★★☆☆",IF(O51&gt;=1.5,"★★☆☆☆","★☆☆☆☆"))))))</f>
        <v>★★★☆☆</v>
      </c>
      <c r="X51" s="115" t="str">
        <f>IF('Field Teams'!$I$52="Inactive","",IF(S51="","",IF(S51&gt;=4.5,"★★★★★",IF(S51&gt;=3.5,"★★★★☆",IF(S51&gt;=2.5,"★★★☆☆",IF(S51&gt;=1.5,"★★☆☆☆","★☆☆☆☆"))))))</f>
        <v>★★★★★</v>
      </c>
      <c r="Y51" s="115" t="str">
        <f>IF('Field Teams'!$I$52="Inactive","",IF(AO51="","",IF(AO51&gt;=4.5,"★★★★★",IF(AO51&gt;=3.5,"★★★★☆",IF(AO51&gt;=2.5,"★★★☆☆",IF(AO51&gt;=1.5,"★★☆☆☆","★☆☆☆☆"))))))</f>
        <v>★★★☆☆</v>
      </c>
      <c r="Z51" s="115" t="str">
        <f>IF('Field Teams'!$I$5="Inactive","",IF(T51="","",IF(T51&gt;=4.5,"★★★★★",IF(T51&gt;=3.5,"★★★★☆",IF(T51&gt;=2.5,"★★★☆☆",IF(T51&gt;=1.5,"★★☆☆☆","★☆☆☆☆"))))))</f>
        <v>★★★☆☆</v>
      </c>
      <c r="AA51" s="31" t="str">
        <f>IF('Field Teams'!$I$52="Inactive","",IF(M51="YES","HIGH",IF(Q51&lt;=Settings!$D$26,"HIGH",IF(T51&lt;=Settings!$D$23,"HIGH",IF(T51&lt;=Settings!$D$24,"MEDIUM","LOW")))))</f>
        <v>HIGH</v>
      </c>
      <c r="AB51" s="31">
        <f>IF('Field Teams'!$I$5="Inactive",-1,IFERROR((6-T51)+(77-ROW())*0.0001,0))</f>
        <v>3.2026000000000003</v>
      </c>
      <c r="AC51" s="35">
        <f>IF('Field Teams'!$I$5="Inactive",999,IFERROR((6-T51)+(ROW()-3)*0.0001,99))</f>
        <v>3.2048000000000001</v>
      </c>
      <c r="AD51" s="31">
        <f>IF('Field Teams'!$I$52="Inactive",999,IFERROR(AB51+(ROW()-3)*0.0001,99))</f>
        <v>3.2074000000000003</v>
      </c>
      <c r="AE51" s="29">
        <v>0</v>
      </c>
      <c r="AF51" s="31" t="str">
        <f>IF('Field Teams'!$I$52="Inactive","",IF(AA51="HIGH","YES - within 5 working days",""))</f>
        <v>YES - within 5 working days</v>
      </c>
      <c r="AG51" s="105"/>
      <c r="AH51" s="49">
        <f>IFERROR(SUMPRODUCT(ISNUMBER(SEARCH(B51,'Pole Results'!$A$13:$A$2000))*('Pole Results'!$B$13:$B$2000&gt;=$AG$3)*('Pole Results'!$B$13:$B$2000&lt;=$AE$3)),0)</f>
        <v>0</v>
      </c>
      <c r="AI51" s="49">
        <f>IFERROR(SUMPRODUCT(ISNUMBER(SEARCH(B51,'Pole Results'!$A$13:$A$2000))*('Pole Results'!$B$13:$B$2000&gt;=$AG$3)*('Pole Results'!$B$13:$B$2000&lt;=$AE$3)*('Pole Results'!$E$13:$E$2000="Compliant")),0)</f>
        <v>0</v>
      </c>
      <c r="AJ51" s="105"/>
      <c r="AK51" s="106">
        <f>IF('Field Teams'!$I$52="Inactive",-1,IF(AA51="HIGH",AB51,-1))</f>
        <v>3.2026000000000003</v>
      </c>
      <c r="AL51" s="106">
        <f>IF('Field Teams'!$I$52="Inactive",-1,IF(OR(AA51="HIGH",AA51="MEDIUM"),AB51,-1))</f>
        <v>3.2026000000000003</v>
      </c>
      <c r="AM51" t="str">
        <f>IF('Field Teams'!$I$52="Inactive","",IF(IFERROR(LOOKUP(2,1/('Historical Scores'!C52:N52&lt;&gt;""),'Historical Scores'!C52:N52),"")="","New",IF(T51=""," ",IF(T51&gt;IFERROR(LOOKUP(2,1/('Historical Scores'!C52:N52&lt;&gt;""),'Historical Scores'!C52:N52),""),"▲ Worsening",IF(T51&lt;IFERROR(LOOKUP(2,1/('Historical Scores'!C52:N52&lt;&gt;""),'Historical Scores'!C52:N52),""),"▼ Improving","► Stable")))))</f>
        <v>New</v>
      </c>
      <c r="AN51">
        <f>IFERROR(SUMPRODUCT((ISNUMBER(SEARCH(B51,'Data - SSV'!AE$6:AE$3000)))*('Data - SSV'!AF$6:AF$3000&gt;=(AJ$3-90))*('Data - SSV'!AF$6:AF$3000&lt;=AJ$3)*('Data - SSV'!AH$6:AH$3000&lt;&gt;"")),0)</f>
        <v>0</v>
      </c>
      <c r="AO51">
        <f>IF('Field Teams'!$I$52="Inactive","",IF(AN51=0,3,IF(AN51=1,IF(IFERROR(SUMPRODUCT((ISNUMBER(SEARCH(B51,'Data - SSV'!AE$6:AE$3000)))*('Data - SSV'!AF$6:AF$3000&gt;=(AJ$3-90))*('Data - SSV'!AF$6:AF$3000&lt;=AJ$3)*('Data - SSV'!AH$6:AH$3000&lt;&gt;"")*IF('Data - SSV'!AH$6:AH$3000="",0,'Data - SSV'!AH$6:AH$3000))/AN51,3)=4,4,IF(IFERROR(SUMPRODUCT((ISNUMBER(SEARCH(B51,'Data - SSV'!AE$6:AE$3000)))*('Data - SSV'!AF$6:AF$3000&gt;=(AJ$3-90))*('Data - SSV'!AF$6:AF$3000&lt;=AJ$3)*('Data - SSV'!AH$6:AH$3000&lt;&gt;"")*IF('Data - SSV'!AH$6:AH$3000="",0,'Data - SSV'!AH$6:AH$3000))/AN51,3)&gt;=3,3,IF(IFERROR(SUMPRODUCT((ISNUMBER(SEARCH(B51,'Data - SSV'!AE$6:AE$3000)))*('Data - SSV'!AF$6:AF$3000&gt;=(AJ$3-90))*('Data - SSV'!AF$6:AF$3000&lt;=AJ$3)*('Data - SSV'!AH$6:AH$3000&lt;&gt;"")*IF('Data - SSV'!AH$6:AH$3000="",0,'Data - SSV'!AH$6:AH$3000))/AN51,3)&gt;=2,2,1))),IF(IFERROR(SUMPRODUCT((ISNUMBER(SEARCH(B51,'Data - SSV'!AE$6:AE$3000)))*('Data - SSV'!AF$6:AF$3000&gt;=(AJ$3-90))*('Data - SSV'!AF$6:AF$3000&lt;=AJ$3)*('Data - SSV'!AH$6:AH$3000&lt;&gt;"")*IF('Data - SSV'!AH$6:AH$3000="",0,'Data - SSV'!AH$6:AH$3000))/AN51,3)=4,5,IF(IFERROR(SUMPRODUCT((ISNUMBER(SEARCH(B51,'Data - SSV'!AE$6:AE$3000)))*('Data - SSV'!AF$6:AF$3000&gt;=(AJ$3-90))*('Data - SSV'!AF$6:AF$3000&lt;=AJ$3)*('Data - SSV'!AH$6:AH$3000&lt;&gt;"")*IF('Data - SSV'!AH$6:AH$3000="",0,'Data - SSV'!AH$6:AH$3000))/AN51,3)&gt;=3.5,4,IF(IFERROR(SUMPRODUCT((ISNUMBER(SEARCH(B51,'Data - SSV'!AE$6:AE$3000)))*('Data - SSV'!AF$6:AF$3000&gt;=(AJ$3-90))*('Data - SSV'!AF$6:AF$3000&lt;=AJ$3)*('Data - SSV'!AH$6:AH$3000&lt;&gt;"")*IF('Data - SSV'!AH$6:AH$3000="",0,'Data - SSV'!AH$6:AH$3000))/AN51,3)&gt;=3,3,IF(IFERROR(SUMPRODUCT((ISNUMBER(SEARCH(B51,'Data - SSV'!AE$6:AE$3000)))*('Data - SSV'!AF$6:AF$3000&gt;=(AJ$3-90))*('Data - SSV'!AF$6:AF$3000&lt;=AJ$3)*('Data - SSV'!AH$6:AH$3000&lt;&gt;"")*IF('Data - SSV'!AH$6:AH$3000="",0,'Data - SSV'!AH$6:AH$3000))/AN51,3)&gt;=2,2,1)))))))</f>
        <v>3</v>
      </c>
    </row>
    <row r="52" spans="1:41" ht="19.5" customHeight="1" x14ac:dyDescent="0.15">
      <c r="A52" s="10" t="str">
        <f>'Field Teams'!A53</f>
        <v>FT-049</v>
      </c>
      <c r="B52" s="30" t="str">
        <f>'Field Teams'!B53</f>
        <v>GB Construction (Herts) Ltd</v>
      </c>
      <c r="C52" s="30" t="str">
        <f>'Field Teams'!C53</f>
        <v>Utility Arboriculture</v>
      </c>
      <c r="D52" s="10" t="str">
        <f>'Field Teams'!D53</f>
        <v>Donovan  Gosher</v>
      </c>
      <c r="E52" s="10" t="str">
        <f>'Field Teams'!E53</f>
        <v>Paul Shaw</v>
      </c>
      <c r="F52" s="10">
        <f>'Field Teams'!F53</f>
        <v>0</v>
      </c>
      <c r="G52" s="10">
        <f>'Field Teams'!G53</f>
        <v>0</v>
      </c>
      <c r="H52" s="31">
        <f>'Field Teams'!H53</f>
        <v>4</v>
      </c>
      <c r="I52" s="31">
        <f t="shared" si="5"/>
        <v>8</v>
      </c>
      <c r="J52" s="31">
        <f>IFERROR(SUMPRODUCT((((ISNUMBER(SEARCH(B52,'Data - HSQE Events'!V$6:V$3000))+ISNUMBER(SEARCH(B52,'Data - HSQE Events'!H$6:H$3000)))&gt;0))*('Data - HSQE Events'!F$6:F$3000&gt;=$AG$3)*('Data - HSQE Events'!F$6:F$3000&lt;=$AJ$3)*('Data - HSQE Events'!R$6:R$3000="Opportunity")),0)</f>
        <v>0</v>
      </c>
      <c r="K52" s="31">
        <f>IFERROR(SUMPRODUCT((((ISNUMBER(SEARCH(B52,'Data - HSQE Events'!V$6:V$3000))+ISNUMBER(SEARCH(B52,'Data - HSQE Events'!H$6:H$3000)))&gt;0))*('Data - HSQE Events'!F$6:F$3000&gt;=$AG$3)*('Data - HSQE Events'!F$6:F$3000&lt;=$AJ$3)*('Data - HSQE Events'!R$6:R$3000="Minor")),0)</f>
        <v>0</v>
      </c>
      <c r="L52" s="31">
        <f>IFERROR(SUMPRODUCT((((ISNUMBER(SEARCH(B52,'Data - HSQE Events'!V$6:V$3000))+ISNUMBER(SEARCH(B52,'Data - HSQE Events'!H$6:H$3000)))&gt;0))*('Data - HSQE Events'!F$6:F$3000&gt;=$AG$3)*('Data - HSQE Events'!F$6:F$3000&lt;=$AJ$3)*(('Data - HSQE Events'!R$6:R$3000="Moderate")+('Data - HSQE Events'!R$6:R$3000="Major"))),0)</f>
        <v>0</v>
      </c>
      <c r="M52" s="31" t="str">
        <f>IF(IFERROR(SUMPRODUCT((((ISNUMBER(SEARCH(B52,'Data - HSQE Events'!V$6:V$3000))+ISNUMBER(SEARCH(B52,'Data - HSQE Events'!H$6:H$3000)))&gt;0))*('Data - HSQE Events'!F$6:F$3000&gt;=$AG$3)*('Data - HSQE Events'!F$6:F$3000&lt;=$AJ$3)*('Data - HSQE Events'!R$6:R$3000="Major")),0)&gt;0,"YES","NO")</f>
        <v>NO</v>
      </c>
      <c r="N52" s="31">
        <f>IFERROR(SUMPRODUCT(('Data - Skillko'!B$6:B$3000=B52)*('Data - Skillko'!C$6:C$3000="Total")*('Data - Skillko'!E$6:E$3000))*100,0)</f>
        <v>42</v>
      </c>
      <c r="O52" s="31">
        <f t="shared" si="6"/>
        <v>2.7</v>
      </c>
      <c r="P52" s="31">
        <f>IFERROR(SUMPRODUCT(ISNUMBER(SEARCH(B52,'Pole Results'!$A$13:$A$2000))*('Pole Results'!$B$13:$B$2000&gt;=$AG$3)*('Pole Results'!$B$13:$B$2000&lt;=$AE$3)*('Pole Results'!$E$13:$E$2000="Non-Compliant")),0)</f>
        <v>0</v>
      </c>
      <c r="Q52" s="31">
        <f t="shared" si="7"/>
        <v>1</v>
      </c>
      <c r="R52" s="31">
        <f t="shared" si="8"/>
        <v>5</v>
      </c>
      <c r="S52" s="49">
        <f t="shared" si="9"/>
        <v>5</v>
      </c>
      <c r="T52" s="31">
        <f>IF('Field Teams'!$I$53="Inactive","",ROUND((Q52*Settings!$D$6+R52*Settings!$D$7+O52*Settings!$D$10+S52*Settings!$D$12+AO52*Settings!$D$13)/Settings!$D$14,1))</f>
        <v>2.7</v>
      </c>
      <c r="U52" s="115" t="str">
        <f>IF('Field Teams'!$I$53="Inactive","",IF(Q52="","",IF(Q52&gt;=4.5,"★★★★★",IF(Q52&gt;=3.5,"★★★★☆",IF(Q52&gt;=2.5,"★★★☆☆",IF(Q52&gt;=1.5,"★★☆☆☆","★☆☆☆☆"))))))</f>
        <v>★☆☆☆☆</v>
      </c>
      <c r="V52" s="115" t="str">
        <f>IF('Field Teams'!$I$53="Inactive","",IF(R52="","",IF(R52&gt;=4.5,"★★★★★",IF(R52&gt;=3.5,"★★★★☆",IF(R52&gt;=2.5,"★★★☆☆",IF(R52&gt;=1.5,"★★☆☆☆","★☆☆☆☆"))))))</f>
        <v>★★★★★</v>
      </c>
      <c r="W52" s="115" t="str">
        <f>IF('Field Teams'!$I$53="Inactive","",IF(O52="","",IF(O52&gt;=4.5,"★★★★★",IF(O52&gt;=3.5,"★★★★☆",IF(O52&gt;=2.5,"★★★☆☆",IF(O52&gt;=1.5,"★★☆☆☆","★☆☆☆☆"))))))</f>
        <v>★★★☆☆</v>
      </c>
      <c r="X52" s="115" t="str">
        <f>IF('Field Teams'!$I$53="Inactive","",IF(S52="","",IF(S52&gt;=4.5,"★★★★★",IF(S52&gt;=3.5,"★★★★☆",IF(S52&gt;=2.5,"★★★☆☆",IF(S52&gt;=1.5,"★★☆☆☆","★☆☆☆☆"))))))</f>
        <v>★★★★★</v>
      </c>
      <c r="Y52" s="115" t="str">
        <f>IF('Field Teams'!$I$53="Inactive","",IF(AO52="","",IF(AO52&gt;=4.5,"★★★★★",IF(AO52&gt;=3.5,"★★★★☆",IF(AO52&gt;=2.5,"★★★☆☆",IF(AO52&gt;=1.5,"★★☆☆☆","★☆☆☆☆"))))))</f>
        <v>★★★☆☆</v>
      </c>
      <c r="Z52" s="115" t="str">
        <f>IF('Field Teams'!$I$5="Inactive","",IF(T52="","",IF(T52&gt;=4.5,"★★★★★",IF(T52&gt;=3.5,"★★★★☆",IF(T52&gt;=2.5,"★★★☆☆",IF(T52&gt;=1.5,"★★☆☆☆","★☆☆☆☆"))))))</f>
        <v>★★★☆☆</v>
      </c>
      <c r="AA52" s="31" t="str">
        <f>IF('Field Teams'!$I$53="Inactive","",IF(M52="YES","HIGH",IF(Q52&lt;=Settings!$D$26,"HIGH",IF(T52&lt;=Settings!$D$23,"HIGH",IF(T52&lt;=Settings!$D$24,"MEDIUM","LOW")))))</f>
        <v>HIGH</v>
      </c>
      <c r="AB52" s="31">
        <f>IF('Field Teams'!$I$5="Inactive",-1,IFERROR((6-T52)+(77-ROW())*0.0001,0))</f>
        <v>3.3024999999999998</v>
      </c>
      <c r="AC52" s="35">
        <f>IF('Field Teams'!$I$5="Inactive",999,IFERROR((6-T52)+(ROW()-3)*0.0001,99))</f>
        <v>3.3048999999999999</v>
      </c>
      <c r="AD52" s="31">
        <f>IF('Field Teams'!$I$53="Inactive",999,IFERROR(AB52+(ROW()-3)*0.0001,99))</f>
        <v>3.3073999999999999</v>
      </c>
      <c r="AE52" s="29">
        <v>0</v>
      </c>
      <c r="AF52" s="31" t="str">
        <f>IF('Field Teams'!$I$53="Inactive","",IF(AA52="HIGH","YES - within 5 working days",""))</f>
        <v>YES - within 5 working days</v>
      </c>
      <c r="AG52" s="105"/>
      <c r="AH52" s="49">
        <f>IFERROR(SUMPRODUCT(ISNUMBER(SEARCH(B52,'Pole Results'!$A$13:$A$2000))*('Pole Results'!$B$13:$B$2000&gt;=$AG$3)*('Pole Results'!$B$13:$B$2000&lt;=$AE$3)),0)</f>
        <v>0</v>
      </c>
      <c r="AI52" s="49">
        <f>IFERROR(SUMPRODUCT(ISNUMBER(SEARCH(B52,'Pole Results'!$A$13:$A$2000))*('Pole Results'!$B$13:$B$2000&gt;=$AG$3)*('Pole Results'!$B$13:$B$2000&lt;=$AE$3)*('Pole Results'!$E$13:$E$2000="Compliant")),0)</f>
        <v>0</v>
      </c>
      <c r="AJ52" s="105"/>
      <c r="AK52" s="106">
        <f>IF('Field Teams'!$I$53="Inactive",-1,IF(AA52="HIGH",AB52,-1))</f>
        <v>3.3024999999999998</v>
      </c>
      <c r="AL52" s="106">
        <f>IF('Field Teams'!$I$53="Inactive",-1,IF(OR(AA52="HIGH",AA52="MEDIUM"),AB52,-1))</f>
        <v>3.3024999999999998</v>
      </c>
      <c r="AM52" t="str">
        <f>IF('Field Teams'!$I$53="Inactive","",IF(IFERROR(LOOKUP(2,1/('Historical Scores'!C53:N53&lt;&gt;""),'Historical Scores'!C53:N53),"")="","New",IF(T52=""," ",IF(T52&gt;IFERROR(LOOKUP(2,1/('Historical Scores'!C53:N53&lt;&gt;""),'Historical Scores'!C53:N53),""),"▲ Worsening",IF(T52&lt;IFERROR(LOOKUP(2,1/('Historical Scores'!C53:N53&lt;&gt;""),'Historical Scores'!C53:N53),""),"▼ Improving","► Stable")))))</f>
        <v>New</v>
      </c>
      <c r="AN52">
        <f>IFERROR(SUMPRODUCT((ISNUMBER(SEARCH(B52,'Data - SSV'!AE$6:AE$3000)))*('Data - SSV'!AF$6:AF$3000&gt;=(AJ$3-90))*('Data - SSV'!AF$6:AF$3000&lt;=AJ$3)*('Data - SSV'!AH$6:AH$3000&lt;&gt;"")),0)</f>
        <v>0</v>
      </c>
      <c r="AO52">
        <f>IF('Field Teams'!$I$53="Inactive","",IF(AN52=0,3,IF(AN52=1,IF(IFERROR(SUMPRODUCT((ISNUMBER(SEARCH(B52,'Data - SSV'!AE$6:AE$3000)))*('Data - SSV'!AF$6:AF$3000&gt;=(AJ$3-90))*('Data - SSV'!AF$6:AF$3000&lt;=AJ$3)*('Data - SSV'!AH$6:AH$3000&lt;&gt;"")*IF('Data - SSV'!AH$6:AH$3000="",0,'Data - SSV'!AH$6:AH$3000))/AN52,3)=4,4,IF(IFERROR(SUMPRODUCT((ISNUMBER(SEARCH(B52,'Data - SSV'!AE$6:AE$3000)))*('Data - SSV'!AF$6:AF$3000&gt;=(AJ$3-90))*('Data - SSV'!AF$6:AF$3000&lt;=AJ$3)*('Data - SSV'!AH$6:AH$3000&lt;&gt;"")*IF('Data - SSV'!AH$6:AH$3000="",0,'Data - SSV'!AH$6:AH$3000))/AN52,3)&gt;=3,3,IF(IFERROR(SUMPRODUCT((ISNUMBER(SEARCH(B52,'Data - SSV'!AE$6:AE$3000)))*('Data - SSV'!AF$6:AF$3000&gt;=(AJ$3-90))*('Data - SSV'!AF$6:AF$3000&lt;=AJ$3)*('Data - SSV'!AH$6:AH$3000&lt;&gt;"")*IF('Data - SSV'!AH$6:AH$3000="",0,'Data - SSV'!AH$6:AH$3000))/AN52,3)&gt;=2,2,1))),IF(IFERROR(SUMPRODUCT((ISNUMBER(SEARCH(B52,'Data - SSV'!AE$6:AE$3000)))*('Data - SSV'!AF$6:AF$3000&gt;=(AJ$3-90))*('Data - SSV'!AF$6:AF$3000&lt;=AJ$3)*('Data - SSV'!AH$6:AH$3000&lt;&gt;"")*IF('Data - SSV'!AH$6:AH$3000="",0,'Data - SSV'!AH$6:AH$3000))/AN52,3)=4,5,IF(IFERROR(SUMPRODUCT((ISNUMBER(SEARCH(B52,'Data - SSV'!AE$6:AE$3000)))*('Data - SSV'!AF$6:AF$3000&gt;=(AJ$3-90))*('Data - SSV'!AF$6:AF$3000&lt;=AJ$3)*('Data - SSV'!AH$6:AH$3000&lt;&gt;"")*IF('Data - SSV'!AH$6:AH$3000="",0,'Data - SSV'!AH$6:AH$3000))/AN52,3)&gt;=3.5,4,IF(IFERROR(SUMPRODUCT((ISNUMBER(SEARCH(B52,'Data - SSV'!AE$6:AE$3000)))*('Data - SSV'!AF$6:AF$3000&gt;=(AJ$3-90))*('Data - SSV'!AF$6:AF$3000&lt;=AJ$3)*('Data - SSV'!AH$6:AH$3000&lt;&gt;"")*IF('Data - SSV'!AH$6:AH$3000="",0,'Data - SSV'!AH$6:AH$3000))/AN52,3)&gt;=3,3,IF(IFERROR(SUMPRODUCT((ISNUMBER(SEARCH(B52,'Data - SSV'!AE$6:AE$3000)))*('Data - SSV'!AF$6:AF$3000&gt;=(AJ$3-90))*('Data - SSV'!AF$6:AF$3000&lt;=AJ$3)*('Data - SSV'!AH$6:AH$3000&lt;&gt;"")*IF('Data - SSV'!AH$6:AH$3000="",0,'Data - SSV'!AH$6:AH$3000))/AN52,3)&gt;=2,2,1)))))))</f>
        <v>3</v>
      </c>
    </row>
    <row r="53" spans="1:41" ht="19.5" customHeight="1" x14ac:dyDescent="0.15">
      <c r="A53" s="6" t="str">
        <f>'Field Teams'!A54</f>
        <v>FT-050</v>
      </c>
      <c r="B53" s="28" t="str">
        <f>'Field Teams'!B54</f>
        <v>Greenland Services Ltd</v>
      </c>
      <c r="C53" s="28" t="str">
        <f>'Field Teams'!C54</f>
        <v>Utility Arboriculture</v>
      </c>
      <c r="D53" s="6" t="str">
        <f>'Field Teams'!D54</f>
        <v>Donovan  Gosher</v>
      </c>
      <c r="E53" s="6" t="str">
        <f>'Field Teams'!E54</f>
        <v>Paul Shaw</v>
      </c>
      <c r="F53" s="6">
        <f>'Field Teams'!F54</f>
        <v>0</v>
      </c>
      <c r="G53" s="6">
        <f>'Field Teams'!G54</f>
        <v>0</v>
      </c>
      <c r="H53" s="31">
        <f>'Field Teams'!H54</f>
        <v>3</v>
      </c>
      <c r="I53" s="31">
        <f t="shared" si="5"/>
        <v>6</v>
      </c>
      <c r="J53" s="31">
        <f>IFERROR(SUMPRODUCT((((ISNUMBER(SEARCH(B53,'Data - HSQE Events'!V$6:V$3000))+ISNUMBER(SEARCH(B53,'Data - HSQE Events'!H$6:H$3000)))&gt;0))*('Data - HSQE Events'!F$6:F$3000&gt;=$AG$3)*('Data - HSQE Events'!F$6:F$3000&lt;=$AJ$3)*('Data - HSQE Events'!R$6:R$3000="Opportunity")),0)</f>
        <v>0</v>
      </c>
      <c r="K53" s="31">
        <f>IFERROR(SUMPRODUCT((((ISNUMBER(SEARCH(B53,'Data - HSQE Events'!V$6:V$3000))+ISNUMBER(SEARCH(B53,'Data - HSQE Events'!H$6:H$3000)))&gt;0))*('Data - HSQE Events'!F$6:F$3000&gt;=$AG$3)*('Data - HSQE Events'!F$6:F$3000&lt;=$AJ$3)*('Data - HSQE Events'!R$6:R$3000="Minor")),0)</f>
        <v>0</v>
      </c>
      <c r="L53" s="31">
        <f>IFERROR(SUMPRODUCT((((ISNUMBER(SEARCH(B53,'Data - HSQE Events'!V$6:V$3000))+ISNUMBER(SEARCH(B53,'Data - HSQE Events'!H$6:H$3000)))&gt;0))*('Data - HSQE Events'!F$6:F$3000&gt;=$AG$3)*('Data - HSQE Events'!F$6:F$3000&lt;=$AJ$3)*(('Data - HSQE Events'!R$6:R$3000="Moderate")+('Data - HSQE Events'!R$6:R$3000="Major"))),0)</f>
        <v>0</v>
      </c>
      <c r="M53" s="31" t="str">
        <f>IF(IFERROR(SUMPRODUCT((((ISNUMBER(SEARCH(B53,'Data - HSQE Events'!V$6:V$3000))+ISNUMBER(SEARCH(B53,'Data - HSQE Events'!H$6:H$3000)))&gt;0))*('Data - HSQE Events'!F$6:F$3000&gt;=$AG$3)*('Data - HSQE Events'!F$6:F$3000&lt;=$AJ$3)*('Data - HSQE Events'!R$6:R$3000="Major")),0)&gt;0,"YES","NO")</f>
        <v>NO</v>
      </c>
      <c r="N53" s="31">
        <f>IFERROR(SUMPRODUCT(('Data - Skillko'!B$6:B$3000=B53)*('Data - Skillko'!C$6:C$3000="Total")*('Data - Skillko'!E$6:E$3000))*100,0)</f>
        <v>95</v>
      </c>
      <c r="O53" s="31">
        <f t="shared" si="6"/>
        <v>4.8</v>
      </c>
      <c r="P53" s="31">
        <f>IFERROR(SUMPRODUCT(ISNUMBER(SEARCH(B53,'Pole Results'!$A$13:$A$2000))*('Pole Results'!$B$13:$B$2000&gt;=$AG$3)*('Pole Results'!$B$13:$B$2000&lt;=$AE$3)*('Pole Results'!$E$13:$E$2000="Non-Compliant")),0)</f>
        <v>0</v>
      </c>
      <c r="Q53" s="31">
        <f t="shared" si="7"/>
        <v>1</v>
      </c>
      <c r="R53" s="31">
        <f t="shared" si="8"/>
        <v>5</v>
      </c>
      <c r="S53" s="49">
        <f t="shared" si="9"/>
        <v>5</v>
      </c>
      <c r="T53" s="31">
        <f>IF('Field Teams'!$I$54="Inactive","",ROUND((Q53*Settings!$D$6+R53*Settings!$D$7+O53*Settings!$D$10+S53*Settings!$D$12+AO53*Settings!$D$13)/Settings!$D$14,1))</f>
        <v>3.1</v>
      </c>
      <c r="U53" s="115" t="str">
        <f>IF('Field Teams'!$I$54="Inactive","",IF(Q53="","",IF(Q53&gt;=4.5,"★★★★★",IF(Q53&gt;=3.5,"★★★★☆",IF(Q53&gt;=2.5,"★★★☆☆",IF(Q53&gt;=1.5,"★★☆☆☆","★☆☆☆☆"))))))</f>
        <v>★☆☆☆☆</v>
      </c>
      <c r="V53" s="115" t="str">
        <f>IF('Field Teams'!$I$54="Inactive","",IF(R53="","",IF(R53&gt;=4.5,"★★★★★",IF(R53&gt;=3.5,"★★★★☆",IF(R53&gt;=2.5,"★★★☆☆",IF(R53&gt;=1.5,"★★☆☆☆","★☆☆☆☆"))))))</f>
        <v>★★★★★</v>
      </c>
      <c r="W53" s="115" t="str">
        <f>IF('Field Teams'!$I$54="Inactive","",IF(O53="","",IF(O53&gt;=4.5,"★★★★★",IF(O53&gt;=3.5,"★★★★☆",IF(O53&gt;=2.5,"★★★☆☆",IF(O53&gt;=1.5,"★★☆☆☆","★☆☆☆☆"))))))</f>
        <v>★★★★★</v>
      </c>
      <c r="X53" s="115" t="str">
        <f>IF('Field Teams'!$I$54="Inactive","",IF(S53="","",IF(S53&gt;=4.5,"★★★★★",IF(S53&gt;=3.5,"★★★★☆",IF(S53&gt;=2.5,"★★★☆☆",IF(S53&gt;=1.5,"★★☆☆☆","★☆☆☆☆"))))))</f>
        <v>★★★★★</v>
      </c>
      <c r="Y53" s="115" t="str">
        <f>IF('Field Teams'!$I$54="Inactive","",IF(AO53="","",IF(AO53&gt;=4.5,"★★★★★",IF(AO53&gt;=3.5,"★★★★☆",IF(AO53&gt;=2.5,"★★★☆☆",IF(AO53&gt;=1.5,"★★☆☆☆","★☆☆☆☆"))))))</f>
        <v>★★★☆☆</v>
      </c>
      <c r="Z53" s="115" t="str">
        <f>IF('Field Teams'!$I$5="Inactive","",IF(T53="","",IF(T53&gt;=4.5,"★★★★★",IF(T53&gt;=3.5,"★★★★☆",IF(T53&gt;=2.5,"★★★☆☆",IF(T53&gt;=1.5,"★★☆☆☆","★☆☆☆☆"))))))</f>
        <v>★★★☆☆</v>
      </c>
      <c r="AA53" s="31" t="str">
        <f>IF('Field Teams'!$I$54="Inactive","",IF(M53="YES","HIGH",IF(Q53&lt;=Settings!$D$26,"HIGH",IF(T53&lt;=Settings!$D$23,"HIGH",IF(T53&lt;=Settings!$D$24,"MEDIUM","LOW")))))</f>
        <v>HIGH</v>
      </c>
      <c r="AB53" s="31">
        <f>IF('Field Teams'!$I$5="Inactive",-1,IFERROR((6-T53)+(77-ROW())*0.0001,0))</f>
        <v>2.9024000000000001</v>
      </c>
      <c r="AC53" s="35">
        <f>IF('Field Teams'!$I$5="Inactive",999,IFERROR((6-T53)+(ROW()-3)*0.0001,99))</f>
        <v>2.9049999999999998</v>
      </c>
      <c r="AD53" s="31">
        <f>IF('Field Teams'!$I$54="Inactive",999,IFERROR(AB53+(ROW()-3)*0.0001,99))</f>
        <v>2.9074</v>
      </c>
      <c r="AE53" s="29">
        <v>0</v>
      </c>
      <c r="AF53" s="31" t="str">
        <f>IF('Field Teams'!$I$54="Inactive","",IF(AA53="HIGH","YES - within 5 working days",""))</f>
        <v>YES - within 5 working days</v>
      </c>
      <c r="AG53" s="105"/>
      <c r="AH53" s="49">
        <f>IFERROR(SUMPRODUCT(ISNUMBER(SEARCH(B53,'Pole Results'!$A$13:$A$2000))*('Pole Results'!$B$13:$B$2000&gt;=$AG$3)*('Pole Results'!$B$13:$B$2000&lt;=$AE$3)),0)</f>
        <v>0</v>
      </c>
      <c r="AI53" s="49">
        <f>IFERROR(SUMPRODUCT(ISNUMBER(SEARCH(B53,'Pole Results'!$A$13:$A$2000))*('Pole Results'!$B$13:$B$2000&gt;=$AG$3)*('Pole Results'!$B$13:$B$2000&lt;=$AE$3)*('Pole Results'!$E$13:$E$2000="Compliant")),0)</f>
        <v>0</v>
      </c>
      <c r="AJ53" s="105"/>
      <c r="AK53" s="106">
        <f>IF('Field Teams'!$I$54="Inactive",-1,IF(AA53="HIGH",AB53,-1))</f>
        <v>2.9024000000000001</v>
      </c>
      <c r="AL53" s="106">
        <f>IF('Field Teams'!$I$54="Inactive",-1,IF(OR(AA53="HIGH",AA53="MEDIUM"),AB53,-1))</f>
        <v>2.9024000000000001</v>
      </c>
      <c r="AM53" t="str">
        <f>IF('Field Teams'!$I$54="Inactive","",IF(IFERROR(LOOKUP(2,1/('Historical Scores'!C54:N54&lt;&gt;""),'Historical Scores'!C54:N54),"")="","New",IF(T53=""," ",IF(T53&gt;IFERROR(LOOKUP(2,1/('Historical Scores'!C54:N54&lt;&gt;""),'Historical Scores'!C54:N54),""),"▲ Worsening",IF(T53&lt;IFERROR(LOOKUP(2,1/('Historical Scores'!C54:N54&lt;&gt;""),'Historical Scores'!C54:N54),""),"▼ Improving","► Stable")))))</f>
        <v>New</v>
      </c>
      <c r="AN53">
        <f>IFERROR(SUMPRODUCT((ISNUMBER(SEARCH(B53,'Data - SSV'!AE$6:AE$3000)))*('Data - SSV'!AF$6:AF$3000&gt;=(AJ$3-90))*('Data - SSV'!AF$6:AF$3000&lt;=AJ$3)*('Data - SSV'!AH$6:AH$3000&lt;&gt;"")),0)</f>
        <v>0</v>
      </c>
      <c r="AO53">
        <f>IF('Field Teams'!$I$54="Inactive","",IF(AN53=0,3,IF(AN53=1,IF(IFERROR(SUMPRODUCT((ISNUMBER(SEARCH(B53,'Data - SSV'!AE$6:AE$3000)))*('Data - SSV'!AF$6:AF$3000&gt;=(AJ$3-90))*('Data - SSV'!AF$6:AF$3000&lt;=AJ$3)*('Data - SSV'!AH$6:AH$3000&lt;&gt;"")*IF('Data - SSV'!AH$6:AH$3000="",0,'Data - SSV'!AH$6:AH$3000))/AN53,3)=4,4,IF(IFERROR(SUMPRODUCT((ISNUMBER(SEARCH(B53,'Data - SSV'!AE$6:AE$3000)))*('Data - SSV'!AF$6:AF$3000&gt;=(AJ$3-90))*('Data - SSV'!AF$6:AF$3000&lt;=AJ$3)*('Data - SSV'!AH$6:AH$3000&lt;&gt;"")*IF('Data - SSV'!AH$6:AH$3000="",0,'Data - SSV'!AH$6:AH$3000))/AN53,3)&gt;=3,3,IF(IFERROR(SUMPRODUCT((ISNUMBER(SEARCH(B53,'Data - SSV'!AE$6:AE$3000)))*('Data - SSV'!AF$6:AF$3000&gt;=(AJ$3-90))*('Data - SSV'!AF$6:AF$3000&lt;=AJ$3)*('Data - SSV'!AH$6:AH$3000&lt;&gt;"")*IF('Data - SSV'!AH$6:AH$3000="",0,'Data - SSV'!AH$6:AH$3000))/AN53,3)&gt;=2,2,1))),IF(IFERROR(SUMPRODUCT((ISNUMBER(SEARCH(B53,'Data - SSV'!AE$6:AE$3000)))*('Data - SSV'!AF$6:AF$3000&gt;=(AJ$3-90))*('Data - SSV'!AF$6:AF$3000&lt;=AJ$3)*('Data - SSV'!AH$6:AH$3000&lt;&gt;"")*IF('Data - SSV'!AH$6:AH$3000="",0,'Data - SSV'!AH$6:AH$3000))/AN53,3)=4,5,IF(IFERROR(SUMPRODUCT((ISNUMBER(SEARCH(B53,'Data - SSV'!AE$6:AE$3000)))*('Data - SSV'!AF$6:AF$3000&gt;=(AJ$3-90))*('Data - SSV'!AF$6:AF$3000&lt;=AJ$3)*('Data - SSV'!AH$6:AH$3000&lt;&gt;"")*IF('Data - SSV'!AH$6:AH$3000="",0,'Data - SSV'!AH$6:AH$3000))/AN53,3)&gt;=3.5,4,IF(IFERROR(SUMPRODUCT((ISNUMBER(SEARCH(B53,'Data - SSV'!AE$6:AE$3000)))*('Data - SSV'!AF$6:AF$3000&gt;=(AJ$3-90))*('Data - SSV'!AF$6:AF$3000&lt;=AJ$3)*('Data - SSV'!AH$6:AH$3000&lt;&gt;"")*IF('Data - SSV'!AH$6:AH$3000="",0,'Data - SSV'!AH$6:AH$3000))/AN53,3)&gt;=3,3,IF(IFERROR(SUMPRODUCT((ISNUMBER(SEARCH(B53,'Data - SSV'!AE$6:AE$3000)))*('Data - SSV'!AF$6:AF$3000&gt;=(AJ$3-90))*('Data - SSV'!AF$6:AF$3000&lt;=AJ$3)*('Data - SSV'!AH$6:AH$3000&lt;&gt;"")*IF('Data - SSV'!AH$6:AH$3000="",0,'Data - SSV'!AH$6:AH$3000))/AN53,3)&gt;=2,2,1)))))))</f>
        <v>3</v>
      </c>
    </row>
    <row r="54" spans="1:41" ht="19.5" customHeight="1" x14ac:dyDescent="0.15">
      <c r="A54" s="10" t="str">
        <f>'Field Teams'!A55</f>
        <v>FT-051</v>
      </c>
      <c r="B54" s="30" t="str">
        <f>'Field Teams'!B55</f>
        <v>J Ashby Tree Services</v>
      </c>
      <c r="C54" s="30" t="str">
        <f>'Field Teams'!C55</f>
        <v>Utility Arboriculture</v>
      </c>
      <c r="D54" s="10" t="str">
        <f>'Field Teams'!D55</f>
        <v>Donovan  Gosher</v>
      </c>
      <c r="E54" s="10" t="str">
        <f>'Field Teams'!E55</f>
        <v>Paul Shaw</v>
      </c>
      <c r="F54" s="10">
        <f>'Field Teams'!F55</f>
        <v>0</v>
      </c>
      <c r="G54" s="10">
        <f>'Field Teams'!G55</f>
        <v>0</v>
      </c>
      <c r="H54" s="31">
        <f>'Field Teams'!H55</f>
        <v>6</v>
      </c>
      <c r="I54" s="31">
        <f t="shared" si="5"/>
        <v>12</v>
      </c>
      <c r="J54" s="31">
        <f>IFERROR(SUMPRODUCT((((ISNUMBER(SEARCH(B54,'Data - HSQE Events'!V$6:V$3000))+ISNUMBER(SEARCH(B54,'Data - HSQE Events'!H$6:H$3000)))&gt;0))*('Data - HSQE Events'!F$6:F$3000&gt;=$AG$3)*('Data - HSQE Events'!F$6:F$3000&lt;=$AJ$3)*('Data - HSQE Events'!R$6:R$3000="Opportunity")),0)</f>
        <v>0</v>
      </c>
      <c r="K54" s="31">
        <f>IFERROR(SUMPRODUCT((((ISNUMBER(SEARCH(B54,'Data - HSQE Events'!V$6:V$3000))+ISNUMBER(SEARCH(B54,'Data - HSQE Events'!H$6:H$3000)))&gt;0))*('Data - HSQE Events'!F$6:F$3000&gt;=$AG$3)*('Data - HSQE Events'!F$6:F$3000&lt;=$AJ$3)*('Data - HSQE Events'!R$6:R$3000="Minor")),0)</f>
        <v>0</v>
      </c>
      <c r="L54" s="31">
        <f>IFERROR(SUMPRODUCT((((ISNUMBER(SEARCH(B54,'Data - HSQE Events'!V$6:V$3000))+ISNUMBER(SEARCH(B54,'Data - HSQE Events'!H$6:H$3000)))&gt;0))*('Data - HSQE Events'!F$6:F$3000&gt;=$AG$3)*('Data - HSQE Events'!F$6:F$3000&lt;=$AJ$3)*(('Data - HSQE Events'!R$6:R$3000="Moderate")+('Data - HSQE Events'!R$6:R$3000="Major"))),0)</f>
        <v>0</v>
      </c>
      <c r="M54" s="31" t="str">
        <f>IF(IFERROR(SUMPRODUCT((((ISNUMBER(SEARCH(B54,'Data - HSQE Events'!V$6:V$3000))+ISNUMBER(SEARCH(B54,'Data - HSQE Events'!H$6:H$3000)))&gt;0))*('Data - HSQE Events'!F$6:F$3000&gt;=$AG$3)*('Data - HSQE Events'!F$6:F$3000&lt;=$AJ$3)*('Data - HSQE Events'!R$6:R$3000="Major")),0)&gt;0,"YES","NO")</f>
        <v>NO</v>
      </c>
      <c r="N54" s="31">
        <f>IFERROR(SUMPRODUCT(('Data - Skillko'!B$6:B$3000=B54)*('Data - Skillko'!C$6:C$3000="Total")*('Data - Skillko'!E$6:E$3000))*100,0)</f>
        <v>69</v>
      </c>
      <c r="O54" s="31">
        <f t="shared" si="6"/>
        <v>3.8</v>
      </c>
      <c r="P54" s="31">
        <f>IFERROR(SUMPRODUCT(ISNUMBER(SEARCH(B54,'Pole Results'!$A$13:$A$2000))*('Pole Results'!$B$13:$B$2000&gt;=$AG$3)*('Pole Results'!$B$13:$B$2000&lt;=$AE$3)*('Pole Results'!$E$13:$E$2000="Non-Compliant")),0)</f>
        <v>0</v>
      </c>
      <c r="Q54" s="31">
        <f t="shared" si="7"/>
        <v>1</v>
      </c>
      <c r="R54" s="31">
        <f t="shared" si="8"/>
        <v>5</v>
      </c>
      <c r="S54" s="49">
        <f t="shared" si="9"/>
        <v>5</v>
      </c>
      <c r="T54" s="31">
        <f>IF('Field Teams'!$I$55="Inactive","",ROUND((Q54*Settings!$D$6+R54*Settings!$D$7+O54*Settings!$D$10+S54*Settings!$D$12+AO54*Settings!$D$13)/Settings!$D$14,1))</f>
        <v>2.9</v>
      </c>
      <c r="U54" s="115" t="str">
        <f>IF('Field Teams'!$I$55="Inactive","",IF(Q54="","",IF(Q54&gt;=4.5,"★★★★★",IF(Q54&gt;=3.5,"★★★★☆",IF(Q54&gt;=2.5,"★★★☆☆",IF(Q54&gt;=1.5,"★★☆☆☆","★☆☆☆☆"))))))</f>
        <v>★☆☆☆☆</v>
      </c>
      <c r="V54" s="115" t="str">
        <f>IF('Field Teams'!$I$55="Inactive","",IF(R54="","",IF(R54&gt;=4.5,"★★★★★",IF(R54&gt;=3.5,"★★★★☆",IF(R54&gt;=2.5,"★★★☆☆",IF(R54&gt;=1.5,"★★☆☆☆","★☆☆☆☆"))))))</f>
        <v>★★★★★</v>
      </c>
      <c r="W54" s="115" t="str">
        <f>IF('Field Teams'!$I$55="Inactive","",IF(O54="","",IF(O54&gt;=4.5,"★★★★★",IF(O54&gt;=3.5,"★★★★☆",IF(O54&gt;=2.5,"★★★☆☆",IF(O54&gt;=1.5,"★★☆☆☆","★☆☆☆☆"))))))</f>
        <v>★★★★☆</v>
      </c>
      <c r="X54" s="115" t="str">
        <f>IF('Field Teams'!$I$55="Inactive","",IF(S54="","",IF(S54&gt;=4.5,"★★★★★",IF(S54&gt;=3.5,"★★★★☆",IF(S54&gt;=2.5,"★★★☆☆",IF(S54&gt;=1.5,"★★☆☆☆","★☆☆☆☆"))))))</f>
        <v>★★★★★</v>
      </c>
      <c r="Y54" s="115" t="str">
        <f>IF('Field Teams'!$I$55="Inactive","",IF(AO54="","",IF(AO54&gt;=4.5,"★★★★★",IF(AO54&gt;=3.5,"★★★★☆",IF(AO54&gt;=2.5,"★★★☆☆",IF(AO54&gt;=1.5,"★★☆☆☆","★☆☆☆☆"))))))</f>
        <v>★★★☆☆</v>
      </c>
      <c r="Z54" s="115" t="str">
        <f>IF('Field Teams'!$I$5="Inactive","",IF(T54="","",IF(T54&gt;=4.5,"★★★★★",IF(T54&gt;=3.5,"★★★★☆",IF(T54&gt;=2.5,"★★★☆☆",IF(T54&gt;=1.5,"★★☆☆☆","★☆☆☆☆"))))))</f>
        <v>★★★☆☆</v>
      </c>
      <c r="AA54" s="31" t="str">
        <f>IF('Field Teams'!$I$55="Inactive","",IF(M54="YES","HIGH",IF(Q54&lt;=Settings!$D$26,"HIGH",IF(T54&lt;=Settings!$D$23,"HIGH",IF(T54&lt;=Settings!$D$24,"MEDIUM","LOW")))))</f>
        <v>HIGH</v>
      </c>
      <c r="AB54" s="31">
        <f>IF('Field Teams'!$I$5="Inactive",-1,IFERROR((6-T54)+(77-ROW())*0.0001,0))</f>
        <v>3.1023000000000001</v>
      </c>
      <c r="AC54" s="35">
        <f>IF('Field Teams'!$I$5="Inactive",999,IFERROR((6-T54)+(ROW()-3)*0.0001,99))</f>
        <v>3.1051000000000002</v>
      </c>
      <c r="AD54" s="31">
        <f>IF('Field Teams'!$I$55="Inactive",999,IFERROR(AB54+(ROW()-3)*0.0001,99))</f>
        <v>3.1074000000000002</v>
      </c>
      <c r="AE54" s="29">
        <v>0</v>
      </c>
      <c r="AF54" s="31" t="str">
        <f>IF('Field Teams'!$I$55="Inactive","",IF(AA54="HIGH","YES - within 5 working days",""))</f>
        <v>YES - within 5 working days</v>
      </c>
      <c r="AG54" s="105"/>
      <c r="AH54" s="49">
        <f>IFERROR(SUMPRODUCT(ISNUMBER(SEARCH(B54,'Pole Results'!$A$13:$A$2000))*('Pole Results'!$B$13:$B$2000&gt;=$AG$3)*('Pole Results'!$B$13:$B$2000&lt;=$AE$3)),0)</f>
        <v>0</v>
      </c>
      <c r="AI54" s="49">
        <f>IFERROR(SUMPRODUCT(ISNUMBER(SEARCH(B54,'Pole Results'!$A$13:$A$2000))*('Pole Results'!$B$13:$B$2000&gt;=$AG$3)*('Pole Results'!$B$13:$B$2000&lt;=$AE$3)*('Pole Results'!$E$13:$E$2000="Compliant")),0)</f>
        <v>0</v>
      </c>
      <c r="AJ54" s="105"/>
      <c r="AK54" s="106">
        <f>IF('Field Teams'!$I$55="Inactive",-1,IF(AA54="HIGH",AB54,-1))</f>
        <v>3.1023000000000001</v>
      </c>
      <c r="AL54" s="106">
        <f>IF('Field Teams'!$I$55="Inactive",-1,IF(OR(AA54="HIGH",AA54="MEDIUM"),AB54,-1))</f>
        <v>3.1023000000000001</v>
      </c>
      <c r="AM54" t="str">
        <f>IF('Field Teams'!$I$55="Inactive","",IF(IFERROR(LOOKUP(2,1/('Historical Scores'!C55:N55&lt;&gt;""),'Historical Scores'!C55:N55),"")="","New",IF(T54=""," ",IF(T54&gt;IFERROR(LOOKUP(2,1/('Historical Scores'!C55:N55&lt;&gt;""),'Historical Scores'!C55:N55),""),"▲ Worsening",IF(T54&lt;IFERROR(LOOKUP(2,1/('Historical Scores'!C55:N55&lt;&gt;""),'Historical Scores'!C55:N55),""),"▼ Improving","► Stable")))))</f>
        <v>New</v>
      </c>
      <c r="AN54">
        <f>IFERROR(SUMPRODUCT((ISNUMBER(SEARCH(B54,'Data - SSV'!AE$6:AE$3000)))*('Data - SSV'!AF$6:AF$3000&gt;=(AJ$3-90))*('Data - SSV'!AF$6:AF$3000&lt;=AJ$3)*('Data - SSV'!AH$6:AH$3000&lt;&gt;"")),0)</f>
        <v>0</v>
      </c>
      <c r="AO54">
        <f>IF('Field Teams'!$I$55="Inactive","",IF(AN54=0,3,IF(AN54=1,IF(IFERROR(SUMPRODUCT((ISNUMBER(SEARCH(B54,'Data - SSV'!AE$6:AE$3000)))*('Data - SSV'!AF$6:AF$3000&gt;=(AJ$3-90))*('Data - SSV'!AF$6:AF$3000&lt;=AJ$3)*('Data - SSV'!AH$6:AH$3000&lt;&gt;"")*IF('Data - SSV'!AH$6:AH$3000="",0,'Data - SSV'!AH$6:AH$3000))/AN54,3)=4,4,IF(IFERROR(SUMPRODUCT((ISNUMBER(SEARCH(B54,'Data - SSV'!AE$6:AE$3000)))*('Data - SSV'!AF$6:AF$3000&gt;=(AJ$3-90))*('Data - SSV'!AF$6:AF$3000&lt;=AJ$3)*('Data - SSV'!AH$6:AH$3000&lt;&gt;"")*IF('Data - SSV'!AH$6:AH$3000="",0,'Data - SSV'!AH$6:AH$3000))/AN54,3)&gt;=3,3,IF(IFERROR(SUMPRODUCT((ISNUMBER(SEARCH(B54,'Data - SSV'!AE$6:AE$3000)))*('Data - SSV'!AF$6:AF$3000&gt;=(AJ$3-90))*('Data - SSV'!AF$6:AF$3000&lt;=AJ$3)*('Data - SSV'!AH$6:AH$3000&lt;&gt;"")*IF('Data - SSV'!AH$6:AH$3000="",0,'Data - SSV'!AH$6:AH$3000))/AN54,3)&gt;=2,2,1))),IF(IFERROR(SUMPRODUCT((ISNUMBER(SEARCH(B54,'Data - SSV'!AE$6:AE$3000)))*('Data - SSV'!AF$6:AF$3000&gt;=(AJ$3-90))*('Data - SSV'!AF$6:AF$3000&lt;=AJ$3)*('Data - SSV'!AH$6:AH$3000&lt;&gt;"")*IF('Data - SSV'!AH$6:AH$3000="",0,'Data - SSV'!AH$6:AH$3000))/AN54,3)=4,5,IF(IFERROR(SUMPRODUCT((ISNUMBER(SEARCH(B54,'Data - SSV'!AE$6:AE$3000)))*('Data - SSV'!AF$6:AF$3000&gt;=(AJ$3-90))*('Data - SSV'!AF$6:AF$3000&lt;=AJ$3)*('Data - SSV'!AH$6:AH$3000&lt;&gt;"")*IF('Data - SSV'!AH$6:AH$3000="",0,'Data - SSV'!AH$6:AH$3000))/AN54,3)&gt;=3.5,4,IF(IFERROR(SUMPRODUCT((ISNUMBER(SEARCH(B54,'Data - SSV'!AE$6:AE$3000)))*('Data - SSV'!AF$6:AF$3000&gt;=(AJ$3-90))*('Data - SSV'!AF$6:AF$3000&lt;=AJ$3)*('Data - SSV'!AH$6:AH$3000&lt;&gt;"")*IF('Data - SSV'!AH$6:AH$3000="",0,'Data - SSV'!AH$6:AH$3000))/AN54,3)&gt;=3,3,IF(IFERROR(SUMPRODUCT((ISNUMBER(SEARCH(B54,'Data - SSV'!AE$6:AE$3000)))*('Data - SSV'!AF$6:AF$3000&gt;=(AJ$3-90))*('Data - SSV'!AF$6:AF$3000&lt;=AJ$3)*('Data - SSV'!AH$6:AH$3000&lt;&gt;"")*IF('Data - SSV'!AH$6:AH$3000="",0,'Data - SSV'!AH$6:AH$3000))/AN54,3)&gt;=2,2,1)))))))</f>
        <v>3</v>
      </c>
    </row>
    <row r="55" spans="1:41" ht="19.5" customHeight="1" x14ac:dyDescent="0.15">
      <c r="A55" s="6" t="str">
        <f>'Field Teams'!A56</f>
        <v>FT-052</v>
      </c>
      <c r="B55" s="28" t="str">
        <f>'Field Teams'!B56</f>
        <v>Lincolnshire Hardwoods Jim</v>
      </c>
      <c r="C55" s="28" t="str">
        <f>'Field Teams'!C56</f>
        <v>Utility Arboriculture</v>
      </c>
      <c r="D55" s="6" t="str">
        <f>'Field Teams'!D56</f>
        <v>Donovan  Gosher</v>
      </c>
      <c r="E55" s="6" t="str">
        <f>'Field Teams'!E56</f>
        <v>Paul Shaw</v>
      </c>
      <c r="F55" s="6">
        <f>'Field Teams'!F56</f>
        <v>0</v>
      </c>
      <c r="G55" s="6">
        <f>'Field Teams'!G56</f>
        <v>0</v>
      </c>
      <c r="H55" s="31">
        <f>'Field Teams'!H56</f>
        <v>8</v>
      </c>
      <c r="I55" s="31">
        <f t="shared" si="5"/>
        <v>16</v>
      </c>
      <c r="J55" s="31">
        <f>IFERROR(SUMPRODUCT((((ISNUMBER(SEARCH(B55,'Data - HSQE Events'!V$6:V$3000))+ISNUMBER(SEARCH(B55,'Data - HSQE Events'!H$6:H$3000)))&gt;0))*('Data - HSQE Events'!F$6:F$3000&gt;=$AG$3)*('Data - HSQE Events'!F$6:F$3000&lt;=$AJ$3)*('Data - HSQE Events'!R$6:R$3000="Opportunity")),0)</f>
        <v>0</v>
      </c>
      <c r="K55" s="31">
        <f>IFERROR(SUMPRODUCT((((ISNUMBER(SEARCH(B55,'Data - HSQE Events'!V$6:V$3000))+ISNUMBER(SEARCH(B55,'Data - HSQE Events'!H$6:H$3000)))&gt;0))*('Data - HSQE Events'!F$6:F$3000&gt;=$AG$3)*('Data - HSQE Events'!F$6:F$3000&lt;=$AJ$3)*('Data - HSQE Events'!R$6:R$3000="Minor")),0)</f>
        <v>0</v>
      </c>
      <c r="L55" s="31">
        <f>IFERROR(SUMPRODUCT((((ISNUMBER(SEARCH(B55,'Data - HSQE Events'!V$6:V$3000))+ISNUMBER(SEARCH(B55,'Data - HSQE Events'!H$6:H$3000)))&gt;0))*('Data - HSQE Events'!F$6:F$3000&gt;=$AG$3)*('Data - HSQE Events'!F$6:F$3000&lt;=$AJ$3)*(('Data - HSQE Events'!R$6:R$3000="Moderate")+('Data - HSQE Events'!R$6:R$3000="Major"))),0)</f>
        <v>0</v>
      </c>
      <c r="M55" s="31" t="str">
        <f>IF(IFERROR(SUMPRODUCT((((ISNUMBER(SEARCH(B55,'Data - HSQE Events'!V$6:V$3000))+ISNUMBER(SEARCH(B55,'Data - HSQE Events'!H$6:H$3000)))&gt;0))*('Data - HSQE Events'!F$6:F$3000&gt;=$AG$3)*('Data - HSQE Events'!F$6:F$3000&lt;=$AJ$3)*('Data - HSQE Events'!R$6:R$3000="Major")),0)&gt;0,"YES","NO")</f>
        <v>NO</v>
      </c>
      <c r="N55" s="31">
        <f>IFERROR(SUMPRODUCT(('Data - Skillko'!B$6:B$3000=B55)*('Data - Skillko'!C$6:C$3000="Total")*('Data - Skillko'!E$6:E$3000))*100,0)</f>
        <v>65</v>
      </c>
      <c r="O55" s="31">
        <f t="shared" si="6"/>
        <v>3.6</v>
      </c>
      <c r="P55" s="31">
        <f>IFERROR(SUMPRODUCT(ISNUMBER(SEARCH(B55,'Pole Results'!$A$13:$A$2000))*('Pole Results'!$B$13:$B$2000&gt;=$AG$3)*('Pole Results'!$B$13:$B$2000&lt;=$AE$3)*('Pole Results'!$E$13:$E$2000="Non-Compliant")),0)</f>
        <v>0</v>
      </c>
      <c r="Q55" s="31">
        <f t="shared" si="7"/>
        <v>1</v>
      </c>
      <c r="R55" s="31">
        <f t="shared" si="8"/>
        <v>5</v>
      </c>
      <c r="S55" s="49">
        <f t="shared" si="9"/>
        <v>5</v>
      </c>
      <c r="T55" s="31">
        <f>IF('Field Teams'!$I$56="Inactive","",ROUND((Q55*Settings!$D$6+R55*Settings!$D$7+O55*Settings!$D$10+S55*Settings!$D$12+AO55*Settings!$D$13)/Settings!$D$14,1))</f>
        <v>2.9</v>
      </c>
      <c r="U55" s="115" t="str">
        <f>IF('Field Teams'!$I$56="Inactive","",IF(Q55="","",IF(Q55&gt;=4.5,"★★★★★",IF(Q55&gt;=3.5,"★★★★☆",IF(Q55&gt;=2.5,"★★★☆☆",IF(Q55&gt;=1.5,"★★☆☆☆","★☆☆☆☆"))))))</f>
        <v>★☆☆☆☆</v>
      </c>
      <c r="V55" s="115" t="str">
        <f>IF('Field Teams'!$I$56="Inactive","",IF(R55="","",IF(R55&gt;=4.5,"★★★★★",IF(R55&gt;=3.5,"★★★★☆",IF(R55&gt;=2.5,"★★★☆☆",IF(R55&gt;=1.5,"★★☆☆☆","★☆☆☆☆"))))))</f>
        <v>★★★★★</v>
      </c>
      <c r="W55" s="115" t="str">
        <f>IF('Field Teams'!$I$56="Inactive","",IF(O55="","",IF(O55&gt;=4.5,"★★★★★",IF(O55&gt;=3.5,"★★★★☆",IF(O55&gt;=2.5,"★★★☆☆",IF(O55&gt;=1.5,"★★☆☆☆","★☆☆☆☆"))))))</f>
        <v>★★★★☆</v>
      </c>
      <c r="X55" s="115" t="str">
        <f>IF('Field Teams'!$I$56="Inactive","",IF(S55="","",IF(S55&gt;=4.5,"★★★★★",IF(S55&gt;=3.5,"★★★★☆",IF(S55&gt;=2.5,"★★★☆☆",IF(S55&gt;=1.5,"★★☆☆☆","★☆☆☆☆"))))))</f>
        <v>★★★★★</v>
      </c>
      <c r="Y55" s="115" t="str">
        <f>IF('Field Teams'!$I$56="Inactive","",IF(AO55="","",IF(AO55&gt;=4.5,"★★★★★",IF(AO55&gt;=3.5,"★★★★☆",IF(AO55&gt;=2.5,"★★★☆☆",IF(AO55&gt;=1.5,"★★☆☆☆","★☆☆☆☆"))))))</f>
        <v>★★★☆☆</v>
      </c>
      <c r="Z55" s="115" t="str">
        <f>IF('Field Teams'!$I$5="Inactive","",IF(T55="","",IF(T55&gt;=4.5,"★★★★★",IF(T55&gt;=3.5,"★★★★☆",IF(T55&gt;=2.5,"★★★☆☆",IF(T55&gt;=1.5,"★★☆☆☆","★☆☆☆☆"))))))</f>
        <v>★★★☆☆</v>
      </c>
      <c r="AA55" s="31" t="str">
        <f>IF('Field Teams'!$I$56="Inactive","",IF(M55="YES","HIGH",IF(Q55&lt;=Settings!$D$26,"HIGH",IF(T55&lt;=Settings!$D$23,"HIGH",IF(T55&lt;=Settings!$D$24,"MEDIUM","LOW")))))</f>
        <v>HIGH</v>
      </c>
      <c r="AB55" s="31">
        <f>IF('Field Teams'!$I$5="Inactive",-1,IFERROR((6-T55)+(77-ROW())*0.0001,0))</f>
        <v>3.1022000000000003</v>
      </c>
      <c r="AC55" s="35">
        <f>IF('Field Teams'!$I$5="Inactive",999,IFERROR((6-T55)+(ROW()-3)*0.0001,99))</f>
        <v>3.1052</v>
      </c>
      <c r="AD55" s="31">
        <f>IF('Field Teams'!$I$56="Inactive",999,IFERROR(AB55+(ROW()-3)*0.0001,99))</f>
        <v>3.1074000000000002</v>
      </c>
      <c r="AE55" s="29">
        <v>0</v>
      </c>
      <c r="AF55" s="31" t="str">
        <f>IF('Field Teams'!$I$56="Inactive","",IF(AA55="HIGH","YES - within 5 working days",""))</f>
        <v>YES - within 5 working days</v>
      </c>
      <c r="AG55" s="105"/>
      <c r="AH55" s="49">
        <f>IFERROR(SUMPRODUCT(ISNUMBER(SEARCH(B55,'Pole Results'!$A$13:$A$2000))*('Pole Results'!$B$13:$B$2000&gt;=$AG$3)*('Pole Results'!$B$13:$B$2000&lt;=$AE$3)),0)</f>
        <v>0</v>
      </c>
      <c r="AI55" s="49">
        <f>IFERROR(SUMPRODUCT(ISNUMBER(SEARCH(B55,'Pole Results'!$A$13:$A$2000))*('Pole Results'!$B$13:$B$2000&gt;=$AG$3)*('Pole Results'!$B$13:$B$2000&lt;=$AE$3)*('Pole Results'!$E$13:$E$2000="Compliant")),0)</f>
        <v>0</v>
      </c>
      <c r="AJ55" s="105"/>
      <c r="AK55" s="106">
        <f>IF('Field Teams'!$I$56="Inactive",-1,IF(AA55="HIGH",AB55,-1))</f>
        <v>3.1022000000000003</v>
      </c>
      <c r="AL55" s="106">
        <f>IF('Field Teams'!$I$56="Inactive",-1,IF(OR(AA55="HIGH",AA55="MEDIUM"),AB55,-1))</f>
        <v>3.1022000000000003</v>
      </c>
      <c r="AM55" t="str">
        <f>IF('Field Teams'!$I$56="Inactive","",IF(IFERROR(LOOKUP(2,1/('Historical Scores'!C56:N56&lt;&gt;""),'Historical Scores'!C56:N56),"")="","New",IF(T55=""," ",IF(T55&gt;IFERROR(LOOKUP(2,1/('Historical Scores'!C56:N56&lt;&gt;""),'Historical Scores'!C56:N56),""),"▲ Worsening",IF(T55&lt;IFERROR(LOOKUP(2,1/('Historical Scores'!C56:N56&lt;&gt;""),'Historical Scores'!C56:N56),""),"▼ Improving","► Stable")))))</f>
        <v>New</v>
      </c>
      <c r="AN55">
        <f>IFERROR(SUMPRODUCT((ISNUMBER(SEARCH(B55,'Data - SSV'!AE$6:AE$3000)))*('Data - SSV'!AF$6:AF$3000&gt;=(AJ$3-90))*('Data - SSV'!AF$6:AF$3000&lt;=AJ$3)*('Data - SSV'!AH$6:AH$3000&lt;&gt;"")),0)</f>
        <v>0</v>
      </c>
      <c r="AO55">
        <f>IF('Field Teams'!$I$56="Inactive","",IF(AN55=0,3,IF(AN55=1,IF(IFERROR(SUMPRODUCT((ISNUMBER(SEARCH(B55,'Data - SSV'!AE$6:AE$3000)))*('Data - SSV'!AF$6:AF$3000&gt;=(AJ$3-90))*('Data - SSV'!AF$6:AF$3000&lt;=AJ$3)*('Data - SSV'!AH$6:AH$3000&lt;&gt;"")*IF('Data - SSV'!AH$6:AH$3000="",0,'Data - SSV'!AH$6:AH$3000))/AN55,3)=4,4,IF(IFERROR(SUMPRODUCT((ISNUMBER(SEARCH(B55,'Data - SSV'!AE$6:AE$3000)))*('Data - SSV'!AF$6:AF$3000&gt;=(AJ$3-90))*('Data - SSV'!AF$6:AF$3000&lt;=AJ$3)*('Data - SSV'!AH$6:AH$3000&lt;&gt;"")*IF('Data - SSV'!AH$6:AH$3000="",0,'Data - SSV'!AH$6:AH$3000))/AN55,3)&gt;=3,3,IF(IFERROR(SUMPRODUCT((ISNUMBER(SEARCH(B55,'Data - SSV'!AE$6:AE$3000)))*('Data - SSV'!AF$6:AF$3000&gt;=(AJ$3-90))*('Data - SSV'!AF$6:AF$3000&lt;=AJ$3)*('Data - SSV'!AH$6:AH$3000&lt;&gt;"")*IF('Data - SSV'!AH$6:AH$3000="",0,'Data - SSV'!AH$6:AH$3000))/AN55,3)&gt;=2,2,1))),IF(IFERROR(SUMPRODUCT((ISNUMBER(SEARCH(B55,'Data - SSV'!AE$6:AE$3000)))*('Data - SSV'!AF$6:AF$3000&gt;=(AJ$3-90))*('Data - SSV'!AF$6:AF$3000&lt;=AJ$3)*('Data - SSV'!AH$6:AH$3000&lt;&gt;"")*IF('Data - SSV'!AH$6:AH$3000="",0,'Data - SSV'!AH$6:AH$3000))/AN55,3)=4,5,IF(IFERROR(SUMPRODUCT((ISNUMBER(SEARCH(B55,'Data - SSV'!AE$6:AE$3000)))*('Data - SSV'!AF$6:AF$3000&gt;=(AJ$3-90))*('Data - SSV'!AF$6:AF$3000&lt;=AJ$3)*('Data - SSV'!AH$6:AH$3000&lt;&gt;"")*IF('Data - SSV'!AH$6:AH$3000="",0,'Data - SSV'!AH$6:AH$3000))/AN55,3)&gt;=3.5,4,IF(IFERROR(SUMPRODUCT((ISNUMBER(SEARCH(B55,'Data - SSV'!AE$6:AE$3000)))*('Data - SSV'!AF$6:AF$3000&gt;=(AJ$3-90))*('Data - SSV'!AF$6:AF$3000&lt;=AJ$3)*('Data - SSV'!AH$6:AH$3000&lt;&gt;"")*IF('Data - SSV'!AH$6:AH$3000="",0,'Data - SSV'!AH$6:AH$3000))/AN55,3)&gt;=3,3,IF(IFERROR(SUMPRODUCT((ISNUMBER(SEARCH(B55,'Data - SSV'!AE$6:AE$3000)))*('Data - SSV'!AF$6:AF$3000&gt;=(AJ$3-90))*('Data - SSV'!AF$6:AF$3000&lt;=AJ$3)*('Data - SSV'!AH$6:AH$3000&lt;&gt;"")*IF('Data - SSV'!AH$6:AH$3000="",0,'Data - SSV'!AH$6:AH$3000))/AN55,3)&gt;=2,2,1)))))))</f>
        <v>3</v>
      </c>
    </row>
    <row r="56" spans="1:41" ht="19.5" customHeight="1" x14ac:dyDescent="0.15">
      <c r="A56" s="10" t="str">
        <f>'Field Teams'!A57</f>
        <v>FT-053</v>
      </c>
      <c r="B56" s="30" t="str">
        <f>'Field Teams'!B57</f>
        <v>Mmtreescape Tree Services Ltd</v>
      </c>
      <c r="C56" s="30" t="str">
        <f>'Field Teams'!C57</f>
        <v>Utility Arboriculture</v>
      </c>
      <c r="D56" s="10" t="str">
        <f>'Field Teams'!D57</f>
        <v>Donovan  Gosher</v>
      </c>
      <c r="E56" s="10" t="str">
        <f>'Field Teams'!E57</f>
        <v>Paul Shaw</v>
      </c>
      <c r="F56" s="10">
        <f>'Field Teams'!F57</f>
        <v>0</v>
      </c>
      <c r="G56" s="10">
        <f>'Field Teams'!G57</f>
        <v>0</v>
      </c>
      <c r="H56" s="31">
        <f>'Field Teams'!H57</f>
        <v>6</v>
      </c>
      <c r="I56" s="31">
        <f t="shared" si="5"/>
        <v>12</v>
      </c>
      <c r="J56" s="31">
        <f>IFERROR(SUMPRODUCT((((ISNUMBER(SEARCH(B56,'Data - HSQE Events'!V$6:V$3000))+ISNUMBER(SEARCH(B56,'Data - HSQE Events'!H$6:H$3000)))&gt;0))*('Data - HSQE Events'!F$6:F$3000&gt;=$AG$3)*('Data - HSQE Events'!F$6:F$3000&lt;=$AJ$3)*('Data - HSQE Events'!R$6:R$3000="Opportunity")),0)</f>
        <v>0</v>
      </c>
      <c r="K56" s="31">
        <f>IFERROR(SUMPRODUCT((((ISNUMBER(SEARCH(B56,'Data - HSQE Events'!V$6:V$3000))+ISNUMBER(SEARCH(B56,'Data - HSQE Events'!H$6:H$3000)))&gt;0))*('Data - HSQE Events'!F$6:F$3000&gt;=$AG$3)*('Data - HSQE Events'!F$6:F$3000&lt;=$AJ$3)*('Data - HSQE Events'!R$6:R$3000="Minor")),0)</f>
        <v>0</v>
      </c>
      <c r="L56" s="31">
        <f>IFERROR(SUMPRODUCT((((ISNUMBER(SEARCH(B56,'Data - HSQE Events'!V$6:V$3000))+ISNUMBER(SEARCH(B56,'Data - HSQE Events'!H$6:H$3000)))&gt;0))*('Data - HSQE Events'!F$6:F$3000&gt;=$AG$3)*('Data - HSQE Events'!F$6:F$3000&lt;=$AJ$3)*(('Data - HSQE Events'!R$6:R$3000="Moderate")+('Data - HSQE Events'!R$6:R$3000="Major"))),0)</f>
        <v>0</v>
      </c>
      <c r="M56" s="31" t="str">
        <f>IF(IFERROR(SUMPRODUCT((((ISNUMBER(SEARCH(B56,'Data - HSQE Events'!V$6:V$3000))+ISNUMBER(SEARCH(B56,'Data - HSQE Events'!H$6:H$3000)))&gt;0))*('Data - HSQE Events'!F$6:F$3000&gt;=$AG$3)*('Data - HSQE Events'!F$6:F$3000&lt;=$AJ$3)*('Data - HSQE Events'!R$6:R$3000="Major")),0)&gt;0,"YES","NO")</f>
        <v>NO</v>
      </c>
      <c r="N56" s="31">
        <f>IFERROR(SUMPRODUCT(('Data - Skillko'!B$6:B$3000=B56)*('Data - Skillko'!C$6:C$3000="Total")*('Data - Skillko'!E$6:E$3000))*100,0)</f>
        <v>70</v>
      </c>
      <c r="O56" s="31">
        <f t="shared" si="6"/>
        <v>3.8</v>
      </c>
      <c r="P56" s="31">
        <f>IFERROR(SUMPRODUCT(ISNUMBER(SEARCH(B56,'Pole Results'!$A$13:$A$2000))*('Pole Results'!$B$13:$B$2000&gt;=$AG$3)*('Pole Results'!$B$13:$B$2000&lt;=$AE$3)*('Pole Results'!$E$13:$E$2000="Non-Compliant")),0)</f>
        <v>0</v>
      </c>
      <c r="Q56" s="31">
        <f t="shared" si="7"/>
        <v>1</v>
      </c>
      <c r="R56" s="31">
        <f t="shared" si="8"/>
        <v>5</v>
      </c>
      <c r="S56" s="49">
        <f t="shared" si="9"/>
        <v>5</v>
      </c>
      <c r="T56" s="31">
        <f>IF('Field Teams'!$I$57="Inactive","",ROUND((Q56*Settings!$D$6+R56*Settings!$D$7+O56*Settings!$D$10+S56*Settings!$D$12+AO56*Settings!$D$13)/Settings!$D$14,1))</f>
        <v>2.9</v>
      </c>
      <c r="U56" s="115" t="str">
        <f>IF('Field Teams'!$I$57="Inactive","",IF(Q56="","",IF(Q56&gt;=4.5,"★★★★★",IF(Q56&gt;=3.5,"★★★★☆",IF(Q56&gt;=2.5,"★★★☆☆",IF(Q56&gt;=1.5,"★★☆☆☆","★☆☆☆☆"))))))</f>
        <v>★☆☆☆☆</v>
      </c>
      <c r="V56" s="115" t="str">
        <f>IF('Field Teams'!$I$57="Inactive","",IF(R56="","",IF(R56&gt;=4.5,"★★★★★",IF(R56&gt;=3.5,"★★★★☆",IF(R56&gt;=2.5,"★★★☆☆",IF(R56&gt;=1.5,"★★☆☆☆","★☆☆☆☆"))))))</f>
        <v>★★★★★</v>
      </c>
      <c r="W56" s="115" t="str">
        <f>IF('Field Teams'!$I$57="Inactive","",IF(O56="","",IF(O56&gt;=4.5,"★★★★★",IF(O56&gt;=3.5,"★★★★☆",IF(O56&gt;=2.5,"★★★☆☆",IF(O56&gt;=1.5,"★★☆☆☆","★☆☆☆☆"))))))</f>
        <v>★★★★☆</v>
      </c>
      <c r="X56" s="115" t="str">
        <f>IF('Field Teams'!$I$57="Inactive","",IF(S56="","",IF(S56&gt;=4.5,"★★★★★",IF(S56&gt;=3.5,"★★★★☆",IF(S56&gt;=2.5,"★★★☆☆",IF(S56&gt;=1.5,"★★☆☆☆","★☆☆☆☆"))))))</f>
        <v>★★★★★</v>
      </c>
      <c r="Y56" s="115" t="str">
        <f>IF('Field Teams'!$I$57="Inactive","",IF(AO56="","",IF(AO56&gt;=4.5,"★★★★★",IF(AO56&gt;=3.5,"★★★★☆",IF(AO56&gt;=2.5,"★★★☆☆",IF(AO56&gt;=1.5,"★★☆☆☆","★☆☆☆☆"))))))</f>
        <v>★★★☆☆</v>
      </c>
      <c r="Z56" s="115" t="str">
        <f>IF('Field Teams'!$I$5="Inactive","",IF(T56="","",IF(T56&gt;=4.5,"★★★★★",IF(T56&gt;=3.5,"★★★★☆",IF(T56&gt;=2.5,"★★★☆☆",IF(T56&gt;=1.5,"★★☆☆☆","★☆☆☆☆"))))))</f>
        <v>★★★☆☆</v>
      </c>
      <c r="AA56" s="31" t="str">
        <f>IF('Field Teams'!$I$57="Inactive","",IF(M56="YES","HIGH",IF(Q56&lt;=Settings!$D$26,"HIGH",IF(T56&lt;=Settings!$D$23,"HIGH",IF(T56&lt;=Settings!$D$24,"MEDIUM","LOW")))))</f>
        <v>HIGH</v>
      </c>
      <c r="AB56" s="31">
        <f>IF('Field Teams'!$I$5="Inactive",-1,IFERROR((6-T56)+(77-ROW())*0.0001,0))</f>
        <v>3.1021000000000001</v>
      </c>
      <c r="AC56" s="35">
        <f>IF('Field Teams'!$I$5="Inactive",999,IFERROR((6-T56)+(ROW()-3)*0.0001,99))</f>
        <v>3.1053000000000002</v>
      </c>
      <c r="AD56" s="31">
        <f>IF('Field Teams'!$I$57="Inactive",999,IFERROR(AB56+(ROW()-3)*0.0001,99))</f>
        <v>3.1074000000000002</v>
      </c>
      <c r="AE56" s="29">
        <v>0</v>
      </c>
      <c r="AF56" s="31" t="str">
        <f>IF('Field Teams'!$I$57="Inactive","",IF(AA56="HIGH","YES - within 5 working days",""))</f>
        <v>YES - within 5 working days</v>
      </c>
      <c r="AG56" s="105"/>
      <c r="AH56" s="49">
        <f>IFERROR(SUMPRODUCT(ISNUMBER(SEARCH(B56,'Pole Results'!$A$13:$A$2000))*('Pole Results'!$B$13:$B$2000&gt;=$AG$3)*('Pole Results'!$B$13:$B$2000&lt;=$AE$3)),0)</f>
        <v>0</v>
      </c>
      <c r="AI56" s="49">
        <f>IFERROR(SUMPRODUCT(ISNUMBER(SEARCH(B56,'Pole Results'!$A$13:$A$2000))*('Pole Results'!$B$13:$B$2000&gt;=$AG$3)*('Pole Results'!$B$13:$B$2000&lt;=$AE$3)*('Pole Results'!$E$13:$E$2000="Compliant")),0)</f>
        <v>0</v>
      </c>
      <c r="AJ56" s="105"/>
      <c r="AK56" s="106">
        <f>IF('Field Teams'!$I$57="Inactive",-1,IF(AA56="HIGH",AB56,-1))</f>
        <v>3.1021000000000001</v>
      </c>
      <c r="AL56" s="106">
        <f>IF('Field Teams'!$I$57="Inactive",-1,IF(OR(AA56="HIGH",AA56="MEDIUM"),AB56,-1))</f>
        <v>3.1021000000000001</v>
      </c>
      <c r="AM56" t="str">
        <f>IF('Field Teams'!$I$57="Inactive","",IF(IFERROR(LOOKUP(2,1/('Historical Scores'!C57:N57&lt;&gt;""),'Historical Scores'!C57:N57),"")="","New",IF(T56=""," ",IF(T56&gt;IFERROR(LOOKUP(2,1/('Historical Scores'!C57:N57&lt;&gt;""),'Historical Scores'!C57:N57),""),"▲ Worsening",IF(T56&lt;IFERROR(LOOKUP(2,1/('Historical Scores'!C57:N57&lt;&gt;""),'Historical Scores'!C57:N57),""),"▼ Improving","► Stable")))))</f>
        <v>New</v>
      </c>
      <c r="AN56">
        <f>IFERROR(SUMPRODUCT((ISNUMBER(SEARCH(B56,'Data - SSV'!AE$6:AE$3000)))*('Data - SSV'!AF$6:AF$3000&gt;=(AJ$3-90))*('Data - SSV'!AF$6:AF$3000&lt;=AJ$3)*('Data - SSV'!AH$6:AH$3000&lt;&gt;"")),0)</f>
        <v>0</v>
      </c>
      <c r="AO56">
        <f>IF('Field Teams'!$I$57="Inactive","",IF(AN56=0,3,IF(AN56=1,IF(IFERROR(SUMPRODUCT((ISNUMBER(SEARCH(B56,'Data - SSV'!AE$6:AE$3000)))*('Data - SSV'!AF$6:AF$3000&gt;=(AJ$3-90))*('Data - SSV'!AF$6:AF$3000&lt;=AJ$3)*('Data - SSV'!AH$6:AH$3000&lt;&gt;"")*IF('Data - SSV'!AH$6:AH$3000="",0,'Data - SSV'!AH$6:AH$3000))/AN56,3)=4,4,IF(IFERROR(SUMPRODUCT((ISNUMBER(SEARCH(B56,'Data - SSV'!AE$6:AE$3000)))*('Data - SSV'!AF$6:AF$3000&gt;=(AJ$3-90))*('Data - SSV'!AF$6:AF$3000&lt;=AJ$3)*('Data - SSV'!AH$6:AH$3000&lt;&gt;"")*IF('Data - SSV'!AH$6:AH$3000="",0,'Data - SSV'!AH$6:AH$3000))/AN56,3)&gt;=3,3,IF(IFERROR(SUMPRODUCT((ISNUMBER(SEARCH(B56,'Data - SSV'!AE$6:AE$3000)))*('Data - SSV'!AF$6:AF$3000&gt;=(AJ$3-90))*('Data - SSV'!AF$6:AF$3000&lt;=AJ$3)*('Data - SSV'!AH$6:AH$3000&lt;&gt;"")*IF('Data - SSV'!AH$6:AH$3000="",0,'Data - SSV'!AH$6:AH$3000))/AN56,3)&gt;=2,2,1))),IF(IFERROR(SUMPRODUCT((ISNUMBER(SEARCH(B56,'Data - SSV'!AE$6:AE$3000)))*('Data - SSV'!AF$6:AF$3000&gt;=(AJ$3-90))*('Data - SSV'!AF$6:AF$3000&lt;=AJ$3)*('Data - SSV'!AH$6:AH$3000&lt;&gt;"")*IF('Data - SSV'!AH$6:AH$3000="",0,'Data - SSV'!AH$6:AH$3000))/AN56,3)=4,5,IF(IFERROR(SUMPRODUCT((ISNUMBER(SEARCH(B56,'Data - SSV'!AE$6:AE$3000)))*('Data - SSV'!AF$6:AF$3000&gt;=(AJ$3-90))*('Data - SSV'!AF$6:AF$3000&lt;=AJ$3)*('Data - SSV'!AH$6:AH$3000&lt;&gt;"")*IF('Data - SSV'!AH$6:AH$3000="",0,'Data - SSV'!AH$6:AH$3000))/AN56,3)&gt;=3.5,4,IF(IFERROR(SUMPRODUCT((ISNUMBER(SEARCH(B56,'Data - SSV'!AE$6:AE$3000)))*('Data - SSV'!AF$6:AF$3000&gt;=(AJ$3-90))*('Data - SSV'!AF$6:AF$3000&lt;=AJ$3)*('Data - SSV'!AH$6:AH$3000&lt;&gt;"")*IF('Data - SSV'!AH$6:AH$3000="",0,'Data - SSV'!AH$6:AH$3000))/AN56,3)&gt;=3,3,IF(IFERROR(SUMPRODUCT((ISNUMBER(SEARCH(B56,'Data - SSV'!AE$6:AE$3000)))*('Data - SSV'!AF$6:AF$3000&gt;=(AJ$3-90))*('Data - SSV'!AF$6:AF$3000&lt;=AJ$3)*('Data - SSV'!AH$6:AH$3000&lt;&gt;"")*IF('Data - SSV'!AH$6:AH$3000="",0,'Data - SSV'!AH$6:AH$3000))/AN56,3)&gt;=2,2,1)))))))</f>
        <v>3</v>
      </c>
    </row>
    <row r="57" spans="1:41" ht="19.5" customHeight="1" x14ac:dyDescent="0.15">
      <c r="A57" s="6" t="str">
        <f>'Field Teams'!A58</f>
        <v>FT-054</v>
      </c>
      <c r="B57" s="28" t="str">
        <f>'Field Teams'!B58</f>
        <v>New Leaf Arb Ltd</v>
      </c>
      <c r="C57" s="28" t="str">
        <f>'Field Teams'!C58</f>
        <v>Utility Arboriculture</v>
      </c>
      <c r="D57" s="6" t="str">
        <f>'Field Teams'!D58</f>
        <v>Donovan  Gosher</v>
      </c>
      <c r="E57" s="6" t="str">
        <f>'Field Teams'!E58</f>
        <v>Paul Shaw</v>
      </c>
      <c r="F57" s="6">
        <f>'Field Teams'!F58</f>
        <v>0</v>
      </c>
      <c r="G57" s="6">
        <f>'Field Teams'!G58</f>
        <v>0</v>
      </c>
      <c r="H57" s="31">
        <f>'Field Teams'!H58</f>
        <v>3</v>
      </c>
      <c r="I57" s="31">
        <f t="shared" si="5"/>
        <v>6</v>
      </c>
      <c r="J57" s="31">
        <f>IFERROR(SUMPRODUCT((((ISNUMBER(SEARCH(B57,'Data - HSQE Events'!V$6:V$3000))+ISNUMBER(SEARCH(B57,'Data - HSQE Events'!H$6:H$3000)))&gt;0))*('Data - HSQE Events'!F$6:F$3000&gt;=$AG$3)*('Data - HSQE Events'!F$6:F$3000&lt;=$AJ$3)*('Data - HSQE Events'!R$6:R$3000="Opportunity")),0)</f>
        <v>0</v>
      </c>
      <c r="K57" s="31">
        <f>IFERROR(SUMPRODUCT((((ISNUMBER(SEARCH(B57,'Data - HSQE Events'!V$6:V$3000))+ISNUMBER(SEARCH(B57,'Data - HSQE Events'!H$6:H$3000)))&gt;0))*('Data - HSQE Events'!F$6:F$3000&gt;=$AG$3)*('Data - HSQE Events'!F$6:F$3000&lt;=$AJ$3)*('Data - HSQE Events'!R$6:R$3000="Minor")),0)</f>
        <v>0</v>
      </c>
      <c r="L57" s="31">
        <f>IFERROR(SUMPRODUCT((((ISNUMBER(SEARCH(B57,'Data - HSQE Events'!V$6:V$3000))+ISNUMBER(SEARCH(B57,'Data - HSQE Events'!H$6:H$3000)))&gt;0))*('Data - HSQE Events'!F$6:F$3000&gt;=$AG$3)*('Data - HSQE Events'!F$6:F$3000&lt;=$AJ$3)*(('Data - HSQE Events'!R$6:R$3000="Moderate")+('Data - HSQE Events'!R$6:R$3000="Major"))),0)</f>
        <v>0</v>
      </c>
      <c r="M57" s="31" t="str">
        <f>IF(IFERROR(SUMPRODUCT((((ISNUMBER(SEARCH(B57,'Data - HSQE Events'!V$6:V$3000))+ISNUMBER(SEARCH(B57,'Data - HSQE Events'!H$6:H$3000)))&gt;0))*('Data - HSQE Events'!F$6:F$3000&gt;=$AG$3)*('Data - HSQE Events'!F$6:F$3000&lt;=$AJ$3)*('Data - HSQE Events'!R$6:R$3000="Major")),0)&gt;0,"YES","NO")</f>
        <v>NO</v>
      </c>
      <c r="N57" s="31">
        <f>IFERROR(SUMPRODUCT(('Data - Skillko'!B$6:B$3000=B57)*('Data - Skillko'!C$6:C$3000="Total")*('Data - Skillko'!E$6:E$3000))*100,0)</f>
        <v>51</v>
      </c>
      <c r="O57" s="31">
        <f t="shared" si="6"/>
        <v>3</v>
      </c>
      <c r="P57" s="31">
        <f>IFERROR(SUMPRODUCT(ISNUMBER(SEARCH(B57,'Pole Results'!$A$13:$A$2000))*('Pole Results'!$B$13:$B$2000&gt;=$AG$3)*('Pole Results'!$B$13:$B$2000&lt;=$AE$3)*('Pole Results'!$E$13:$E$2000="Non-Compliant")),0)</f>
        <v>0</v>
      </c>
      <c r="Q57" s="31">
        <f t="shared" si="7"/>
        <v>1</v>
      </c>
      <c r="R57" s="31">
        <f t="shared" si="8"/>
        <v>5</v>
      </c>
      <c r="S57" s="49">
        <f t="shared" si="9"/>
        <v>5</v>
      </c>
      <c r="T57" s="31">
        <f>IF('Field Teams'!$I$58="Inactive","",ROUND((Q57*Settings!$D$6+R57*Settings!$D$7+O57*Settings!$D$10+S57*Settings!$D$12+AO57*Settings!$D$13)/Settings!$D$14,1))</f>
        <v>2.8</v>
      </c>
      <c r="U57" s="115" t="str">
        <f>IF('Field Teams'!$I$58="Inactive","",IF(Q57="","",IF(Q57&gt;=4.5,"★★★★★",IF(Q57&gt;=3.5,"★★★★☆",IF(Q57&gt;=2.5,"★★★☆☆",IF(Q57&gt;=1.5,"★★☆☆☆","★☆☆☆☆"))))))</f>
        <v>★☆☆☆☆</v>
      </c>
      <c r="V57" s="115" t="str">
        <f>IF('Field Teams'!$I$58="Inactive","",IF(R57="","",IF(R57&gt;=4.5,"★★★★★",IF(R57&gt;=3.5,"★★★★☆",IF(R57&gt;=2.5,"★★★☆☆",IF(R57&gt;=1.5,"★★☆☆☆","★☆☆☆☆"))))))</f>
        <v>★★★★★</v>
      </c>
      <c r="W57" s="115" t="str">
        <f>IF('Field Teams'!$I$58="Inactive","",IF(O57="","",IF(O57&gt;=4.5,"★★★★★",IF(O57&gt;=3.5,"★★★★☆",IF(O57&gt;=2.5,"★★★☆☆",IF(O57&gt;=1.5,"★★☆☆☆","★☆☆☆☆"))))))</f>
        <v>★★★☆☆</v>
      </c>
      <c r="X57" s="115" t="str">
        <f>IF('Field Teams'!$I$58="Inactive","",IF(S57="","",IF(S57&gt;=4.5,"★★★★★",IF(S57&gt;=3.5,"★★★★☆",IF(S57&gt;=2.5,"★★★☆☆",IF(S57&gt;=1.5,"★★☆☆☆","★☆☆☆☆"))))))</f>
        <v>★★★★★</v>
      </c>
      <c r="Y57" s="115" t="str">
        <f>IF('Field Teams'!$I$58="Inactive","",IF(AO57="","",IF(AO57&gt;=4.5,"★★★★★",IF(AO57&gt;=3.5,"★★★★☆",IF(AO57&gt;=2.5,"★★★☆☆",IF(AO57&gt;=1.5,"★★☆☆☆","★☆☆☆☆"))))))</f>
        <v>★★★☆☆</v>
      </c>
      <c r="Z57" s="115" t="str">
        <f>IF('Field Teams'!$I$5="Inactive","",IF(T57="","",IF(T57&gt;=4.5,"★★★★★",IF(T57&gt;=3.5,"★★★★☆",IF(T57&gt;=2.5,"★★★☆☆",IF(T57&gt;=1.5,"★★☆☆☆","★☆☆☆☆"))))))</f>
        <v>★★★☆☆</v>
      </c>
      <c r="AA57" s="31" t="str">
        <f>IF('Field Teams'!$I$58="Inactive","",IF(M57="YES","HIGH",IF(Q57&lt;=Settings!$D$26,"HIGH",IF(T57&lt;=Settings!$D$23,"HIGH",IF(T57&lt;=Settings!$D$24,"MEDIUM","LOW")))))</f>
        <v>HIGH</v>
      </c>
      <c r="AB57" s="31">
        <f>IF('Field Teams'!$I$5="Inactive",-1,IFERROR((6-T57)+(77-ROW())*0.0001,0))</f>
        <v>3.202</v>
      </c>
      <c r="AC57" s="35">
        <f>IF('Field Teams'!$I$5="Inactive",999,IFERROR((6-T57)+(ROW()-3)*0.0001,99))</f>
        <v>3.2054</v>
      </c>
      <c r="AD57" s="31">
        <f>IF('Field Teams'!$I$58="Inactive",999,IFERROR(AB57+(ROW()-3)*0.0001,99))</f>
        <v>3.2073999999999998</v>
      </c>
      <c r="AE57" s="29">
        <v>0</v>
      </c>
      <c r="AF57" s="31" t="str">
        <f>IF('Field Teams'!$I$58="Inactive","",IF(AA57="HIGH","YES - within 5 working days",""))</f>
        <v>YES - within 5 working days</v>
      </c>
      <c r="AG57" s="105"/>
      <c r="AH57" s="49">
        <f>IFERROR(SUMPRODUCT(ISNUMBER(SEARCH(B57,'Pole Results'!$A$13:$A$2000))*('Pole Results'!$B$13:$B$2000&gt;=$AG$3)*('Pole Results'!$B$13:$B$2000&lt;=$AE$3)),0)</f>
        <v>0</v>
      </c>
      <c r="AI57" s="49">
        <f>IFERROR(SUMPRODUCT(ISNUMBER(SEARCH(B57,'Pole Results'!$A$13:$A$2000))*('Pole Results'!$B$13:$B$2000&gt;=$AG$3)*('Pole Results'!$B$13:$B$2000&lt;=$AE$3)*('Pole Results'!$E$13:$E$2000="Compliant")),0)</f>
        <v>0</v>
      </c>
      <c r="AJ57" s="105"/>
      <c r="AK57" s="106">
        <f>IF('Field Teams'!$I$58="Inactive",-1,IF(AA57="HIGH",AB57,-1))</f>
        <v>3.202</v>
      </c>
      <c r="AL57" s="106">
        <f>IF('Field Teams'!$I$58="Inactive",-1,IF(OR(AA57="HIGH",AA57="MEDIUM"),AB57,-1))</f>
        <v>3.202</v>
      </c>
      <c r="AM57" t="str">
        <f>IF('Field Teams'!$I$58="Inactive","",IF(IFERROR(LOOKUP(2,1/('Historical Scores'!C58:N58&lt;&gt;""),'Historical Scores'!C58:N58),"")="","New",IF(T57=""," ",IF(T57&gt;IFERROR(LOOKUP(2,1/('Historical Scores'!C58:N58&lt;&gt;""),'Historical Scores'!C58:N58),""),"▲ Worsening",IF(T57&lt;IFERROR(LOOKUP(2,1/('Historical Scores'!C58:N58&lt;&gt;""),'Historical Scores'!C58:N58),""),"▼ Improving","► Stable")))))</f>
        <v>New</v>
      </c>
      <c r="AN57">
        <f>IFERROR(SUMPRODUCT((ISNUMBER(SEARCH(B57,'Data - SSV'!AE$6:AE$3000)))*('Data - SSV'!AF$6:AF$3000&gt;=(AJ$3-90))*('Data - SSV'!AF$6:AF$3000&lt;=AJ$3)*('Data - SSV'!AH$6:AH$3000&lt;&gt;"")),0)</f>
        <v>0</v>
      </c>
      <c r="AO57">
        <f>IF('Field Teams'!$I$58="Inactive","",IF(AN57=0,3,IF(AN57=1,IF(IFERROR(SUMPRODUCT((ISNUMBER(SEARCH(B57,'Data - SSV'!AE$6:AE$3000)))*('Data - SSV'!AF$6:AF$3000&gt;=(AJ$3-90))*('Data - SSV'!AF$6:AF$3000&lt;=AJ$3)*('Data - SSV'!AH$6:AH$3000&lt;&gt;"")*IF('Data - SSV'!AH$6:AH$3000="",0,'Data - SSV'!AH$6:AH$3000))/AN57,3)=4,4,IF(IFERROR(SUMPRODUCT((ISNUMBER(SEARCH(B57,'Data - SSV'!AE$6:AE$3000)))*('Data - SSV'!AF$6:AF$3000&gt;=(AJ$3-90))*('Data - SSV'!AF$6:AF$3000&lt;=AJ$3)*('Data - SSV'!AH$6:AH$3000&lt;&gt;"")*IF('Data - SSV'!AH$6:AH$3000="",0,'Data - SSV'!AH$6:AH$3000))/AN57,3)&gt;=3,3,IF(IFERROR(SUMPRODUCT((ISNUMBER(SEARCH(B57,'Data - SSV'!AE$6:AE$3000)))*('Data - SSV'!AF$6:AF$3000&gt;=(AJ$3-90))*('Data - SSV'!AF$6:AF$3000&lt;=AJ$3)*('Data - SSV'!AH$6:AH$3000&lt;&gt;"")*IF('Data - SSV'!AH$6:AH$3000="",0,'Data - SSV'!AH$6:AH$3000))/AN57,3)&gt;=2,2,1))),IF(IFERROR(SUMPRODUCT((ISNUMBER(SEARCH(B57,'Data - SSV'!AE$6:AE$3000)))*('Data - SSV'!AF$6:AF$3000&gt;=(AJ$3-90))*('Data - SSV'!AF$6:AF$3000&lt;=AJ$3)*('Data - SSV'!AH$6:AH$3000&lt;&gt;"")*IF('Data - SSV'!AH$6:AH$3000="",0,'Data - SSV'!AH$6:AH$3000))/AN57,3)=4,5,IF(IFERROR(SUMPRODUCT((ISNUMBER(SEARCH(B57,'Data - SSV'!AE$6:AE$3000)))*('Data - SSV'!AF$6:AF$3000&gt;=(AJ$3-90))*('Data - SSV'!AF$6:AF$3000&lt;=AJ$3)*('Data - SSV'!AH$6:AH$3000&lt;&gt;"")*IF('Data - SSV'!AH$6:AH$3000="",0,'Data - SSV'!AH$6:AH$3000))/AN57,3)&gt;=3.5,4,IF(IFERROR(SUMPRODUCT((ISNUMBER(SEARCH(B57,'Data - SSV'!AE$6:AE$3000)))*('Data - SSV'!AF$6:AF$3000&gt;=(AJ$3-90))*('Data - SSV'!AF$6:AF$3000&lt;=AJ$3)*('Data - SSV'!AH$6:AH$3000&lt;&gt;"")*IF('Data - SSV'!AH$6:AH$3000="",0,'Data - SSV'!AH$6:AH$3000))/AN57,3)&gt;=3,3,IF(IFERROR(SUMPRODUCT((ISNUMBER(SEARCH(B57,'Data - SSV'!AE$6:AE$3000)))*('Data - SSV'!AF$6:AF$3000&gt;=(AJ$3-90))*('Data - SSV'!AF$6:AF$3000&lt;=AJ$3)*('Data - SSV'!AH$6:AH$3000&lt;&gt;"")*IF('Data - SSV'!AH$6:AH$3000="",0,'Data - SSV'!AH$6:AH$3000))/AN57,3)&gt;=2,2,1)))))))</f>
        <v>3</v>
      </c>
    </row>
    <row r="58" spans="1:41" ht="19.5" customHeight="1" x14ac:dyDescent="0.15">
      <c r="A58" s="10" t="str">
        <f>'Field Teams'!A59</f>
        <v>FT-055</v>
      </c>
      <c r="B58" s="30" t="str">
        <f>'Field Teams'!B59</f>
        <v>OJ Morgan Services Ltd</v>
      </c>
      <c r="C58" s="30" t="str">
        <f>'Field Teams'!C59</f>
        <v>Utility Arboriculture</v>
      </c>
      <c r="D58" s="10" t="str">
        <f>'Field Teams'!D59</f>
        <v>Donovan  Gosher</v>
      </c>
      <c r="E58" s="10" t="str">
        <f>'Field Teams'!E59</f>
        <v>Paul Shaw</v>
      </c>
      <c r="F58" s="10">
        <f>'Field Teams'!F59</f>
        <v>0</v>
      </c>
      <c r="G58" s="10">
        <f>'Field Teams'!G59</f>
        <v>0</v>
      </c>
      <c r="H58" s="31">
        <f>'Field Teams'!H59</f>
        <v>3</v>
      </c>
      <c r="I58" s="31">
        <f t="shared" si="5"/>
        <v>6</v>
      </c>
      <c r="J58" s="31">
        <f>IFERROR(SUMPRODUCT((((ISNUMBER(SEARCH(B58,'Data - HSQE Events'!V$6:V$3000))+ISNUMBER(SEARCH(B58,'Data - HSQE Events'!H$6:H$3000)))&gt;0))*('Data - HSQE Events'!F$6:F$3000&gt;=$AG$3)*('Data - HSQE Events'!F$6:F$3000&lt;=$AJ$3)*('Data - HSQE Events'!R$6:R$3000="Opportunity")),0)</f>
        <v>0</v>
      </c>
      <c r="K58" s="31">
        <f>IFERROR(SUMPRODUCT((((ISNUMBER(SEARCH(B58,'Data - HSQE Events'!V$6:V$3000))+ISNUMBER(SEARCH(B58,'Data - HSQE Events'!H$6:H$3000)))&gt;0))*('Data - HSQE Events'!F$6:F$3000&gt;=$AG$3)*('Data - HSQE Events'!F$6:F$3000&lt;=$AJ$3)*('Data - HSQE Events'!R$6:R$3000="Minor")),0)</f>
        <v>0</v>
      </c>
      <c r="L58" s="31">
        <f>IFERROR(SUMPRODUCT((((ISNUMBER(SEARCH(B58,'Data - HSQE Events'!V$6:V$3000))+ISNUMBER(SEARCH(B58,'Data - HSQE Events'!H$6:H$3000)))&gt;0))*('Data - HSQE Events'!F$6:F$3000&gt;=$AG$3)*('Data - HSQE Events'!F$6:F$3000&lt;=$AJ$3)*(('Data - HSQE Events'!R$6:R$3000="Moderate")+('Data - HSQE Events'!R$6:R$3000="Major"))),0)</f>
        <v>0</v>
      </c>
      <c r="M58" s="31" t="str">
        <f>IF(IFERROR(SUMPRODUCT((((ISNUMBER(SEARCH(B58,'Data - HSQE Events'!V$6:V$3000))+ISNUMBER(SEARCH(B58,'Data - HSQE Events'!H$6:H$3000)))&gt;0))*('Data - HSQE Events'!F$6:F$3000&gt;=$AG$3)*('Data - HSQE Events'!F$6:F$3000&lt;=$AJ$3)*('Data - HSQE Events'!R$6:R$3000="Major")),0)&gt;0,"YES","NO")</f>
        <v>NO</v>
      </c>
      <c r="N58" s="31">
        <f>IFERROR(SUMPRODUCT(('Data - Skillko'!B$6:B$3000=B58)*('Data - Skillko'!C$6:C$3000="Total")*('Data - Skillko'!E$6:E$3000))*100,0)</f>
        <v>67</v>
      </c>
      <c r="O58" s="31">
        <f t="shared" si="6"/>
        <v>3.7</v>
      </c>
      <c r="P58" s="31">
        <f>IFERROR(SUMPRODUCT(ISNUMBER(SEARCH(B58,'Pole Results'!$A$13:$A$2000))*('Pole Results'!$B$13:$B$2000&gt;=$AG$3)*('Pole Results'!$B$13:$B$2000&lt;=$AE$3)*('Pole Results'!$E$13:$E$2000="Non-Compliant")),0)</f>
        <v>0</v>
      </c>
      <c r="Q58" s="31">
        <f t="shared" si="7"/>
        <v>1</v>
      </c>
      <c r="R58" s="31">
        <f t="shared" si="8"/>
        <v>5</v>
      </c>
      <c r="S58" s="49">
        <f t="shared" si="9"/>
        <v>5</v>
      </c>
      <c r="T58" s="31">
        <f>IF('Field Teams'!$I$59="Inactive","",ROUND((Q58*Settings!$D$6+R58*Settings!$D$7+O58*Settings!$D$10+S58*Settings!$D$12+AO58*Settings!$D$13)/Settings!$D$14,1))</f>
        <v>2.9</v>
      </c>
      <c r="U58" s="115" t="str">
        <f>IF('Field Teams'!$I$59="Inactive","",IF(Q58="","",IF(Q58&gt;=4.5,"★★★★★",IF(Q58&gt;=3.5,"★★★★☆",IF(Q58&gt;=2.5,"★★★☆☆",IF(Q58&gt;=1.5,"★★☆☆☆","★☆☆☆☆"))))))</f>
        <v>★☆☆☆☆</v>
      </c>
      <c r="V58" s="115" t="str">
        <f>IF('Field Teams'!$I$59="Inactive","",IF(R58="","",IF(R58&gt;=4.5,"★★★★★",IF(R58&gt;=3.5,"★★★★☆",IF(R58&gt;=2.5,"★★★☆☆",IF(R58&gt;=1.5,"★★☆☆☆","★☆☆☆☆"))))))</f>
        <v>★★★★★</v>
      </c>
      <c r="W58" s="115" t="str">
        <f>IF('Field Teams'!$I$59="Inactive","",IF(O58="","",IF(O58&gt;=4.5,"★★★★★",IF(O58&gt;=3.5,"★★★★☆",IF(O58&gt;=2.5,"★★★☆☆",IF(O58&gt;=1.5,"★★☆☆☆","★☆☆☆☆"))))))</f>
        <v>★★★★☆</v>
      </c>
      <c r="X58" s="115" t="str">
        <f>IF('Field Teams'!$I$59="Inactive","",IF(S58="","",IF(S58&gt;=4.5,"★★★★★",IF(S58&gt;=3.5,"★★★★☆",IF(S58&gt;=2.5,"★★★☆☆",IF(S58&gt;=1.5,"★★☆☆☆","★☆☆☆☆"))))))</f>
        <v>★★★★★</v>
      </c>
      <c r="Y58" s="115" t="str">
        <f>IF('Field Teams'!$I$59="Inactive","",IF(AO58="","",IF(AO58&gt;=4.5,"★★★★★",IF(AO58&gt;=3.5,"★★★★☆",IF(AO58&gt;=2.5,"★★★☆☆",IF(AO58&gt;=1.5,"★★☆☆☆","★☆☆☆☆"))))))</f>
        <v>★★★☆☆</v>
      </c>
      <c r="Z58" s="115" t="str">
        <f>IF('Field Teams'!$I$5="Inactive","",IF(T58="","",IF(T58&gt;=4.5,"★★★★★",IF(T58&gt;=3.5,"★★★★☆",IF(T58&gt;=2.5,"★★★☆☆",IF(T58&gt;=1.5,"★★☆☆☆","★☆☆☆☆"))))))</f>
        <v>★★★☆☆</v>
      </c>
      <c r="AA58" s="31" t="str">
        <f>IF('Field Teams'!$I$59="Inactive","",IF(M58="YES","HIGH",IF(Q58&lt;=Settings!$D$26,"HIGH",IF(T58&lt;=Settings!$D$23,"HIGH",IF(T58&lt;=Settings!$D$24,"MEDIUM","LOW")))))</f>
        <v>HIGH</v>
      </c>
      <c r="AB58" s="31">
        <f>IF('Field Teams'!$I$5="Inactive",-1,IFERROR((6-T58)+(77-ROW())*0.0001,0))</f>
        <v>3.1019000000000001</v>
      </c>
      <c r="AC58" s="35">
        <f>IF('Field Teams'!$I$5="Inactive",999,IFERROR((6-T58)+(ROW()-3)*0.0001,99))</f>
        <v>3.1055000000000001</v>
      </c>
      <c r="AD58" s="31">
        <f>IF('Field Teams'!$I$59="Inactive",999,IFERROR(AB58+(ROW()-3)*0.0001,99))</f>
        <v>3.1074000000000002</v>
      </c>
      <c r="AE58" s="29">
        <v>0</v>
      </c>
      <c r="AF58" s="31" t="str">
        <f>IF('Field Teams'!$I$59="Inactive","",IF(AA58="HIGH","YES - within 5 working days",""))</f>
        <v>YES - within 5 working days</v>
      </c>
      <c r="AG58" s="105"/>
      <c r="AH58" s="49">
        <f>IFERROR(SUMPRODUCT(ISNUMBER(SEARCH(B58,'Pole Results'!$A$13:$A$2000))*('Pole Results'!$B$13:$B$2000&gt;=$AG$3)*('Pole Results'!$B$13:$B$2000&lt;=$AE$3)),0)</f>
        <v>0</v>
      </c>
      <c r="AI58" s="49">
        <f>IFERROR(SUMPRODUCT(ISNUMBER(SEARCH(B58,'Pole Results'!$A$13:$A$2000))*('Pole Results'!$B$13:$B$2000&gt;=$AG$3)*('Pole Results'!$B$13:$B$2000&lt;=$AE$3)*('Pole Results'!$E$13:$E$2000="Compliant")),0)</f>
        <v>0</v>
      </c>
      <c r="AJ58" s="105"/>
      <c r="AK58" s="106">
        <f>IF('Field Teams'!$I$59="Inactive",-1,IF(AA58="HIGH",AB58,-1))</f>
        <v>3.1019000000000001</v>
      </c>
      <c r="AL58" s="106">
        <f>IF('Field Teams'!$I$59="Inactive",-1,IF(OR(AA58="HIGH",AA58="MEDIUM"),AB58,-1))</f>
        <v>3.1019000000000001</v>
      </c>
      <c r="AM58" t="str">
        <f>IF('Field Teams'!$I$59="Inactive","",IF(IFERROR(LOOKUP(2,1/('Historical Scores'!C59:N59&lt;&gt;""),'Historical Scores'!C59:N59),"")="","New",IF(T58=""," ",IF(T58&gt;IFERROR(LOOKUP(2,1/('Historical Scores'!C59:N59&lt;&gt;""),'Historical Scores'!C59:N59),""),"▲ Worsening",IF(T58&lt;IFERROR(LOOKUP(2,1/('Historical Scores'!C59:N59&lt;&gt;""),'Historical Scores'!C59:N59),""),"▼ Improving","► Stable")))))</f>
        <v>New</v>
      </c>
      <c r="AN58">
        <f>IFERROR(SUMPRODUCT((ISNUMBER(SEARCH(B58,'Data - SSV'!AE$6:AE$3000)))*('Data - SSV'!AF$6:AF$3000&gt;=(AJ$3-90))*('Data - SSV'!AF$6:AF$3000&lt;=AJ$3)*('Data - SSV'!AH$6:AH$3000&lt;&gt;"")),0)</f>
        <v>0</v>
      </c>
      <c r="AO58">
        <f>IF('Field Teams'!$I$59="Inactive","",IF(AN58=0,3,IF(AN58=1,IF(IFERROR(SUMPRODUCT((ISNUMBER(SEARCH(B58,'Data - SSV'!AE$6:AE$3000)))*('Data - SSV'!AF$6:AF$3000&gt;=(AJ$3-90))*('Data - SSV'!AF$6:AF$3000&lt;=AJ$3)*('Data - SSV'!AH$6:AH$3000&lt;&gt;"")*IF('Data - SSV'!AH$6:AH$3000="",0,'Data - SSV'!AH$6:AH$3000))/AN58,3)=4,4,IF(IFERROR(SUMPRODUCT((ISNUMBER(SEARCH(B58,'Data - SSV'!AE$6:AE$3000)))*('Data - SSV'!AF$6:AF$3000&gt;=(AJ$3-90))*('Data - SSV'!AF$6:AF$3000&lt;=AJ$3)*('Data - SSV'!AH$6:AH$3000&lt;&gt;"")*IF('Data - SSV'!AH$6:AH$3000="",0,'Data - SSV'!AH$6:AH$3000))/AN58,3)&gt;=3,3,IF(IFERROR(SUMPRODUCT((ISNUMBER(SEARCH(B58,'Data - SSV'!AE$6:AE$3000)))*('Data - SSV'!AF$6:AF$3000&gt;=(AJ$3-90))*('Data - SSV'!AF$6:AF$3000&lt;=AJ$3)*('Data - SSV'!AH$6:AH$3000&lt;&gt;"")*IF('Data - SSV'!AH$6:AH$3000="",0,'Data - SSV'!AH$6:AH$3000))/AN58,3)&gt;=2,2,1))),IF(IFERROR(SUMPRODUCT((ISNUMBER(SEARCH(B58,'Data - SSV'!AE$6:AE$3000)))*('Data - SSV'!AF$6:AF$3000&gt;=(AJ$3-90))*('Data - SSV'!AF$6:AF$3000&lt;=AJ$3)*('Data - SSV'!AH$6:AH$3000&lt;&gt;"")*IF('Data - SSV'!AH$6:AH$3000="",0,'Data - SSV'!AH$6:AH$3000))/AN58,3)=4,5,IF(IFERROR(SUMPRODUCT((ISNUMBER(SEARCH(B58,'Data - SSV'!AE$6:AE$3000)))*('Data - SSV'!AF$6:AF$3000&gt;=(AJ$3-90))*('Data - SSV'!AF$6:AF$3000&lt;=AJ$3)*('Data - SSV'!AH$6:AH$3000&lt;&gt;"")*IF('Data - SSV'!AH$6:AH$3000="",0,'Data - SSV'!AH$6:AH$3000))/AN58,3)&gt;=3.5,4,IF(IFERROR(SUMPRODUCT((ISNUMBER(SEARCH(B58,'Data - SSV'!AE$6:AE$3000)))*('Data - SSV'!AF$6:AF$3000&gt;=(AJ$3-90))*('Data - SSV'!AF$6:AF$3000&lt;=AJ$3)*('Data - SSV'!AH$6:AH$3000&lt;&gt;"")*IF('Data - SSV'!AH$6:AH$3000="",0,'Data - SSV'!AH$6:AH$3000))/AN58,3)&gt;=3,3,IF(IFERROR(SUMPRODUCT((ISNUMBER(SEARCH(B58,'Data - SSV'!AE$6:AE$3000)))*('Data - SSV'!AF$6:AF$3000&gt;=(AJ$3-90))*('Data - SSV'!AF$6:AF$3000&lt;=AJ$3)*('Data - SSV'!AH$6:AH$3000&lt;&gt;"")*IF('Data - SSV'!AH$6:AH$3000="",0,'Data - SSV'!AH$6:AH$3000))/AN58,3)&gt;=2,2,1)))))))</f>
        <v>3</v>
      </c>
    </row>
    <row r="59" spans="1:41" ht="19.5" customHeight="1" x14ac:dyDescent="0.15">
      <c r="A59" s="6" t="str">
        <f>'Field Teams'!A60</f>
        <v>FT-056</v>
      </c>
      <c r="B59" s="28" t="str">
        <f>'Field Teams'!B60</f>
        <v>Olney Landscapes</v>
      </c>
      <c r="C59" s="28" t="str">
        <f>'Field Teams'!C60</f>
        <v>Utility Arboriculture</v>
      </c>
      <c r="D59" s="6" t="str">
        <f>'Field Teams'!D60</f>
        <v>Donovan  Gosher</v>
      </c>
      <c r="E59" s="6" t="str">
        <f>'Field Teams'!E60</f>
        <v>Paul Shaw</v>
      </c>
      <c r="F59" s="6">
        <f>'Field Teams'!F60</f>
        <v>0</v>
      </c>
      <c r="G59" s="6">
        <f>'Field Teams'!G60</f>
        <v>0</v>
      </c>
      <c r="H59" s="31">
        <f>'Field Teams'!H60</f>
        <v>2</v>
      </c>
      <c r="I59" s="31">
        <f t="shared" si="5"/>
        <v>4</v>
      </c>
      <c r="J59" s="31">
        <f>IFERROR(SUMPRODUCT((((ISNUMBER(SEARCH(B59,'Data - HSQE Events'!V$6:V$3000))+ISNUMBER(SEARCH(B59,'Data - HSQE Events'!H$6:H$3000)))&gt;0))*('Data - HSQE Events'!F$6:F$3000&gt;=$AG$3)*('Data - HSQE Events'!F$6:F$3000&lt;=$AJ$3)*('Data - HSQE Events'!R$6:R$3000="Opportunity")),0)</f>
        <v>0</v>
      </c>
      <c r="K59" s="31">
        <f>IFERROR(SUMPRODUCT((((ISNUMBER(SEARCH(B59,'Data - HSQE Events'!V$6:V$3000))+ISNUMBER(SEARCH(B59,'Data - HSQE Events'!H$6:H$3000)))&gt;0))*('Data - HSQE Events'!F$6:F$3000&gt;=$AG$3)*('Data - HSQE Events'!F$6:F$3000&lt;=$AJ$3)*('Data - HSQE Events'!R$6:R$3000="Minor")),0)</f>
        <v>0</v>
      </c>
      <c r="L59" s="31">
        <f>IFERROR(SUMPRODUCT((((ISNUMBER(SEARCH(B59,'Data - HSQE Events'!V$6:V$3000))+ISNUMBER(SEARCH(B59,'Data - HSQE Events'!H$6:H$3000)))&gt;0))*('Data - HSQE Events'!F$6:F$3000&gt;=$AG$3)*('Data - HSQE Events'!F$6:F$3000&lt;=$AJ$3)*(('Data - HSQE Events'!R$6:R$3000="Moderate")+('Data - HSQE Events'!R$6:R$3000="Major"))),0)</f>
        <v>0</v>
      </c>
      <c r="M59" s="31" t="str">
        <f>IF(IFERROR(SUMPRODUCT((((ISNUMBER(SEARCH(B59,'Data - HSQE Events'!V$6:V$3000))+ISNUMBER(SEARCH(B59,'Data - HSQE Events'!H$6:H$3000)))&gt;0))*('Data - HSQE Events'!F$6:F$3000&gt;=$AG$3)*('Data - HSQE Events'!F$6:F$3000&lt;=$AJ$3)*('Data - HSQE Events'!R$6:R$3000="Major")),0)&gt;0,"YES","NO")</f>
        <v>NO</v>
      </c>
      <c r="N59" s="31">
        <f>IFERROR(SUMPRODUCT(('Data - Skillko'!B$6:B$3000=B59)*('Data - Skillko'!C$6:C$3000="Total")*('Data - Skillko'!E$6:E$3000))*100,0)</f>
        <v>75</v>
      </c>
      <c r="O59" s="31">
        <f t="shared" si="6"/>
        <v>4</v>
      </c>
      <c r="P59" s="31">
        <f>IFERROR(SUMPRODUCT(ISNUMBER(SEARCH(B59,'Pole Results'!$A$13:$A$2000))*('Pole Results'!$B$13:$B$2000&gt;=$AG$3)*('Pole Results'!$B$13:$B$2000&lt;=$AE$3)*('Pole Results'!$E$13:$E$2000="Non-Compliant")),0)</f>
        <v>0</v>
      </c>
      <c r="Q59" s="31">
        <f t="shared" si="7"/>
        <v>1</v>
      </c>
      <c r="R59" s="31">
        <f t="shared" si="8"/>
        <v>5</v>
      </c>
      <c r="S59" s="49">
        <f t="shared" si="9"/>
        <v>5</v>
      </c>
      <c r="T59" s="31">
        <f>IF('Field Teams'!$I$60="Inactive","",ROUND((Q59*Settings!$D$6+R59*Settings!$D$7+O59*Settings!$D$10+S59*Settings!$D$12+AO59*Settings!$D$13)/Settings!$D$14,1))</f>
        <v>3</v>
      </c>
      <c r="U59" s="115" t="str">
        <f>IF('Field Teams'!$I$60="Inactive","",IF(Q59="","",IF(Q59&gt;=4.5,"★★★★★",IF(Q59&gt;=3.5,"★★★★☆",IF(Q59&gt;=2.5,"★★★☆☆",IF(Q59&gt;=1.5,"★★☆☆☆","★☆☆☆☆"))))))</f>
        <v>★☆☆☆☆</v>
      </c>
      <c r="V59" s="115" t="str">
        <f>IF('Field Teams'!$I$60="Inactive","",IF(R59="","",IF(R59&gt;=4.5,"★★★★★",IF(R59&gt;=3.5,"★★★★☆",IF(R59&gt;=2.5,"★★★☆☆",IF(R59&gt;=1.5,"★★☆☆☆","★☆☆☆☆"))))))</f>
        <v>★★★★★</v>
      </c>
      <c r="W59" s="115" t="str">
        <f>IF('Field Teams'!$I$60="Inactive","",IF(O59="","",IF(O59&gt;=4.5,"★★★★★",IF(O59&gt;=3.5,"★★★★☆",IF(O59&gt;=2.5,"★★★☆☆",IF(O59&gt;=1.5,"★★☆☆☆","★☆☆☆☆"))))))</f>
        <v>★★★★☆</v>
      </c>
      <c r="X59" s="115" t="str">
        <f>IF('Field Teams'!$I$60="Inactive","",IF(S59="","",IF(S59&gt;=4.5,"★★★★★",IF(S59&gt;=3.5,"★★★★☆",IF(S59&gt;=2.5,"★★★☆☆",IF(S59&gt;=1.5,"★★☆☆☆","★☆☆☆☆"))))))</f>
        <v>★★★★★</v>
      </c>
      <c r="Y59" s="115" t="str">
        <f>IF('Field Teams'!$I$60="Inactive","",IF(AO59="","",IF(AO59&gt;=4.5,"★★★★★",IF(AO59&gt;=3.5,"★★★★☆",IF(AO59&gt;=2.5,"★★★☆☆",IF(AO59&gt;=1.5,"★★☆☆☆","★☆☆☆☆"))))))</f>
        <v>★★★☆☆</v>
      </c>
      <c r="Z59" s="115" t="str">
        <f>IF('Field Teams'!$I$5="Inactive","",IF(T59="","",IF(T59&gt;=4.5,"★★★★★",IF(T59&gt;=3.5,"★★★★☆",IF(T59&gt;=2.5,"★★★☆☆",IF(T59&gt;=1.5,"★★☆☆☆","★☆☆☆☆"))))))</f>
        <v>★★★☆☆</v>
      </c>
      <c r="AA59" s="31" t="str">
        <f>IF('Field Teams'!$I$60="Inactive","",IF(M59="YES","HIGH",IF(Q59&lt;=Settings!$D$26,"HIGH",IF(T59&lt;=Settings!$D$23,"HIGH",IF(T59&lt;=Settings!$D$24,"MEDIUM","LOW")))))</f>
        <v>HIGH</v>
      </c>
      <c r="AB59" s="31">
        <f>IF('Field Teams'!$I$5="Inactive",-1,IFERROR((6-T59)+(77-ROW())*0.0001,0))</f>
        <v>3.0017999999999998</v>
      </c>
      <c r="AC59" s="35">
        <f>IF('Field Teams'!$I$5="Inactive",999,IFERROR((6-T59)+(ROW()-3)*0.0001,99))</f>
        <v>3.0055999999999998</v>
      </c>
      <c r="AD59" s="31">
        <f>IF('Field Teams'!$I$60="Inactive",999,IFERROR(AB59+(ROW()-3)*0.0001,99))</f>
        <v>3.0073999999999996</v>
      </c>
      <c r="AE59" s="29">
        <v>0</v>
      </c>
      <c r="AF59" s="31" t="str">
        <f>IF('Field Teams'!$I$60="Inactive","",IF(AA59="HIGH","YES - within 5 working days",""))</f>
        <v>YES - within 5 working days</v>
      </c>
      <c r="AG59" s="105"/>
      <c r="AH59" s="49">
        <f>IFERROR(SUMPRODUCT(ISNUMBER(SEARCH(B59,'Pole Results'!$A$13:$A$2000))*('Pole Results'!$B$13:$B$2000&gt;=$AG$3)*('Pole Results'!$B$13:$B$2000&lt;=$AE$3)),0)</f>
        <v>0</v>
      </c>
      <c r="AI59" s="49">
        <f>IFERROR(SUMPRODUCT(ISNUMBER(SEARCH(B59,'Pole Results'!$A$13:$A$2000))*('Pole Results'!$B$13:$B$2000&gt;=$AG$3)*('Pole Results'!$B$13:$B$2000&lt;=$AE$3)*('Pole Results'!$E$13:$E$2000="Compliant")),0)</f>
        <v>0</v>
      </c>
      <c r="AJ59" s="105"/>
      <c r="AK59" s="106">
        <f>IF('Field Teams'!$I$60="Inactive",-1,IF(AA59="HIGH",AB59,-1))</f>
        <v>3.0017999999999998</v>
      </c>
      <c r="AL59" s="106">
        <f>IF('Field Teams'!$I$60="Inactive",-1,IF(OR(AA59="HIGH",AA59="MEDIUM"),AB59,-1))</f>
        <v>3.0017999999999998</v>
      </c>
      <c r="AM59" t="str">
        <f>IF('Field Teams'!$I$60="Inactive","",IF(IFERROR(LOOKUP(2,1/('Historical Scores'!C60:N60&lt;&gt;""),'Historical Scores'!C60:N60),"")="","New",IF(T59=""," ",IF(T59&gt;IFERROR(LOOKUP(2,1/('Historical Scores'!C60:N60&lt;&gt;""),'Historical Scores'!C60:N60),""),"▲ Worsening",IF(T59&lt;IFERROR(LOOKUP(2,1/('Historical Scores'!C60:N60&lt;&gt;""),'Historical Scores'!C60:N60),""),"▼ Improving","► Stable")))))</f>
        <v>New</v>
      </c>
      <c r="AN59">
        <f>IFERROR(SUMPRODUCT((ISNUMBER(SEARCH(B59,'Data - SSV'!AE$6:AE$3000)))*('Data - SSV'!AF$6:AF$3000&gt;=(AJ$3-90))*('Data - SSV'!AF$6:AF$3000&lt;=AJ$3)*('Data - SSV'!AH$6:AH$3000&lt;&gt;"")),0)</f>
        <v>0</v>
      </c>
      <c r="AO59">
        <f>IF('Field Teams'!$I$60="Inactive","",IF(AN59=0,3,IF(AN59=1,IF(IFERROR(SUMPRODUCT((ISNUMBER(SEARCH(B59,'Data - SSV'!AE$6:AE$3000)))*('Data - SSV'!AF$6:AF$3000&gt;=(AJ$3-90))*('Data - SSV'!AF$6:AF$3000&lt;=AJ$3)*('Data - SSV'!AH$6:AH$3000&lt;&gt;"")*IF('Data - SSV'!AH$6:AH$3000="",0,'Data - SSV'!AH$6:AH$3000))/AN59,3)=4,4,IF(IFERROR(SUMPRODUCT((ISNUMBER(SEARCH(B59,'Data - SSV'!AE$6:AE$3000)))*('Data - SSV'!AF$6:AF$3000&gt;=(AJ$3-90))*('Data - SSV'!AF$6:AF$3000&lt;=AJ$3)*('Data - SSV'!AH$6:AH$3000&lt;&gt;"")*IF('Data - SSV'!AH$6:AH$3000="",0,'Data - SSV'!AH$6:AH$3000))/AN59,3)&gt;=3,3,IF(IFERROR(SUMPRODUCT((ISNUMBER(SEARCH(B59,'Data - SSV'!AE$6:AE$3000)))*('Data - SSV'!AF$6:AF$3000&gt;=(AJ$3-90))*('Data - SSV'!AF$6:AF$3000&lt;=AJ$3)*('Data - SSV'!AH$6:AH$3000&lt;&gt;"")*IF('Data - SSV'!AH$6:AH$3000="",0,'Data - SSV'!AH$6:AH$3000))/AN59,3)&gt;=2,2,1))),IF(IFERROR(SUMPRODUCT((ISNUMBER(SEARCH(B59,'Data - SSV'!AE$6:AE$3000)))*('Data - SSV'!AF$6:AF$3000&gt;=(AJ$3-90))*('Data - SSV'!AF$6:AF$3000&lt;=AJ$3)*('Data - SSV'!AH$6:AH$3000&lt;&gt;"")*IF('Data - SSV'!AH$6:AH$3000="",0,'Data - SSV'!AH$6:AH$3000))/AN59,3)=4,5,IF(IFERROR(SUMPRODUCT((ISNUMBER(SEARCH(B59,'Data - SSV'!AE$6:AE$3000)))*('Data - SSV'!AF$6:AF$3000&gt;=(AJ$3-90))*('Data - SSV'!AF$6:AF$3000&lt;=AJ$3)*('Data - SSV'!AH$6:AH$3000&lt;&gt;"")*IF('Data - SSV'!AH$6:AH$3000="",0,'Data - SSV'!AH$6:AH$3000))/AN59,3)&gt;=3.5,4,IF(IFERROR(SUMPRODUCT((ISNUMBER(SEARCH(B59,'Data - SSV'!AE$6:AE$3000)))*('Data - SSV'!AF$6:AF$3000&gt;=(AJ$3-90))*('Data - SSV'!AF$6:AF$3000&lt;=AJ$3)*('Data - SSV'!AH$6:AH$3000&lt;&gt;"")*IF('Data - SSV'!AH$6:AH$3000="",0,'Data - SSV'!AH$6:AH$3000))/AN59,3)&gt;=3,3,IF(IFERROR(SUMPRODUCT((ISNUMBER(SEARCH(B59,'Data - SSV'!AE$6:AE$3000)))*('Data - SSV'!AF$6:AF$3000&gt;=(AJ$3-90))*('Data - SSV'!AF$6:AF$3000&lt;=AJ$3)*('Data - SSV'!AH$6:AH$3000&lt;&gt;"")*IF('Data - SSV'!AH$6:AH$3000="",0,'Data - SSV'!AH$6:AH$3000))/AN59,3)&gt;=2,2,1)))))))</f>
        <v>3</v>
      </c>
    </row>
    <row r="60" spans="1:41" ht="19.5" customHeight="1" x14ac:dyDescent="0.15">
      <c r="A60" s="10" t="str">
        <f>'Field Teams'!A61</f>
        <v>FT-057</v>
      </c>
      <c r="B60" s="30" t="str">
        <f>'Field Teams'!B61</f>
        <v>PB Tree Contractors</v>
      </c>
      <c r="C60" s="30" t="str">
        <f>'Field Teams'!C61</f>
        <v>Utility Arboriculture</v>
      </c>
      <c r="D60" s="10" t="str">
        <f>'Field Teams'!D61</f>
        <v>Donovan  Gosher</v>
      </c>
      <c r="E60" s="10" t="str">
        <f>'Field Teams'!E61</f>
        <v>Paul Shaw</v>
      </c>
      <c r="F60" s="10">
        <f>'Field Teams'!F61</f>
        <v>0</v>
      </c>
      <c r="G60" s="10">
        <f>'Field Teams'!G61</f>
        <v>0</v>
      </c>
      <c r="H60" s="31">
        <f>'Field Teams'!H61</f>
        <v>2</v>
      </c>
      <c r="I60" s="31">
        <f t="shared" si="5"/>
        <v>4</v>
      </c>
      <c r="J60" s="31">
        <f>IFERROR(SUMPRODUCT((((ISNUMBER(SEARCH(B60,'Data - HSQE Events'!V$6:V$3000))+ISNUMBER(SEARCH(B60,'Data - HSQE Events'!H$6:H$3000)))&gt;0))*('Data - HSQE Events'!F$6:F$3000&gt;=$AG$3)*('Data - HSQE Events'!F$6:F$3000&lt;=$AJ$3)*('Data - HSQE Events'!R$6:R$3000="Opportunity")),0)</f>
        <v>0</v>
      </c>
      <c r="K60" s="31">
        <f>IFERROR(SUMPRODUCT((((ISNUMBER(SEARCH(B60,'Data - HSQE Events'!V$6:V$3000))+ISNUMBER(SEARCH(B60,'Data - HSQE Events'!H$6:H$3000)))&gt;0))*('Data - HSQE Events'!F$6:F$3000&gt;=$AG$3)*('Data - HSQE Events'!F$6:F$3000&lt;=$AJ$3)*('Data - HSQE Events'!R$6:R$3000="Minor")),0)</f>
        <v>0</v>
      </c>
      <c r="L60" s="31">
        <f>IFERROR(SUMPRODUCT((((ISNUMBER(SEARCH(B60,'Data - HSQE Events'!V$6:V$3000))+ISNUMBER(SEARCH(B60,'Data - HSQE Events'!H$6:H$3000)))&gt;0))*('Data - HSQE Events'!F$6:F$3000&gt;=$AG$3)*('Data - HSQE Events'!F$6:F$3000&lt;=$AJ$3)*(('Data - HSQE Events'!R$6:R$3000="Moderate")+('Data - HSQE Events'!R$6:R$3000="Major"))),0)</f>
        <v>0</v>
      </c>
      <c r="M60" s="31" t="str">
        <f>IF(IFERROR(SUMPRODUCT((((ISNUMBER(SEARCH(B60,'Data - HSQE Events'!V$6:V$3000))+ISNUMBER(SEARCH(B60,'Data - HSQE Events'!H$6:H$3000)))&gt;0))*('Data - HSQE Events'!F$6:F$3000&gt;=$AG$3)*('Data - HSQE Events'!F$6:F$3000&lt;=$AJ$3)*('Data - HSQE Events'!R$6:R$3000="Major")),0)&gt;0,"YES","NO")</f>
        <v>NO</v>
      </c>
      <c r="N60" s="31">
        <f>IFERROR(SUMPRODUCT(('Data - Skillko'!B$6:B$3000=B60)*('Data - Skillko'!C$6:C$3000="Total")*('Data - Skillko'!E$6:E$3000))*100,0)</f>
        <v>95</v>
      </c>
      <c r="O60" s="31">
        <f t="shared" si="6"/>
        <v>4.8</v>
      </c>
      <c r="P60" s="31">
        <f>IFERROR(SUMPRODUCT(ISNUMBER(SEARCH(B60,'Pole Results'!$A$13:$A$2000))*('Pole Results'!$B$13:$B$2000&gt;=$AG$3)*('Pole Results'!$B$13:$B$2000&lt;=$AE$3)*('Pole Results'!$E$13:$E$2000="Non-Compliant")),0)</f>
        <v>0</v>
      </c>
      <c r="Q60" s="31">
        <f t="shared" si="7"/>
        <v>1</v>
      </c>
      <c r="R60" s="31">
        <f t="shared" si="8"/>
        <v>5</v>
      </c>
      <c r="S60" s="49">
        <f t="shared" si="9"/>
        <v>5</v>
      </c>
      <c r="T60" s="31">
        <f>IF('Field Teams'!$I$61="Inactive","",ROUND((Q60*Settings!$D$6+R60*Settings!$D$7+O60*Settings!$D$10+S60*Settings!$D$12+AO60*Settings!$D$13)/Settings!$D$14,1))</f>
        <v>3.1</v>
      </c>
      <c r="U60" s="115" t="str">
        <f>IF('Field Teams'!$I$61="Inactive","",IF(Q60="","",IF(Q60&gt;=4.5,"★★★★★",IF(Q60&gt;=3.5,"★★★★☆",IF(Q60&gt;=2.5,"★★★☆☆",IF(Q60&gt;=1.5,"★★☆☆☆","★☆☆☆☆"))))))</f>
        <v>★☆☆☆☆</v>
      </c>
      <c r="V60" s="115" t="str">
        <f>IF('Field Teams'!$I$61="Inactive","",IF(R60="","",IF(R60&gt;=4.5,"★★★★★",IF(R60&gt;=3.5,"★★★★☆",IF(R60&gt;=2.5,"★★★☆☆",IF(R60&gt;=1.5,"★★☆☆☆","★☆☆☆☆"))))))</f>
        <v>★★★★★</v>
      </c>
      <c r="W60" s="115" t="str">
        <f>IF('Field Teams'!$I$61="Inactive","",IF(O60="","",IF(O60&gt;=4.5,"★★★★★",IF(O60&gt;=3.5,"★★★★☆",IF(O60&gt;=2.5,"★★★☆☆",IF(O60&gt;=1.5,"★★☆☆☆","★☆☆☆☆"))))))</f>
        <v>★★★★★</v>
      </c>
      <c r="X60" s="115" t="str">
        <f>IF('Field Teams'!$I$61="Inactive","",IF(S60="","",IF(S60&gt;=4.5,"★★★★★",IF(S60&gt;=3.5,"★★★★☆",IF(S60&gt;=2.5,"★★★☆☆",IF(S60&gt;=1.5,"★★☆☆☆","★☆☆☆☆"))))))</f>
        <v>★★★★★</v>
      </c>
      <c r="Y60" s="115" t="str">
        <f>IF('Field Teams'!$I$61="Inactive","",IF(AO60="","",IF(AO60&gt;=4.5,"★★★★★",IF(AO60&gt;=3.5,"★★★★☆",IF(AO60&gt;=2.5,"★★★☆☆",IF(AO60&gt;=1.5,"★★☆☆☆","★☆☆☆☆"))))))</f>
        <v>★★★☆☆</v>
      </c>
      <c r="Z60" s="115" t="str">
        <f>IF('Field Teams'!$I$5="Inactive","",IF(T60="","",IF(T60&gt;=4.5,"★★★★★",IF(T60&gt;=3.5,"★★★★☆",IF(T60&gt;=2.5,"★★★☆☆",IF(T60&gt;=1.5,"★★☆☆☆","★☆☆☆☆"))))))</f>
        <v>★★★☆☆</v>
      </c>
      <c r="AA60" s="31" t="str">
        <f>IF('Field Teams'!$I$61="Inactive","",IF(M60="YES","HIGH",IF(Q60&lt;=Settings!$D$26,"HIGH",IF(T60&lt;=Settings!$D$23,"HIGH",IF(T60&lt;=Settings!$D$24,"MEDIUM","LOW")))))</f>
        <v>HIGH</v>
      </c>
      <c r="AB60" s="31">
        <f>IF('Field Teams'!$I$5="Inactive",-1,IFERROR((6-T60)+(77-ROW())*0.0001,0))</f>
        <v>2.9016999999999999</v>
      </c>
      <c r="AC60" s="35">
        <f>IF('Field Teams'!$I$5="Inactive",999,IFERROR((6-T60)+(ROW()-3)*0.0001,99))</f>
        <v>2.9056999999999999</v>
      </c>
      <c r="AD60" s="31">
        <f>IF('Field Teams'!$I$61="Inactive",999,IFERROR(AB60+(ROW()-3)*0.0001,99))</f>
        <v>2.9074</v>
      </c>
      <c r="AE60" s="29">
        <v>0</v>
      </c>
      <c r="AF60" s="31" t="str">
        <f>IF('Field Teams'!$I$61="Inactive","",IF(AA60="HIGH","YES - within 5 working days",""))</f>
        <v>YES - within 5 working days</v>
      </c>
      <c r="AG60" s="105"/>
      <c r="AH60" s="49">
        <f>IFERROR(SUMPRODUCT(ISNUMBER(SEARCH(B60,'Pole Results'!$A$13:$A$2000))*('Pole Results'!$B$13:$B$2000&gt;=$AG$3)*('Pole Results'!$B$13:$B$2000&lt;=$AE$3)),0)</f>
        <v>0</v>
      </c>
      <c r="AI60" s="49">
        <f>IFERROR(SUMPRODUCT(ISNUMBER(SEARCH(B60,'Pole Results'!$A$13:$A$2000))*('Pole Results'!$B$13:$B$2000&gt;=$AG$3)*('Pole Results'!$B$13:$B$2000&lt;=$AE$3)*('Pole Results'!$E$13:$E$2000="Compliant")),0)</f>
        <v>0</v>
      </c>
      <c r="AJ60" s="105"/>
      <c r="AK60" s="106">
        <f>IF('Field Teams'!$I$61="Inactive",-1,IF(AA60="HIGH",AB60,-1))</f>
        <v>2.9016999999999999</v>
      </c>
      <c r="AL60" s="106">
        <f>IF('Field Teams'!$I$61="Inactive",-1,IF(OR(AA60="HIGH",AA60="MEDIUM"),AB60,-1))</f>
        <v>2.9016999999999999</v>
      </c>
      <c r="AM60" t="str">
        <f>IF('Field Teams'!$I$61="Inactive","",IF(IFERROR(LOOKUP(2,1/('Historical Scores'!C61:N61&lt;&gt;""),'Historical Scores'!C61:N61),"")="","New",IF(T60=""," ",IF(T60&gt;IFERROR(LOOKUP(2,1/('Historical Scores'!C61:N61&lt;&gt;""),'Historical Scores'!C61:N61),""),"▲ Worsening",IF(T60&lt;IFERROR(LOOKUP(2,1/('Historical Scores'!C61:N61&lt;&gt;""),'Historical Scores'!C61:N61),""),"▼ Improving","► Stable")))))</f>
        <v>New</v>
      </c>
      <c r="AN60">
        <f>IFERROR(SUMPRODUCT((ISNUMBER(SEARCH(B60,'Data - SSV'!AE$6:AE$3000)))*('Data - SSV'!AF$6:AF$3000&gt;=(AJ$3-90))*('Data - SSV'!AF$6:AF$3000&lt;=AJ$3)*('Data - SSV'!AH$6:AH$3000&lt;&gt;"")),0)</f>
        <v>0</v>
      </c>
      <c r="AO60">
        <f>IF('Field Teams'!$I$61="Inactive","",IF(AN60=0,3,IF(AN60=1,IF(IFERROR(SUMPRODUCT((ISNUMBER(SEARCH(B60,'Data - SSV'!AE$6:AE$3000)))*('Data - SSV'!AF$6:AF$3000&gt;=(AJ$3-90))*('Data - SSV'!AF$6:AF$3000&lt;=AJ$3)*('Data - SSV'!AH$6:AH$3000&lt;&gt;"")*IF('Data - SSV'!AH$6:AH$3000="",0,'Data - SSV'!AH$6:AH$3000))/AN60,3)=4,4,IF(IFERROR(SUMPRODUCT((ISNUMBER(SEARCH(B60,'Data - SSV'!AE$6:AE$3000)))*('Data - SSV'!AF$6:AF$3000&gt;=(AJ$3-90))*('Data - SSV'!AF$6:AF$3000&lt;=AJ$3)*('Data - SSV'!AH$6:AH$3000&lt;&gt;"")*IF('Data - SSV'!AH$6:AH$3000="",0,'Data - SSV'!AH$6:AH$3000))/AN60,3)&gt;=3,3,IF(IFERROR(SUMPRODUCT((ISNUMBER(SEARCH(B60,'Data - SSV'!AE$6:AE$3000)))*('Data - SSV'!AF$6:AF$3000&gt;=(AJ$3-90))*('Data - SSV'!AF$6:AF$3000&lt;=AJ$3)*('Data - SSV'!AH$6:AH$3000&lt;&gt;"")*IF('Data - SSV'!AH$6:AH$3000="",0,'Data - SSV'!AH$6:AH$3000))/AN60,3)&gt;=2,2,1))),IF(IFERROR(SUMPRODUCT((ISNUMBER(SEARCH(B60,'Data - SSV'!AE$6:AE$3000)))*('Data - SSV'!AF$6:AF$3000&gt;=(AJ$3-90))*('Data - SSV'!AF$6:AF$3000&lt;=AJ$3)*('Data - SSV'!AH$6:AH$3000&lt;&gt;"")*IF('Data - SSV'!AH$6:AH$3000="",0,'Data - SSV'!AH$6:AH$3000))/AN60,3)=4,5,IF(IFERROR(SUMPRODUCT((ISNUMBER(SEARCH(B60,'Data - SSV'!AE$6:AE$3000)))*('Data - SSV'!AF$6:AF$3000&gt;=(AJ$3-90))*('Data - SSV'!AF$6:AF$3000&lt;=AJ$3)*('Data - SSV'!AH$6:AH$3000&lt;&gt;"")*IF('Data - SSV'!AH$6:AH$3000="",0,'Data - SSV'!AH$6:AH$3000))/AN60,3)&gt;=3.5,4,IF(IFERROR(SUMPRODUCT((ISNUMBER(SEARCH(B60,'Data - SSV'!AE$6:AE$3000)))*('Data - SSV'!AF$6:AF$3000&gt;=(AJ$3-90))*('Data - SSV'!AF$6:AF$3000&lt;=AJ$3)*('Data - SSV'!AH$6:AH$3000&lt;&gt;"")*IF('Data - SSV'!AH$6:AH$3000="",0,'Data - SSV'!AH$6:AH$3000))/AN60,3)&gt;=3,3,IF(IFERROR(SUMPRODUCT((ISNUMBER(SEARCH(B60,'Data - SSV'!AE$6:AE$3000)))*('Data - SSV'!AF$6:AF$3000&gt;=(AJ$3-90))*('Data - SSV'!AF$6:AF$3000&lt;=AJ$3)*('Data - SSV'!AH$6:AH$3000&lt;&gt;"")*IF('Data - SSV'!AH$6:AH$3000="",0,'Data - SSV'!AH$6:AH$3000))/AN60,3)&gt;=2,2,1)))))))</f>
        <v>3</v>
      </c>
    </row>
    <row r="61" spans="1:41" ht="19.5" customHeight="1" x14ac:dyDescent="0.15">
      <c r="A61" s="6" t="str">
        <f>'Field Teams'!A62</f>
        <v>FT-058</v>
      </c>
      <c r="B61" s="28" t="str">
        <f>'Field Teams'!B62</f>
        <v>Watmough's Forestry Adam</v>
      </c>
      <c r="C61" s="28" t="str">
        <f>'Field Teams'!C62</f>
        <v>Utility Arboriculture</v>
      </c>
      <c r="D61" s="6" t="str">
        <f>'Field Teams'!D62</f>
        <v>Donovan  Gosher</v>
      </c>
      <c r="E61" s="6" t="str">
        <f>'Field Teams'!E62</f>
        <v>Paul Shaw</v>
      </c>
      <c r="F61" s="6">
        <f>'Field Teams'!F62</f>
        <v>0</v>
      </c>
      <c r="G61" s="6">
        <f>'Field Teams'!G62</f>
        <v>0</v>
      </c>
      <c r="H61" s="31">
        <f>'Field Teams'!H62</f>
        <v>3</v>
      </c>
      <c r="I61" s="31">
        <f t="shared" si="5"/>
        <v>6</v>
      </c>
      <c r="J61" s="31">
        <f>IFERROR(SUMPRODUCT((((ISNUMBER(SEARCH(B61,'Data - HSQE Events'!V$6:V$3000))+ISNUMBER(SEARCH(B61,'Data - HSQE Events'!H$6:H$3000)))&gt;0))*('Data - HSQE Events'!F$6:F$3000&gt;=$AG$3)*('Data - HSQE Events'!F$6:F$3000&lt;=$AJ$3)*('Data - HSQE Events'!R$6:R$3000="Opportunity")),0)</f>
        <v>0</v>
      </c>
      <c r="K61" s="31">
        <f>IFERROR(SUMPRODUCT((((ISNUMBER(SEARCH(B61,'Data - HSQE Events'!V$6:V$3000))+ISNUMBER(SEARCH(B61,'Data - HSQE Events'!H$6:H$3000)))&gt;0))*('Data - HSQE Events'!F$6:F$3000&gt;=$AG$3)*('Data - HSQE Events'!F$6:F$3000&lt;=$AJ$3)*('Data - HSQE Events'!R$6:R$3000="Minor")),0)</f>
        <v>0</v>
      </c>
      <c r="L61" s="31">
        <f>IFERROR(SUMPRODUCT((((ISNUMBER(SEARCH(B61,'Data - HSQE Events'!V$6:V$3000))+ISNUMBER(SEARCH(B61,'Data - HSQE Events'!H$6:H$3000)))&gt;0))*('Data - HSQE Events'!F$6:F$3000&gt;=$AG$3)*('Data - HSQE Events'!F$6:F$3000&lt;=$AJ$3)*(('Data - HSQE Events'!R$6:R$3000="Moderate")+('Data - HSQE Events'!R$6:R$3000="Major"))),0)</f>
        <v>0</v>
      </c>
      <c r="M61" s="31" t="str">
        <f>IF(IFERROR(SUMPRODUCT((((ISNUMBER(SEARCH(B61,'Data - HSQE Events'!V$6:V$3000))+ISNUMBER(SEARCH(B61,'Data - HSQE Events'!H$6:H$3000)))&gt;0))*('Data - HSQE Events'!F$6:F$3000&gt;=$AG$3)*('Data - HSQE Events'!F$6:F$3000&lt;=$AJ$3)*('Data - HSQE Events'!R$6:R$3000="Major")),0)&gt;0,"YES","NO")</f>
        <v>NO</v>
      </c>
      <c r="N61" s="31">
        <f>IFERROR(SUMPRODUCT(('Data - Skillko'!B$6:B$3000=B61)*('Data - Skillko'!C$6:C$3000="Total")*('Data - Skillko'!E$6:E$3000))*100,0)</f>
        <v>53</v>
      </c>
      <c r="O61" s="31">
        <f t="shared" si="6"/>
        <v>3.1</v>
      </c>
      <c r="P61" s="31">
        <f>IFERROR(SUMPRODUCT(ISNUMBER(SEARCH(B61,'Pole Results'!$A$13:$A$2000))*('Pole Results'!$B$13:$B$2000&gt;=$AG$3)*('Pole Results'!$B$13:$B$2000&lt;=$AE$3)*('Pole Results'!$E$13:$E$2000="Non-Compliant")),0)</f>
        <v>0</v>
      </c>
      <c r="Q61" s="31">
        <f t="shared" si="7"/>
        <v>1</v>
      </c>
      <c r="R61" s="31">
        <f t="shared" si="8"/>
        <v>5</v>
      </c>
      <c r="S61" s="49">
        <f t="shared" si="9"/>
        <v>5</v>
      </c>
      <c r="T61" s="31">
        <f>IF('Field Teams'!$I$62="Inactive","",ROUND((Q61*Settings!$D$6+R61*Settings!$D$7+O61*Settings!$D$10+S61*Settings!$D$12+AO61*Settings!$D$13)/Settings!$D$14,1))</f>
        <v>2.8</v>
      </c>
      <c r="U61" s="115" t="str">
        <f>IF('Field Teams'!$I$62="Inactive","",IF(Q61="","",IF(Q61&gt;=4.5,"★★★★★",IF(Q61&gt;=3.5,"★★★★☆",IF(Q61&gt;=2.5,"★★★☆☆",IF(Q61&gt;=1.5,"★★☆☆☆","★☆☆☆☆"))))))</f>
        <v>★☆☆☆☆</v>
      </c>
      <c r="V61" s="115" t="str">
        <f>IF('Field Teams'!$I$62="Inactive","",IF(R61="","",IF(R61&gt;=4.5,"★★★★★",IF(R61&gt;=3.5,"★★★★☆",IF(R61&gt;=2.5,"★★★☆☆",IF(R61&gt;=1.5,"★★☆☆☆","★☆☆☆☆"))))))</f>
        <v>★★★★★</v>
      </c>
      <c r="W61" s="115" t="str">
        <f>IF('Field Teams'!$I$62="Inactive","",IF(O61="","",IF(O61&gt;=4.5,"★★★★★",IF(O61&gt;=3.5,"★★★★☆",IF(O61&gt;=2.5,"★★★☆☆",IF(O61&gt;=1.5,"★★☆☆☆","★☆☆☆☆"))))))</f>
        <v>★★★☆☆</v>
      </c>
      <c r="X61" s="115" t="str">
        <f>IF('Field Teams'!$I$62="Inactive","",IF(S61="","",IF(S61&gt;=4.5,"★★★★★",IF(S61&gt;=3.5,"★★★★☆",IF(S61&gt;=2.5,"★★★☆☆",IF(S61&gt;=1.5,"★★☆☆☆","★☆☆☆☆"))))))</f>
        <v>★★★★★</v>
      </c>
      <c r="Y61" s="115" t="str">
        <f>IF('Field Teams'!$I$62="Inactive","",IF(AO61="","",IF(AO61&gt;=4.5,"★★★★★",IF(AO61&gt;=3.5,"★★★★☆",IF(AO61&gt;=2.5,"★★★☆☆",IF(AO61&gt;=1.5,"★★☆☆☆","★☆☆☆☆"))))))</f>
        <v>★★★☆☆</v>
      </c>
      <c r="Z61" s="115" t="str">
        <f>IF('Field Teams'!$I$5="Inactive","",IF(T61="","",IF(T61&gt;=4.5,"★★★★★",IF(T61&gt;=3.5,"★★★★☆",IF(T61&gt;=2.5,"★★★☆☆",IF(T61&gt;=1.5,"★★☆☆☆","★☆☆☆☆"))))))</f>
        <v>★★★☆☆</v>
      </c>
      <c r="AA61" s="31" t="str">
        <f>IF('Field Teams'!$I$62="Inactive","",IF(M61="YES","HIGH",IF(Q61&lt;=Settings!$D$26,"HIGH",IF(T61&lt;=Settings!$D$23,"HIGH",IF(T61&lt;=Settings!$D$24,"MEDIUM","LOW")))))</f>
        <v>HIGH</v>
      </c>
      <c r="AB61" s="31">
        <f>IF('Field Teams'!$I$5="Inactive",-1,IFERROR((6-T61)+(77-ROW())*0.0001,0))</f>
        <v>3.2016</v>
      </c>
      <c r="AC61" s="35">
        <f>IF('Field Teams'!$I$5="Inactive",999,IFERROR((6-T61)+(ROW()-3)*0.0001,99))</f>
        <v>3.2058</v>
      </c>
      <c r="AD61" s="31">
        <f>IF('Field Teams'!$I$62="Inactive",999,IFERROR(AB61+(ROW()-3)*0.0001,99))</f>
        <v>3.2073999999999998</v>
      </c>
      <c r="AE61" s="29">
        <v>0</v>
      </c>
      <c r="AF61" s="31" t="str">
        <f>IF('Field Teams'!$I$62="Inactive","",IF(AA61="HIGH","YES - within 5 working days",""))</f>
        <v>YES - within 5 working days</v>
      </c>
      <c r="AG61" s="105"/>
      <c r="AH61" s="49">
        <f>IFERROR(SUMPRODUCT(ISNUMBER(SEARCH(B61,'Pole Results'!$A$13:$A$2000))*('Pole Results'!$B$13:$B$2000&gt;=$AG$3)*('Pole Results'!$B$13:$B$2000&lt;=$AE$3)),0)</f>
        <v>0</v>
      </c>
      <c r="AI61" s="49">
        <f>IFERROR(SUMPRODUCT(ISNUMBER(SEARCH(B61,'Pole Results'!$A$13:$A$2000))*('Pole Results'!$B$13:$B$2000&gt;=$AG$3)*('Pole Results'!$B$13:$B$2000&lt;=$AE$3)*('Pole Results'!$E$13:$E$2000="Compliant")),0)</f>
        <v>0</v>
      </c>
      <c r="AJ61" s="105"/>
      <c r="AK61" s="106">
        <f>IF('Field Teams'!$I$62="Inactive",-1,IF(AA61="HIGH",AB61,-1))</f>
        <v>3.2016</v>
      </c>
      <c r="AL61" s="106">
        <f>IF('Field Teams'!$I$62="Inactive",-1,IF(OR(AA61="HIGH",AA61="MEDIUM"),AB61,-1))</f>
        <v>3.2016</v>
      </c>
      <c r="AM61" t="str">
        <f>IF('Field Teams'!$I$62="Inactive","",IF(IFERROR(LOOKUP(2,1/('Historical Scores'!C62:N62&lt;&gt;""),'Historical Scores'!C62:N62),"")="","New",IF(T61=""," ",IF(T61&gt;IFERROR(LOOKUP(2,1/('Historical Scores'!C62:N62&lt;&gt;""),'Historical Scores'!C62:N62),""),"▲ Worsening",IF(T61&lt;IFERROR(LOOKUP(2,1/('Historical Scores'!C62:N62&lt;&gt;""),'Historical Scores'!C62:N62),""),"▼ Improving","► Stable")))))</f>
        <v>New</v>
      </c>
      <c r="AN61">
        <f>IFERROR(SUMPRODUCT((ISNUMBER(SEARCH(B61,'Data - SSV'!AE$6:AE$3000)))*('Data - SSV'!AF$6:AF$3000&gt;=(AJ$3-90))*('Data - SSV'!AF$6:AF$3000&lt;=AJ$3)*('Data - SSV'!AH$6:AH$3000&lt;&gt;"")),0)</f>
        <v>0</v>
      </c>
      <c r="AO61">
        <f>IF('Field Teams'!$I$62="Inactive","",IF(AN61=0,3,IF(AN61=1,IF(IFERROR(SUMPRODUCT((ISNUMBER(SEARCH(B61,'Data - SSV'!AE$6:AE$3000)))*('Data - SSV'!AF$6:AF$3000&gt;=(AJ$3-90))*('Data - SSV'!AF$6:AF$3000&lt;=AJ$3)*('Data - SSV'!AH$6:AH$3000&lt;&gt;"")*IF('Data - SSV'!AH$6:AH$3000="",0,'Data - SSV'!AH$6:AH$3000))/AN61,3)=4,4,IF(IFERROR(SUMPRODUCT((ISNUMBER(SEARCH(B61,'Data - SSV'!AE$6:AE$3000)))*('Data - SSV'!AF$6:AF$3000&gt;=(AJ$3-90))*('Data - SSV'!AF$6:AF$3000&lt;=AJ$3)*('Data - SSV'!AH$6:AH$3000&lt;&gt;"")*IF('Data - SSV'!AH$6:AH$3000="",0,'Data - SSV'!AH$6:AH$3000))/AN61,3)&gt;=3,3,IF(IFERROR(SUMPRODUCT((ISNUMBER(SEARCH(B61,'Data - SSV'!AE$6:AE$3000)))*('Data - SSV'!AF$6:AF$3000&gt;=(AJ$3-90))*('Data - SSV'!AF$6:AF$3000&lt;=AJ$3)*('Data - SSV'!AH$6:AH$3000&lt;&gt;"")*IF('Data - SSV'!AH$6:AH$3000="",0,'Data - SSV'!AH$6:AH$3000))/AN61,3)&gt;=2,2,1))),IF(IFERROR(SUMPRODUCT((ISNUMBER(SEARCH(B61,'Data - SSV'!AE$6:AE$3000)))*('Data - SSV'!AF$6:AF$3000&gt;=(AJ$3-90))*('Data - SSV'!AF$6:AF$3000&lt;=AJ$3)*('Data - SSV'!AH$6:AH$3000&lt;&gt;"")*IF('Data - SSV'!AH$6:AH$3000="",0,'Data - SSV'!AH$6:AH$3000))/AN61,3)=4,5,IF(IFERROR(SUMPRODUCT((ISNUMBER(SEARCH(B61,'Data - SSV'!AE$6:AE$3000)))*('Data - SSV'!AF$6:AF$3000&gt;=(AJ$3-90))*('Data - SSV'!AF$6:AF$3000&lt;=AJ$3)*('Data - SSV'!AH$6:AH$3000&lt;&gt;"")*IF('Data - SSV'!AH$6:AH$3000="",0,'Data - SSV'!AH$6:AH$3000))/AN61,3)&gt;=3.5,4,IF(IFERROR(SUMPRODUCT((ISNUMBER(SEARCH(B61,'Data - SSV'!AE$6:AE$3000)))*('Data - SSV'!AF$6:AF$3000&gt;=(AJ$3-90))*('Data - SSV'!AF$6:AF$3000&lt;=AJ$3)*('Data - SSV'!AH$6:AH$3000&lt;&gt;"")*IF('Data - SSV'!AH$6:AH$3000="",0,'Data - SSV'!AH$6:AH$3000))/AN61,3)&gt;=3,3,IF(IFERROR(SUMPRODUCT((ISNUMBER(SEARCH(B61,'Data - SSV'!AE$6:AE$3000)))*('Data - SSV'!AF$6:AF$3000&gt;=(AJ$3-90))*('Data - SSV'!AF$6:AF$3000&lt;=AJ$3)*('Data - SSV'!AH$6:AH$3000&lt;&gt;"")*IF('Data - SSV'!AH$6:AH$3000="",0,'Data - SSV'!AH$6:AH$3000))/AN61,3)&gt;=2,2,1)))))))</f>
        <v>3</v>
      </c>
    </row>
    <row r="62" spans="1:41" ht="19.5" customHeight="1" x14ac:dyDescent="0.15">
      <c r="A62" s="10" t="str">
        <f>'Field Teams'!A63</f>
        <v>FT-059</v>
      </c>
      <c r="B62" s="30" t="str">
        <f>'Field Teams'!B63</f>
        <v>Jack Cotterill Tree Services Ltd</v>
      </c>
      <c r="C62" s="30" t="str">
        <f>'Field Teams'!C63</f>
        <v>Utility Arboriculture</v>
      </c>
      <c r="D62" s="10" t="str">
        <f>'Field Teams'!D63</f>
        <v>Karl Cunningham</v>
      </c>
      <c r="E62" s="10" t="str">
        <f>'Field Teams'!E63</f>
        <v>David Damm|Craig Horton</v>
      </c>
      <c r="F62" s="10">
        <f>'Field Teams'!F63</f>
        <v>0</v>
      </c>
      <c r="G62" s="10">
        <f>'Field Teams'!G63</f>
        <v>0</v>
      </c>
      <c r="H62" s="31">
        <f>'Field Teams'!H63</f>
        <v>16</v>
      </c>
      <c r="I62" s="31">
        <f t="shared" si="5"/>
        <v>32</v>
      </c>
      <c r="J62" s="31">
        <f>IFERROR(SUMPRODUCT((((ISNUMBER(SEARCH(B62,'Data - HSQE Events'!V$6:V$3000))+ISNUMBER(SEARCH(B62,'Data - HSQE Events'!H$6:H$3000)))&gt;0))*('Data - HSQE Events'!F$6:F$3000&gt;=$AG$3)*('Data - HSQE Events'!F$6:F$3000&lt;=$AJ$3)*('Data - HSQE Events'!R$6:R$3000="Opportunity")),0)</f>
        <v>0</v>
      </c>
      <c r="K62" s="31">
        <f>IFERROR(SUMPRODUCT((((ISNUMBER(SEARCH(B62,'Data - HSQE Events'!V$6:V$3000))+ISNUMBER(SEARCH(B62,'Data - HSQE Events'!H$6:H$3000)))&gt;0))*('Data - HSQE Events'!F$6:F$3000&gt;=$AG$3)*('Data - HSQE Events'!F$6:F$3000&lt;=$AJ$3)*('Data - HSQE Events'!R$6:R$3000="Minor")),0)</f>
        <v>0</v>
      </c>
      <c r="L62" s="31">
        <f>IFERROR(SUMPRODUCT((((ISNUMBER(SEARCH(B62,'Data - HSQE Events'!V$6:V$3000))+ISNUMBER(SEARCH(B62,'Data - HSQE Events'!H$6:H$3000)))&gt;0))*('Data - HSQE Events'!F$6:F$3000&gt;=$AG$3)*('Data - HSQE Events'!F$6:F$3000&lt;=$AJ$3)*(('Data - HSQE Events'!R$6:R$3000="Moderate")+('Data - HSQE Events'!R$6:R$3000="Major"))),0)</f>
        <v>0</v>
      </c>
      <c r="M62" s="31" t="str">
        <f>IF(IFERROR(SUMPRODUCT((((ISNUMBER(SEARCH(B62,'Data - HSQE Events'!V$6:V$3000))+ISNUMBER(SEARCH(B62,'Data - HSQE Events'!H$6:H$3000)))&gt;0))*('Data - HSQE Events'!F$6:F$3000&gt;=$AG$3)*('Data - HSQE Events'!F$6:F$3000&lt;=$AJ$3)*('Data - HSQE Events'!R$6:R$3000="Major")),0)&gt;0,"YES","NO")</f>
        <v>NO</v>
      </c>
      <c r="N62" s="31">
        <f>IFERROR(SUMPRODUCT(('Data - Skillko'!B$6:B$3000=B62)*('Data - Skillko'!C$6:C$3000="Total")*('Data - Skillko'!E$6:E$3000))*100,0)</f>
        <v>65</v>
      </c>
      <c r="O62" s="31">
        <f t="shared" si="6"/>
        <v>3.6</v>
      </c>
      <c r="P62" s="31">
        <f>IFERROR(SUMPRODUCT(ISNUMBER(SEARCH(B62,'Pole Results'!$A$13:$A$2000))*('Pole Results'!$B$13:$B$2000&gt;=$AG$3)*('Pole Results'!$B$13:$B$2000&lt;=$AE$3)*('Pole Results'!$E$13:$E$2000="Non-Compliant")),0)</f>
        <v>0</v>
      </c>
      <c r="Q62" s="31">
        <f t="shared" si="7"/>
        <v>1</v>
      </c>
      <c r="R62" s="31">
        <f t="shared" si="8"/>
        <v>5</v>
      </c>
      <c r="S62" s="49">
        <f t="shared" si="9"/>
        <v>5</v>
      </c>
      <c r="T62" s="31">
        <f>IF('Field Teams'!$I$63="Inactive","",ROUND((Q62*Settings!$D$6+R62*Settings!$D$7+O62*Settings!$D$10+S62*Settings!$D$12+AO62*Settings!$D$13)/Settings!$D$14,1))</f>
        <v>2.9</v>
      </c>
      <c r="U62" s="115" t="str">
        <f>IF('Field Teams'!$I$63="Inactive","",IF(Q62="","",IF(Q62&gt;=4.5,"★★★★★",IF(Q62&gt;=3.5,"★★★★☆",IF(Q62&gt;=2.5,"★★★☆☆",IF(Q62&gt;=1.5,"★★☆☆☆","★☆☆☆☆"))))))</f>
        <v>★☆☆☆☆</v>
      </c>
      <c r="V62" s="115" t="str">
        <f>IF('Field Teams'!$I$63="Inactive","",IF(R62="","",IF(R62&gt;=4.5,"★★★★★",IF(R62&gt;=3.5,"★★★★☆",IF(R62&gt;=2.5,"★★★☆☆",IF(R62&gt;=1.5,"★★☆☆☆","★☆☆☆☆"))))))</f>
        <v>★★★★★</v>
      </c>
      <c r="W62" s="115" t="str">
        <f>IF('Field Teams'!$I$63="Inactive","",IF(O62="","",IF(O62&gt;=4.5,"★★★★★",IF(O62&gt;=3.5,"★★★★☆",IF(O62&gt;=2.5,"★★★☆☆",IF(O62&gt;=1.5,"★★☆☆☆","★☆☆☆☆"))))))</f>
        <v>★★★★☆</v>
      </c>
      <c r="X62" s="115" t="str">
        <f>IF('Field Teams'!$I$63="Inactive","",IF(S62="","",IF(S62&gt;=4.5,"★★★★★",IF(S62&gt;=3.5,"★★★★☆",IF(S62&gt;=2.5,"★★★☆☆",IF(S62&gt;=1.5,"★★☆☆☆","★☆☆☆☆"))))))</f>
        <v>★★★★★</v>
      </c>
      <c r="Y62" s="115" t="str">
        <f>IF('Field Teams'!$I$63="Inactive","",IF(AO62="","",IF(AO62&gt;=4.5,"★★★★★",IF(AO62&gt;=3.5,"★★★★☆",IF(AO62&gt;=2.5,"★★★☆☆",IF(AO62&gt;=1.5,"★★☆☆☆","★☆☆☆☆"))))))</f>
        <v>★★★☆☆</v>
      </c>
      <c r="Z62" s="115" t="str">
        <f>IF('Field Teams'!$I$5="Inactive","",IF(T62="","",IF(T62&gt;=4.5,"★★★★★",IF(T62&gt;=3.5,"★★★★☆",IF(T62&gt;=2.5,"★★★☆☆",IF(T62&gt;=1.5,"★★☆☆☆","★☆☆☆☆"))))))</f>
        <v>★★★☆☆</v>
      </c>
      <c r="AA62" s="31" t="str">
        <f>IF('Field Teams'!$I$63="Inactive","",IF(M62="YES","HIGH",IF(Q62&lt;=Settings!$D$26,"HIGH",IF(T62&lt;=Settings!$D$23,"HIGH",IF(T62&lt;=Settings!$D$24,"MEDIUM","LOW")))))</f>
        <v>HIGH</v>
      </c>
      <c r="AB62" s="31">
        <f>IF('Field Teams'!$I$5="Inactive",-1,IFERROR((6-T62)+(77-ROW())*0.0001,0))</f>
        <v>3.1015000000000001</v>
      </c>
      <c r="AC62" s="35">
        <f>IF('Field Teams'!$I$5="Inactive",999,IFERROR((6-T62)+(ROW()-3)*0.0001,99))</f>
        <v>3.1059000000000001</v>
      </c>
      <c r="AD62" s="31">
        <f>IF('Field Teams'!$I$63="Inactive",999,IFERROR(AB62+(ROW()-3)*0.0001,99))</f>
        <v>3.1074000000000002</v>
      </c>
      <c r="AE62" s="29">
        <v>0</v>
      </c>
      <c r="AF62" s="31" t="str">
        <f>IF('Field Teams'!$I$63="Inactive","",IF(AA62="HIGH","YES - within 5 working days",""))</f>
        <v>YES - within 5 working days</v>
      </c>
      <c r="AG62" s="105"/>
      <c r="AH62" s="49">
        <f>IFERROR(SUMPRODUCT(ISNUMBER(SEARCH(B62,'Pole Results'!$A$13:$A$2000))*('Pole Results'!$B$13:$B$2000&gt;=$AG$3)*('Pole Results'!$B$13:$B$2000&lt;=$AE$3)),0)</f>
        <v>0</v>
      </c>
      <c r="AI62" s="49">
        <f>IFERROR(SUMPRODUCT(ISNUMBER(SEARCH(B62,'Pole Results'!$A$13:$A$2000))*('Pole Results'!$B$13:$B$2000&gt;=$AG$3)*('Pole Results'!$B$13:$B$2000&lt;=$AE$3)*('Pole Results'!$E$13:$E$2000="Compliant")),0)</f>
        <v>0</v>
      </c>
      <c r="AJ62" s="105"/>
      <c r="AK62" s="106">
        <f>IF('Field Teams'!$I$63="Inactive",-1,IF(AA62="HIGH",AB62,-1))</f>
        <v>3.1015000000000001</v>
      </c>
      <c r="AL62" s="106">
        <f>IF('Field Teams'!$I$63="Inactive",-1,IF(OR(AA62="HIGH",AA62="MEDIUM"),AB62,-1))</f>
        <v>3.1015000000000001</v>
      </c>
      <c r="AM62" t="str">
        <f>IF('Field Teams'!$I$63="Inactive","",IF(IFERROR(LOOKUP(2,1/('Historical Scores'!C63:N63&lt;&gt;""),'Historical Scores'!C63:N63),"")="","New",IF(T62=""," ",IF(T62&gt;IFERROR(LOOKUP(2,1/('Historical Scores'!C63:N63&lt;&gt;""),'Historical Scores'!C63:N63),""),"▲ Worsening",IF(T62&lt;IFERROR(LOOKUP(2,1/('Historical Scores'!C63:N63&lt;&gt;""),'Historical Scores'!C63:N63),""),"▼ Improving","► Stable")))))</f>
        <v>New</v>
      </c>
      <c r="AN62">
        <f>IFERROR(SUMPRODUCT((ISNUMBER(SEARCH(B62,'Data - SSV'!AE$6:AE$3000)))*('Data - SSV'!AF$6:AF$3000&gt;=(AJ$3-90))*('Data - SSV'!AF$6:AF$3000&lt;=AJ$3)*('Data - SSV'!AH$6:AH$3000&lt;&gt;"")),0)</f>
        <v>0</v>
      </c>
      <c r="AO62">
        <f>IF('Field Teams'!$I$63="Inactive","",IF(AN62=0,3,IF(AN62=1,IF(IFERROR(SUMPRODUCT((ISNUMBER(SEARCH(B62,'Data - SSV'!AE$6:AE$3000)))*('Data - SSV'!AF$6:AF$3000&gt;=(AJ$3-90))*('Data - SSV'!AF$6:AF$3000&lt;=AJ$3)*('Data - SSV'!AH$6:AH$3000&lt;&gt;"")*IF('Data - SSV'!AH$6:AH$3000="",0,'Data - SSV'!AH$6:AH$3000))/AN62,3)=4,4,IF(IFERROR(SUMPRODUCT((ISNUMBER(SEARCH(B62,'Data - SSV'!AE$6:AE$3000)))*('Data - SSV'!AF$6:AF$3000&gt;=(AJ$3-90))*('Data - SSV'!AF$6:AF$3000&lt;=AJ$3)*('Data - SSV'!AH$6:AH$3000&lt;&gt;"")*IF('Data - SSV'!AH$6:AH$3000="",0,'Data - SSV'!AH$6:AH$3000))/AN62,3)&gt;=3,3,IF(IFERROR(SUMPRODUCT((ISNUMBER(SEARCH(B62,'Data - SSV'!AE$6:AE$3000)))*('Data - SSV'!AF$6:AF$3000&gt;=(AJ$3-90))*('Data - SSV'!AF$6:AF$3000&lt;=AJ$3)*('Data - SSV'!AH$6:AH$3000&lt;&gt;"")*IF('Data - SSV'!AH$6:AH$3000="",0,'Data - SSV'!AH$6:AH$3000))/AN62,3)&gt;=2,2,1))),IF(IFERROR(SUMPRODUCT((ISNUMBER(SEARCH(B62,'Data - SSV'!AE$6:AE$3000)))*('Data - SSV'!AF$6:AF$3000&gt;=(AJ$3-90))*('Data - SSV'!AF$6:AF$3000&lt;=AJ$3)*('Data - SSV'!AH$6:AH$3000&lt;&gt;"")*IF('Data - SSV'!AH$6:AH$3000="",0,'Data - SSV'!AH$6:AH$3000))/AN62,3)=4,5,IF(IFERROR(SUMPRODUCT((ISNUMBER(SEARCH(B62,'Data - SSV'!AE$6:AE$3000)))*('Data - SSV'!AF$6:AF$3000&gt;=(AJ$3-90))*('Data - SSV'!AF$6:AF$3000&lt;=AJ$3)*('Data - SSV'!AH$6:AH$3000&lt;&gt;"")*IF('Data - SSV'!AH$6:AH$3000="",0,'Data - SSV'!AH$6:AH$3000))/AN62,3)&gt;=3.5,4,IF(IFERROR(SUMPRODUCT((ISNUMBER(SEARCH(B62,'Data - SSV'!AE$6:AE$3000)))*('Data - SSV'!AF$6:AF$3000&gt;=(AJ$3-90))*('Data - SSV'!AF$6:AF$3000&lt;=AJ$3)*('Data - SSV'!AH$6:AH$3000&lt;&gt;"")*IF('Data - SSV'!AH$6:AH$3000="",0,'Data - SSV'!AH$6:AH$3000))/AN62,3)&gt;=3,3,IF(IFERROR(SUMPRODUCT((ISNUMBER(SEARCH(B62,'Data - SSV'!AE$6:AE$3000)))*('Data - SSV'!AF$6:AF$3000&gt;=(AJ$3-90))*('Data - SSV'!AF$6:AF$3000&lt;=AJ$3)*('Data - SSV'!AH$6:AH$3000&lt;&gt;"")*IF('Data - SSV'!AH$6:AH$3000="",0,'Data - SSV'!AH$6:AH$3000))/AN62,3)&gt;=2,2,1)))))))</f>
        <v>3</v>
      </c>
    </row>
    <row r="63" spans="1:41" ht="19.5" customHeight="1" x14ac:dyDescent="0.15">
      <c r="A63" s="6" t="str">
        <f>'Field Teams'!A64</f>
        <v>FT-060</v>
      </c>
      <c r="B63" s="28" t="str">
        <f>'Field Teams'!B64</f>
        <v>Integrated Arb Solutions</v>
      </c>
      <c r="C63" s="28" t="str">
        <f>'Field Teams'!C64</f>
        <v>Utility Arboriculture</v>
      </c>
      <c r="D63" s="6" t="str">
        <f>'Field Teams'!D64</f>
        <v>Laura Daly</v>
      </c>
      <c r="E63" s="6" t="str">
        <f>'Field Teams'!E64</f>
        <v>Jon Addis</v>
      </c>
      <c r="F63" s="6">
        <f>'Field Teams'!F64</f>
        <v>0</v>
      </c>
      <c r="G63" s="6">
        <f>'Field Teams'!G64</f>
        <v>0</v>
      </c>
      <c r="H63" s="31">
        <f>'Field Teams'!H64</f>
        <v>4</v>
      </c>
      <c r="I63" s="31">
        <f t="shared" si="5"/>
        <v>8</v>
      </c>
      <c r="J63" s="31">
        <f>IFERROR(SUMPRODUCT((((ISNUMBER(SEARCH(B63,'Data - HSQE Events'!V$6:V$3000))+ISNUMBER(SEARCH(B63,'Data - HSQE Events'!H$6:H$3000)))&gt;0))*('Data - HSQE Events'!F$6:F$3000&gt;=$AG$3)*('Data - HSQE Events'!F$6:F$3000&lt;=$AJ$3)*('Data - HSQE Events'!R$6:R$3000="Opportunity")),0)</f>
        <v>0</v>
      </c>
      <c r="K63" s="31">
        <f>IFERROR(SUMPRODUCT((((ISNUMBER(SEARCH(B63,'Data - HSQE Events'!V$6:V$3000))+ISNUMBER(SEARCH(B63,'Data - HSQE Events'!H$6:H$3000)))&gt;0))*('Data - HSQE Events'!F$6:F$3000&gt;=$AG$3)*('Data - HSQE Events'!F$6:F$3000&lt;=$AJ$3)*('Data - HSQE Events'!R$6:R$3000="Minor")),0)</f>
        <v>0</v>
      </c>
      <c r="L63" s="31">
        <f>IFERROR(SUMPRODUCT((((ISNUMBER(SEARCH(B63,'Data - HSQE Events'!V$6:V$3000))+ISNUMBER(SEARCH(B63,'Data - HSQE Events'!H$6:H$3000)))&gt;0))*('Data - HSQE Events'!F$6:F$3000&gt;=$AG$3)*('Data - HSQE Events'!F$6:F$3000&lt;=$AJ$3)*(('Data - HSQE Events'!R$6:R$3000="Moderate")+('Data - HSQE Events'!R$6:R$3000="Major"))),0)</f>
        <v>0</v>
      </c>
      <c r="M63" s="31" t="str">
        <f>IF(IFERROR(SUMPRODUCT((((ISNUMBER(SEARCH(B63,'Data - HSQE Events'!V$6:V$3000))+ISNUMBER(SEARCH(B63,'Data - HSQE Events'!H$6:H$3000)))&gt;0))*('Data - HSQE Events'!F$6:F$3000&gt;=$AG$3)*('Data - HSQE Events'!F$6:F$3000&lt;=$AJ$3)*('Data - HSQE Events'!R$6:R$3000="Major")),0)&gt;0,"YES","NO")</f>
        <v>NO</v>
      </c>
      <c r="N63" s="31">
        <f>IFERROR(SUMPRODUCT(('Data - Skillko'!B$6:B$3000=B63)*('Data - Skillko'!C$6:C$3000="Total")*('Data - Skillko'!E$6:E$3000))*100,0)</f>
        <v>32</v>
      </c>
      <c r="O63" s="31">
        <f t="shared" si="6"/>
        <v>2.2999999999999998</v>
      </c>
      <c r="P63" s="31">
        <f>IFERROR(SUMPRODUCT(ISNUMBER(SEARCH(B63,'Pole Results'!$A$13:$A$2000))*('Pole Results'!$B$13:$B$2000&gt;=$AG$3)*('Pole Results'!$B$13:$B$2000&lt;=$AE$3)*('Pole Results'!$E$13:$E$2000="Non-Compliant")),0)</f>
        <v>0</v>
      </c>
      <c r="Q63" s="31">
        <f t="shared" si="7"/>
        <v>1</v>
      </c>
      <c r="R63" s="31">
        <f t="shared" si="8"/>
        <v>5</v>
      </c>
      <c r="S63" s="49">
        <f t="shared" si="9"/>
        <v>5</v>
      </c>
      <c r="T63" s="31">
        <f>IF('Field Teams'!$I$64="Inactive","",ROUND((Q63*Settings!$D$6+R63*Settings!$D$7+O63*Settings!$D$10+S63*Settings!$D$12+AO63*Settings!$D$13)/Settings!$D$14,1))</f>
        <v>2.7</v>
      </c>
      <c r="U63" s="115" t="str">
        <f>IF('Field Teams'!$I$64="Inactive","",IF(Q63="","",IF(Q63&gt;=4.5,"★★★★★",IF(Q63&gt;=3.5,"★★★★☆",IF(Q63&gt;=2.5,"★★★☆☆",IF(Q63&gt;=1.5,"★★☆☆☆","★☆☆☆☆"))))))</f>
        <v>★☆☆☆☆</v>
      </c>
      <c r="V63" s="115" t="str">
        <f>IF('Field Teams'!$I$64="Inactive","",IF(R63="","",IF(R63&gt;=4.5,"★★★★★",IF(R63&gt;=3.5,"★★★★☆",IF(R63&gt;=2.5,"★★★☆☆",IF(R63&gt;=1.5,"★★☆☆☆","★☆☆☆☆"))))))</f>
        <v>★★★★★</v>
      </c>
      <c r="W63" s="115" t="str">
        <f>IF('Field Teams'!$I$64="Inactive","",IF(O63="","",IF(O63&gt;=4.5,"★★★★★",IF(O63&gt;=3.5,"★★★★☆",IF(O63&gt;=2.5,"★★★☆☆",IF(O63&gt;=1.5,"★★☆☆☆","★☆☆☆☆"))))))</f>
        <v>★★☆☆☆</v>
      </c>
      <c r="X63" s="115" t="str">
        <f>IF('Field Teams'!$I$64="Inactive","",IF(S63="","",IF(S63&gt;=4.5,"★★★★★",IF(S63&gt;=3.5,"★★★★☆",IF(S63&gt;=2.5,"★★★☆☆",IF(S63&gt;=1.5,"★★☆☆☆","★☆☆☆☆"))))))</f>
        <v>★★★★★</v>
      </c>
      <c r="Y63" s="115" t="str">
        <f>IF('Field Teams'!$I$64="Inactive","",IF(AO63="","",IF(AO63&gt;=4.5,"★★★★★",IF(AO63&gt;=3.5,"★★★★☆",IF(AO63&gt;=2.5,"★★★☆☆",IF(AO63&gt;=1.5,"★★☆☆☆","★☆☆☆☆"))))))</f>
        <v>★★★☆☆</v>
      </c>
      <c r="Z63" s="115" t="str">
        <f>IF('Field Teams'!$I$5="Inactive","",IF(T63="","",IF(T63&gt;=4.5,"★★★★★",IF(T63&gt;=3.5,"★★★★☆",IF(T63&gt;=2.5,"★★★☆☆",IF(T63&gt;=1.5,"★★☆☆☆","★☆☆☆☆"))))))</f>
        <v>★★★☆☆</v>
      </c>
      <c r="AA63" s="31" t="str">
        <f>IF('Field Teams'!$I$64="Inactive","",IF(M63="YES","HIGH",IF(Q63&lt;=Settings!$D$26,"HIGH",IF(T63&lt;=Settings!$D$23,"HIGH",IF(T63&lt;=Settings!$D$24,"MEDIUM","LOW")))))</f>
        <v>HIGH</v>
      </c>
      <c r="AB63" s="31">
        <f>IF('Field Teams'!$I$5="Inactive",-1,IFERROR((6-T63)+(77-ROW())*0.0001,0))</f>
        <v>3.3013999999999997</v>
      </c>
      <c r="AC63" s="35">
        <f>IF('Field Teams'!$I$5="Inactive",999,IFERROR((6-T63)+(ROW()-3)*0.0001,99))</f>
        <v>3.3059999999999996</v>
      </c>
      <c r="AD63" s="31">
        <f>IF('Field Teams'!$I$64="Inactive",999,IFERROR(AB63+(ROW()-3)*0.0001,99))</f>
        <v>3.3073999999999995</v>
      </c>
      <c r="AE63" s="29">
        <v>0</v>
      </c>
      <c r="AF63" s="31" t="str">
        <f>IF('Field Teams'!$I$64="Inactive","",IF(AA63="HIGH","YES - within 5 working days",""))</f>
        <v>YES - within 5 working days</v>
      </c>
      <c r="AG63" s="105"/>
      <c r="AH63" s="49">
        <f>IFERROR(SUMPRODUCT(ISNUMBER(SEARCH(B63,'Pole Results'!$A$13:$A$2000))*('Pole Results'!$B$13:$B$2000&gt;=$AG$3)*('Pole Results'!$B$13:$B$2000&lt;=$AE$3)),0)</f>
        <v>0</v>
      </c>
      <c r="AI63" s="49">
        <f>IFERROR(SUMPRODUCT(ISNUMBER(SEARCH(B63,'Pole Results'!$A$13:$A$2000))*('Pole Results'!$B$13:$B$2000&gt;=$AG$3)*('Pole Results'!$B$13:$B$2000&lt;=$AE$3)*('Pole Results'!$E$13:$E$2000="Compliant")),0)</f>
        <v>0</v>
      </c>
      <c r="AJ63" s="105"/>
      <c r="AK63" s="106">
        <f>IF('Field Teams'!$I$64="Inactive",-1,IF(AA63="HIGH",AB63,-1))</f>
        <v>3.3013999999999997</v>
      </c>
      <c r="AL63" s="106">
        <f>IF('Field Teams'!$I$64="Inactive",-1,IF(OR(AA63="HIGH",AA63="MEDIUM"),AB63,-1))</f>
        <v>3.3013999999999997</v>
      </c>
      <c r="AM63" t="str">
        <f>IF('Field Teams'!$I$64="Inactive","",IF(IFERROR(LOOKUP(2,1/('Historical Scores'!C64:N64&lt;&gt;""),'Historical Scores'!C64:N64),"")="","New",IF(T63=""," ",IF(T63&gt;IFERROR(LOOKUP(2,1/('Historical Scores'!C64:N64&lt;&gt;""),'Historical Scores'!C64:N64),""),"▲ Worsening",IF(T63&lt;IFERROR(LOOKUP(2,1/('Historical Scores'!C64:N64&lt;&gt;""),'Historical Scores'!C64:N64),""),"▼ Improving","► Stable")))))</f>
        <v>New</v>
      </c>
      <c r="AN63">
        <f>IFERROR(SUMPRODUCT((ISNUMBER(SEARCH(B63,'Data - SSV'!AE$6:AE$3000)))*('Data - SSV'!AF$6:AF$3000&gt;=(AJ$3-90))*('Data - SSV'!AF$6:AF$3000&lt;=AJ$3)*('Data - SSV'!AH$6:AH$3000&lt;&gt;"")),0)</f>
        <v>0</v>
      </c>
      <c r="AO63">
        <f>IF('Field Teams'!$I$64="Inactive","",IF(AN63=0,3,IF(AN63=1,IF(IFERROR(SUMPRODUCT((ISNUMBER(SEARCH(B63,'Data - SSV'!AE$6:AE$3000)))*('Data - SSV'!AF$6:AF$3000&gt;=(AJ$3-90))*('Data - SSV'!AF$6:AF$3000&lt;=AJ$3)*('Data - SSV'!AH$6:AH$3000&lt;&gt;"")*IF('Data - SSV'!AH$6:AH$3000="",0,'Data - SSV'!AH$6:AH$3000))/AN63,3)=4,4,IF(IFERROR(SUMPRODUCT((ISNUMBER(SEARCH(B63,'Data - SSV'!AE$6:AE$3000)))*('Data - SSV'!AF$6:AF$3000&gt;=(AJ$3-90))*('Data - SSV'!AF$6:AF$3000&lt;=AJ$3)*('Data - SSV'!AH$6:AH$3000&lt;&gt;"")*IF('Data - SSV'!AH$6:AH$3000="",0,'Data - SSV'!AH$6:AH$3000))/AN63,3)&gt;=3,3,IF(IFERROR(SUMPRODUCT((ISNUMBER(SEARCH(B63,'Data - SSV'!AE$6:AE$3000)))*('Data - SSV'!AF$6:AF$3000&gt;=(AJ$3-90))*('Data - SSV'!AF$6:AF$3000&lt;=AJ$3)*('Data - SSV'!AH$6:AH$3000&lt;&gt;"")*IF('Data - SSV'!AH$6:AH$3000="",0,'Data - SSV'!AH$6:AH$3000))/AN63,3)&gt;=2,2,1))),IF(IFERROR(SUMPRODUCT((ISNUMBER(SEARCH(B63,'Data - SSV'!AE$6:AE$3000)))*('Data - SSV'!AF$6:AF$3000&gt;=(AJ$3-90))*('Data - SSV'!AF$6:AF$3000&lt;=AJ$3)*('Data - SSV'!AH$6:AH$3000&lt;&gt;"")*IF('Data - SSV'!AH$6:AH$3000="",0,'Data - SSV'!AH$6:AH$3000))/AN63,3)=4,5,IF(IFERROR(SUMPRODUCT((ISNUMBER(SEARCH(B63,'Data - SSV'!AE$6:AE$3000)))*('Data - SSV'!AF$6:AF$3000&gt;=(AJ$3-90))*('Data - SSV'!AF$6:AF$3000&lt;=AJ$3)*('Data - SSV'!AH$6:AH$3000&lt;&gt;"")*IF('Data - SSV'!AH$6:AH$3000="",0,'Data - SSV'!AH$6:AH$3000))/AN63,3)&gt;=3.5,4,IF(IFERROR(SUMPRODUCT((ISNUMBER(SEARCH(B63,'Data - SSV'!AE$6:AE$3000)))*('Data - SSV'!AF$6:AF$3000&gt;=(AJ$3-90))*('Data - SSV'!AF$6:AF$3000&lt;=AJ$3)*('Data - SSV'!AH$6:AH$3000&lt;&gt;"")*IF('Data - SSV'!AH$6:AH$3000="",0,'Data - SSV'!AH$6:AH$3000))/AN63,3)&gt;=3,3,IF(IFERROR(SUMPRODUCT((ISNUMBER(SEARCH(B63,'Data - SSV'!AE$6:AE$3000)))*('Data - SSV'!AF$6:AF$3000&gt;=(AJ$3-90))*('Data - SSV'!AF$6:AF$3000&lt;=AJ$3)*('Data - SSV'!AH$6:AH$3000&lt;&gt;"")*IF('Data - SSV'!AH$6:AH$3000="",0,'Data - SSV'!AH$6:AH$3000))/AN63,3)&gt;=2,2,1)))))))</f>
        <v>3</v>
      </c>
    </row>
    <row r="64" spans="1:41" ht="19.5" customHeight="1" x14ac:dyDescent="0.15">
      <c r="A64" s="10" t="str">
        <f>'Field Teams'!A65</f>
        <v>FT-061</v>
      </c>
      <c r="B64" s="30" t="str">
        <f>'Field Teams'!B65</f>
        <v>L&amp;L Group LTD</v>
      </c>
      <c r="C64" s="30" t="str">
        <f>'Field Teams'!C65</f>
        <v>Utility Arboriculture</v>
      </c>
      <c r="D64" s="10" t="str">
        <f>'Field Teams'!D65</f>
        <v>Laura Daly</v>
      </c>
      <c r="E64" s="10" t="str">
        <f>'Field Teams'!E65</f>
        <v>Jon Addis</v>
      </c>
      <c r="F64" s="10">
        <f>'Field Teams'!F65</f>
        <v>0</v>
      </c>
      <c r="G64" s="10">
        <f>'Field Teams'!G65</f>
        <v>0</v>
      </c>
      <c r="H64" s="31">
        <f>'Field Teams'!H65</f>
        <v>1</v>
      </c>
      <c r="I64" s="31">
        <f t="shared" si="5"/>
        <v>2</v>
      </c>
      <c r="J64" s="31">
        <f>IFERROR(SUMPRODUCT((((ISNUMBER(SEARCH(B64,'Data - HSQE Events'!V$6:V$3000))+ISNUMBER(SEARCH(B64,'Data - HSQE Events'!H$6:H$3000)))&gt;0))*('Data - HSQE Events'!F$6:F$3000&gt;=$AG$3)*('Data - HSQE Events'!F$6:F$3000&lt;=$AJ$3)*('Data - HSQE Events'!R$6:R$3000="Opportunity")),0)</f>
        <v>0</v>
      </c>
      <c r="K64" s="31">
        <f>IFERROR(SUMPRODUCT((((ISNUMBER(SEARCH(B64,'Data - HSQE Events'!V$6:V$3000))+ISNUMBER(SEARCH(B64,'Data - HSQE Events'!H$6:H$3000)))&gt;0))*('Data - HSQE Events'!F$6:F$3000&gt;=$AG$3)*('Data - HSQE Events'!F$6:F$3000&lt;=$AJ$3)*('Data - HSQE Events'!R$6:R$3000="Minor")),0)</f>
        <v>0</v>
      </c>
      <c r="L64" s="31">
        <f>IFERROR(SUMPRODUCT((((ISNUMBER(SEARCH(B64,'Data - HSQE Events'!V$6:V$3000))+ISNUMBER(SEARCH(B64,'Data - HSQE Events'!H$6:H$3000)))&gt;0))*('Data - HSQE Events'!F$6:F$3000&gt;=$AG$3)*('Data - HSQE Events'!F$6:F$3000&lt;=$AJ$3)*(('Data - HSQE Events'!R$6:R$3000="Moderate")+('Data - HSQE Events'!R$6:R$3000="Major"))),0)</f>
        <v>0</v>
      </c>
      <c r="M64" s="31" t="str">
        <f>IF(IFERROR(SUMPRODUCT((((ISNUMBER(SEARCH(B64,'Data - HSQE Events'!V$6:V$3000))+ISNUMBER(SEARCH(B64,'Data - HSQE Events'!H$6:H$3000)))&gt;0))*('Data - HSQE Events'!F$6:F$3000&gt;=$AG$3)*('Data - HSQE Events'!F$6:F$3000&lt;=$AJ$3)*('Data - HSQE Events'!R$6:R$3000="Major")),0)&gt;0,"YES","NO")</f>
        <v>NO</v>
      </c>
      <c r="N64" s="31">
        <f>IFERROR(SUMPRODUCT(('Data - Skillko'!B$6:B$3000=B64)*('Data - Skillko'!C$6:C$3000="Total")*('Data - Skillko'!E$6:E$3000))*100,0)</f>
        <v>77</v>
      </c>
      <c r="O64" s="31">
        <f t="shared" si="6"/>
        <v>4.0999999999999996</v>
      </c>
      <c r="P64" s="31">
        <f>IFERROR(SUMPRODUCT(ISNUMBER(SEARCH(B64,'Pole Results'!$A$13:$A$2000))*('Pole Results'!$B$13:$B$2000&gt;=$AG$3)*('Pole Results'!$B$13:$B$2000&lt;=$AE$3)*('Pole Results'!$E$13:$E$2000="Non-Compliant")),0)</f>
        <v>0</v>
      </c>
      <c r="Q64" s="31">
        <f t="shared" si="7"/>
        <v>1</v>
      </c>
      <c r="R64" s="31">
        <f t="shared" si="8"/>
        <v>5</v>
      </c>
      <c r="S64" s="49">
        <f t="shared" si="9"/>
        <v>5</v>
      </c>
      <c r="T64" s="31">
        <f>IF('Field Teams'!$I$65="Inactive","",ROUND((Q64*Settings!$D$6+R64*Settings!$D$7+O64*Settings!$D$10+S64*Settings!$D$12+AO64*Settings!$D$13)/Settings!$D$14,1))</f>
        <v>3</v>
      </c>
      <c r="U64" s="115" t="str">
        <f>IF('Field Teams'!$I$65="Inactive","",IF(Q64="","",IF(Q64&gt;=4.5,"★★★★★",IF(Q64&gt;=3.5,"★★★★☆",IF(Q64&gt;=2.5,"★★★☆☆",IF(Q64&gt;=1.5,"★★☆☆☆","★☆☆☆☆"))))))</f>
        <v>★☆☆☆☆</v>
      </c>
      <c r="V64" s="115" t="str">
        <f>IF('Field Teams'!$I$65="Inactive","",IF(R64="","",IF(R64&gt;=4.5,"★★★★★",IF(R64&gt;=3.5,"★★★★☆",IF(R64&gt;=2.5,"★★★☆☆",IF(R64&gt;=1.5,"★★☆☆☆","★☆☆☆☆"))))))</f>
        <v>★★★★★</v>
      </c>
      <c r="W64" s="115" t="str">
        <f>IF('Field Teams'!$I$65="Inactive","",IF(O64="","",IF(O64&gt;=4.5,"★★★★★",IF(O64&gt;=3.5,"★★★★☆",IF(O64&gt;=2.5,"★★★☆☆",IF(O64&gt;=1.5,"★★☆☆☆","★☆☆☆☆"))))))</f>
        <v>★★★★☆</v>
      </c>
      <c r="X64" s="115" t="str">
        <f>IF('Field Teams'!$I$65="Inactive","",IF(S64="","",IF(S64&gt;=4.5,"★★★★★",IF(S64&gt;=3.5,"★★★★☆",IF(S64&gt;=2.5,"★★★☆☆",IF(S64&gt;=1.5,"★★☆☆☆","★☆☆☆☆"))))))</f>
        <v>★★★★★</v>
      </c>
      <c r="Y64" s="115" t="str">
        <f>IF('Field Teams'!$I$65="Inactive","",IF(AO64="","",IF(AO64&gt;=4.5,"★★★★★",IF(AO64&gt;=3.5,"★★★★☆",IF(AO64&gt;=2.5,"★★★☆☆",IF(AO64&gt;=1.5,"★★☆☆☆","★☆☆☆☆"))))))</f>
        <v>★★★☆☆</v>
      </c>
      <c r="Z64" s="115" t="str">
        <f>IF('Field Teams'!$I$5="Inactive","",IF(T64="","",IF(T64&gt;=4.5,"★★★★★",IF(T64&gt;=3.5,"★★★★☆",IF(T64&gt;=2.5,"★★★☆☆",IF(T64&gt;=1.5,"★★☆☆☆","★☆☆☆☆"))))))</f>
        <v>★★★☆☆</v>
      </c>
      <c r="AA64" s="31" t="str">
        <f>IF('Field Teams'!$I$65="Inactive","",IF(M64="YES","HIGH",IF(Q64&lt;=Settings!$D$26,"HIGH",IF(T64&lt;=Settings!$D$23,"HIGH",IF(T64&lt;=Settings!$D$24,"MEDIUM","LOW")))))</f>
        <v>HIGH</v>
      </c>
      <c r="AB64" s="31">
        <f>IF('Field Teams'!$I$5="Inactive",-1,IFERROR((6-T64)+(77-ROW())*0.0001,0))</f>
        <v>3.0013000000000001</v>
      </c>
      <c r="AC64" s="35">
        <f>IF('Field Teams'!$I$5="Inactive",999,IFERROR((6-T64)+(ROW()-3)*0.0001,99))</f>
        <v>3.0061</v>
      </c>
      <c r="AD64" s="31">
        <f>IF('Field Teams'!$I$65="Inactive",999,IFERROR(AB64+(ROW()-3)*0.0001,99))</f>
        <v>3.0074000000000001</v>
      </c>
      <c r="AE64" s="29">
        <v>0</v>
      </c>
      <c r="AF64" s="31" t="str">
        <f>IF('Field Teams'!$I$65="Inactive","",IF(AA64="HIGH","YES - within 5 working days",""))</f>
        <v>YES - within 5 working days</v>
      </c>
      <c r="AG64" s="105"/>
      <c r="AH64" s="49">
        <f>IFERROR(SUMPRODUCT(ISNUMBER(SEARCH(B64,'Pole Results'!$A$13:$A$2000))*('Pole Results'!$B$13:$B$2000&gt;=$AG$3)*('Pole Results'!$B$13:$B$2000&lt;=$AE$3)),0)</f>
        <v>0</v>
      </c>
      <c r="AI64" s="49">
        <f>IFERROR(SUMPRODUCT(ISNUMBER(SEARCH(B64,'Pole Results'!$A$13:$A$2000))*('Pole Results'!$B$13:$B$2000&gt;=$AG$3)*('Pole Results'!$B$13:$B$2000&lt;=$AE$3)*('Pole Results'!$E$13:$E$2000="Compliant")),0)</f>
        <v>0</v>
      </c>
      <c r="AJ64" s="105"/>
      <c r="AK64" s="106">
        <f>IF('Field Teams'!$I$65="Inactive",-1,IF(AA64="HIGH",AB64,-1))</f>
        <v>3.0013000000000001</v>
      </c>
      <c r="AL64" s="106">
        <f>IF('Field Teams'!$I$65="Inactive",-1,IF(OR(AA64="HIGH",AA64="MEDIUM"),AB64,-1))</f>
        <v>3.0013000000000001</v>
      </c>
      <c r="AM64" t="str">
        <f>IF('Field Teams'!$I$65="Inactive","",IF(IFERROR(LOOKUP(2,1/('Historical Scores'!C65:N65&lt;&gt;""),'Historical Scores'!C65:N65),"")="","New",IF(T64=""," ",IF(T64&gt;IFERROR(LOOKUP(2,1/('Historical Scores'!C65:N65&lt;&gt;""),'Historical Scores'!C65:N65),""),"▲ Worsening",IF(T64&lt;IFERROR(LOOKUP(2,1/('Historical Scores'!C65:N65&lt;&gt;""),'Historical Scores'!C65:N65),""),"▼ Improving","► Stable")))))</f>
        <v>New</v>
      </c>
      <c r="AN64">
        <f>IFERROR(SUMPRODUCT((ISNUMBER(SEARCH(B64,'Data - SSV'!AE$6:AE$3000)))*('Data - SSV'!AF$6:AF$3000&gt;=(AJ$3-90))*('Data - SSV'!AF$6:AF$3000&lt;=AJ$3)*('Data - SSV'!AH$6:AH$3000&lt;&gt;"")),0)</f>
        <v>0</v>
      </c>
      <c r="AO64">
        <f>IF('Field Teams'!$I$65="Inactive","",IF(AN64=0,3,IF(AN64=1,IF(IFERROR(SUMPRODUCT((ISNUMBER(SEARCH(B64,'Data - SSV'!AE$6:AE$3000)))*('Data - SSV'!AF$6:AF$3000&gt;=(AJ$3-90))*('Data - SSV'!AF$6:AF$3000&lt;=AJ$3)*('Data - SSV'!AH$6:AH$3000&lt;&gt;"")*IF('Data - SSV'!AH$6:AH$3000="",0,'Data - SSV'!AH$6:AH$3000))/AN64,3)=4,4,IF(IFERROR(SUMPRODUCT((ISNUMBER(SEARCH(B64,'Data - SSV'!AE$6:AE$3000)))*('Data - SSV'!AF$6:AF$3000&gt;=(AJ$3-90))*('Data - SSV'!AF$6:AF$3000&lt;=AJ$3)*('Data - SSV'!AH$6:AH$3000&lt;&gt;"")*IF('Data - SSV'!AH$6:AH$3000="",0,'Data - SSV'!AH$6:AH$3000))/AN64,3)&gt;=3,3,IF(IFERROR(SUMPRODUCT((ISNUMBER(SEARCH(B64,'Data - SSV'!AE$6:AE$3000)))*('Data - SSV'!AF$6:AF$3000&gt;=(AJ$3-90))*('Data - SSV'!AF$6:AF$3000&lt;=AJ$3)*('Data - SSV'!AH$6:AH$3000&lt;&gt;"")*IF('Data - SSV'!AH$6:AH$3000="",0,'Data - SSV'!AH$6:AH$3000))/AN64,3)&gt;=2,2,1))),IF(IFERROR(SUMPRODUCT((ISNUMBER(SEARCH(B64,'Data - SSV'!AE$6:AE$3000)))*('Data - SSV'!AF$6:AF$3000&gt;=(AJ$3-90))*('Data - SSV'!AF$6:AF$3000&lt;=AJ$3)*('Data - SSV'!AH$6:AH$3000&lt;&gt;"")*IF('Data - SSV'!AH$6:AH$3000="",0,'Data - SSV'!AH$6:AH$3000))/AN64,3)=4,5,IF(IFERROR(SUMPRODUCT((ISNUMBER(SEARCH(B64,'Data - SSV'!AE$6:AE$3000)))*('Data - SSV'!AF$6:AF$3000&gt;=(AJ$3-90))*('Data - SSV'!AF$6:AF$3000&lt;=AJ$3)*('Data - SSV'!AH$6:AH$3000&lt;&gt;"")*IF('Data - SSV'!AH$6:AH$3000="",0,'Data - SSV'!AH$6:AH$3000))/AN64,3)&gt;=3.5,4,IF(IFERROR(SUMPRODUCT((ISNUMBER(SEARCH(B64,'Data - SSV'!AE$6:AE$3000)))*('Data - SSV'!AF$6:AF$3000&gt;=(AJ$3-90))*('Data - SSV'!AF$6:AF$3000&lt;=AJ$3)*('Data - SSV'!AH$6:AH$3000&lt;&gt;"")*IF('Data - SSV'!AH$6:AH$3000="",0,'Data - SSV'!AH$6:AH$3000))/AN64,3)&gt;=3,3,IF(IFERROR(SUMPRODUCT((ISNUMBER(SEARCH(B64,'Data - SSV'!AE$6:AE$3000)))*('Data - SSV'!AF$6:AF$3000&gt;=(AJ$3-90))*('Data - SSV'!AF$6:AF$3000&lt;=AJ$3)*('Data - SSV'!AH$6:AH$3000&lt;&gt;"")*IF('Data - SSV'!AH$6:AH$3000="",0,'Data - SSV'!AH$6:AH$3000))/AN64,3)&gt;=2,2,1)))))))</f>
        <v>3</v>
      </c>
    </row>
    <row r="65" spans="1:41" ht="19.5" customHeight="1" x14ac:dyDescent="0.15">
      <c r="A65" s="6" t="str">
        <f>'Field Teams'!A66</f>
        <v>FT-062</v>
      </c>
      <c r="B65" s="28" t="str">
        <f>'Field Teams'!B66</f>
        <v>Blue Sky Arboriculture Ltd</v>
      </c>
      <c r="C65" s="28" t="str">
        <f>'Field Teams'!C66</f>
        <v>Utility Arboriculture</v>
      </c>
      <c r="D65" s="6" t="str">
        <f>'Field Teams'!D66</f>
        <v>Matthew Gilmore</v>
      </c>
      <c r="E65" s="6" t="str">
        <f>'Field Teams'!E66</f>
        <v>Dan Robinson</v>
      </c>
      <c r="F65" s="6">
        <f>'Field Teams'!F66</f>
        <v>0</v>
      </c>
      <c r="G65" s="6">
        <f>'Field Teams'!G66</f>
        <v>0</v>
      </c>
      <c r="H65" s="31">
        <f>'Field Teams'!H66</f>
        <v>7</v>
      </c>
      <c r="I65" s="31">
        <f t="shared" si="5"/>
        <v>14</v>
      </c>
      <c r="J65" s="31">
        <f>IFERROR(SUMPRODUCT((((ISNUMBER(SEARCH(B65,'Data - HSQE Events'!V$6:V$3000))+ISNUMBER(SEARCH(B65,'Data - HSQE Events'!H$6:H$3000)))&gt;0))*('Data - HSQE Events'!F$6:F$3000&gt;=$AG$3)*('Data - HSQE Events'!F$6:F$3000&lt;=$AJ$3)*('Data - HSQE Events'!R$6:R$3000="Opportunity")),0)</f>
        <v>0</v>
      </c>
      <c r="K65" s="31">
        <f>IFERROR(SUMPRODUCT((((ISNUMBER(SEARCH(B65,'Data - HSQE Events'!V$6:V$3000))+ISNUMBER(SEARCH(B65,'Data - HSQE Events'!H$6:H$3000)))&gt;0))*('Data - HSQE Events'!F$6:F$3000&gt;=$AG$3)*('Data - HSQE Events'!F$6:F$3000&lt;=$AJ$3)*('Data - HSQE Events'!R$6:R$3000="Minor")),0)</f>
        <v>0</v>
      </c>
      <c r="L65" s="31">
        <f>IFERROR(SUMPRODUCT((((ISNUMBER(SEARCH(B65,'Data - HSQE Events'!V$6:V$3000))+ISNUMBER(SEARCH(B65,'Data - HSQE Events'!H$6:H$3000)))&gt;0))*('Data - HSQE Events'!F$6:F$3000&gt;=$AG$3)*('Data - HSQE Events'!F$6:F$3000&lt;=$AJ$3)*(('Data - HSQE Events'!R$6:R$3000="Moderate")+('Data - HSQE Events'!R$6:R$3000="Major"))),0)</f>
        <v>0</v>
      </c>
      <c r="M65" s="31" t="str">
        <f>IF(IFERROR(SUMPRODUCT((((ISNUMBER(SEARCH(B65,'Data - HSQE Events'!V$6:V$3000))+ISNUMBER(SEARCH(B65,'Data - HSQE Events'!H$6:H$3000)))&gt;0))*('Data - HSQE Events'!F$6:F$3000&gt;=$AG$3)*('Data - HSQE Events'!F$6:F$3000&lt;=$AJ$3)*('Data - HSQE Events'!R$6:R$3000="Major")),0)&gt;0,"YES","NO")</f>
        <v>NO</v>
      </c>
      <c r="N65" s="31">
        <f>IFERROR(SUMPRODUCT(('Data - Skillko'!B$6:B$3000=B65)*('Data - Skillko'!C$6:C$3000="Total")*('Data - Skillko'!E$6:E$3000))*100,0)</f>
        <v>88</v>
      </c>
      <c r="O65" s="31">
        <f t="shared" si="6"/>
        <v>4.5</v>
      </c>
      <c r="P65" s="31">
        <f>IFERROR(SUMPRODUCT(ISNUMBER(SEARCH(B65,'Pole Results'!$A$13:$A$2000))*('Pole Results'!$B$13:$B$2000&gt;=$AG$3)*('Pole Results'!$B$13:$B$2000&lt;=$AE$3)*('Pole Results'!$E$13:$E$2000="Non-Compliant")),0)</f>
        <v>0</v>
      </c>
      <c r="Q65" s="31">
        <f t="shared" si="7"/>
        <v>1</v>
      </c>
      <c r="R65" s="31">
        <f t="shared" si="8"/>
        <v>5</v>
      </c>
      <c r="S65" s="49">
        <f t="shared" si="9"/>
        <v>5</v>
      </c>
      <c r="T65" s="31">
        <f>IF('Field Teams'!$I$66="Inactive","",ROUND((Q65*Settings!$D$6+R65*Settings!$D$7+O65*Settings!$D$10+S65*Settings!$D$12+AO65*Settings!$D$13)/Settings!$D$14,1))</f>
        <v>3</v>
      </c>
      <c r="U65" s="115" t="str">
        <f>IF('Field Teams'!$I$66="Inactive","",IF(Q65="","",IF(Q65&gt;=4.5,"★★★★★",IF(Q65&gt;=3.5,"★★★★☆",IF(Q65&gt;=2.5,"★★★☆☆",IF(Q65&gt;=1.5,"★★☆☆☆","★☆☆☆☆"))))))</f>
        <v>★☆☆☆☆</v>
      </c>
      <c r="V65" s="115" t="str">
        <f>IF('Field Teams'!$I$66="Inactive","",IF(R65="","",IF(R65&gt;=4.5,"★★★★★",IF(R65&gt;=3.5,"★★★★☆",IF(R65&gt;=2.5,"★★★☆☆",IF(R65&gt;=1.5,"★★☆☆☆","★☆☆☆☆"))))))</f>
        <v>★★★★★</v>
      </c>
      <c r="W65" s="115" t="str">
        <f>IF('Field Teams'!$I$66="Inactive","",IF(O65="","",IF(O65&gt;=4.5,"★★★★★",IF(O65&gt;=3.5,"★★★★☆",IF(O65&gt;=2.5,"★★★☆☆",IF(O65&gt;=1.5,"★★☆☆☆","★☆☆☆☆"))))))</f>
        <v>★★★★★</v>
      </c>
      <c r="X65" s="115" t="str">
        <f>IF('Field Teams'!$I$66="Inactive","",IF(S65="","",IF(S65&gt;=4.5,"★★★★★",IF(S65&gt;=3.5,"★★★★☆",IF(S65&gt;=2.5,"★★★☆☆",IF(S65&gt;=1.5,"★★☆☆☆","★☆☆☆☆"))))))</f>
        <v>★★★★★</v>
      </c>
      <c r="Y65" s="115" t="str">
        <f>IF('Field Teams'!$I$66="Inactive","",IF(AO65="","",IF(AO65&gt;=4.5,"★★★★★",IF(AO65&gt;=3.5,"★★★★☆",IF(AO65&gt;=2.5,"★★★☆☆",IF(AO65&gt;=1.5,"★★☆☆☆","★☆☆☆☆"))))))</f>
        <v>★★★☆☆</v>
      </c>
      <c r="Z65" s="115" t="str">
        <f>IF('Field Teams'!$I$5="Inactive","",IF(T65="","",IF(T65&gt;=4.5,"★★★★★",IF(T65&gt;=3.5,"★★★★☆",IF(T65&gt;=2.5,"★★★☆☆",IF(T65&gt;=1.5,"★★☆☆☆","★☆☆☆☆"))))))</f>
        <v>★★★☆☆</v>
      </c>
      <c r="AA65" s="31" t="str">
        <f>IF('Field Teams'!$I$66="Inactive","",IF(M65="YES","HIGH",IF(Q65&lt;=Settings!$D$26,"HIGH",IF(T65&lt;=Settings!$D$23,"HIGH",IF(T65&lt;=Settings!$D$24,"MEDIUM","LOW")))))</f>
        <v>HIGH</v>
      </c>
      <c r="AB65" s="31">
        <f>IF('Field Teams'!$I$5="Inactive",-1,IFERROR((6-T65)+(77-ROW())*0.0001,0))</f>
        <v>3.0011999999999999</v>
      </c>
      <c r="AC65" s="35">
        <f>IF('Field Teams'!$I$5="Inactive",999,IFERROR((6-T65)+(ROW()-3)*0.0001,99))</f>
        <v>3.0062000000000002</v>
      </c>
      <c r="AD65" s="31">
        <f>IF('Field Teams'!$I$66="Inactive",999,IFERROR(AB65+(ROW()-3)*0.0001,99))</f>
        <v>3.0074000000000001</v>
      </c>
      <c r="AE65" s="29">
        <v>0</v>
      </c>
      <c r="AF65" s="31" t="str">
        <f>IF('Field Teams'!$I$66="Inactive","",IF(AA65="HIGH","YES - within 5 working days",""))</f>
        <v>YES - within 5 working days</v>
      </c>
      <c r="AG65" s="105"/>
      <c r="AH65" s="49">
        <f>IFERROR(SUMPRODUCT(ISNUMBER(SEARCH(B65,'Pole Results'!$A$13:$A$2000))*('Pole Results'!$B$13:$B$2000&gt;=$AG$3)*('Pole Results'!$B$13:$B$2000&lt;=$AE$3)),0)</f>
        <v>0</v>
      </c>
      <c r="AI65" s="49">
        <f>IFERROR(SUMPRODUCT(ISNUMBER(SEARCH(B65,'Pole Results'!$A$13:$A$2000))*('Pole Results'!$B$13:$B$2000&gt;=$AG$3)*('Pole Results'!$B$13:$B$2000&lt;=$AE$3)*('Pole Results'!$E$13:$E$2000="Compliant")),0)</f>
        <v>0</v>
      </c>
      <c r="AJ65" s="105"/>
      <c r="AK65" s="106">
        <f>IF('Field Teams'!$I$66="Inactive",-1,IF(AA65="HIGH",AB65,-1))</f>
        <v>3.0011999999999999</v>
      </c>
      <c r="AL65" s="106">
        <f>IF('Field Teams'!$I$66="Inactive",-1,IF(OR(AA65="HIGH",AA65="MEDIUM"),AB65,-1))</f>
        <v>3.0011999999999999</v>
      </c>
      <c r="AM65" t="str">
        <f>IF('Field Teams'!$I$66="Inactive","",IF(IFERROR(LOOKUP(2,1/('Historical Scores'!C66:N66&lt;&gt;""),'Historical Scores'!C66:N66),"")="","New",IF(T65=""," ",IF(T65&gt;IFERROR(LOOKUP(2,1/('Historical Scores'!C66:N66&lt;&gt;""),'Historical Scores'!C66:N66),""),"▲ Worsening",IF(T65&lt;IFERROR(LOOKUP(2,1/('Historical Scores'!C66:N66&lt;&gt;""),'Historical Scores'!C66:N66),""),"▼ Improving","► Stable")))))</f>
        <v>New</v>
      </c>
      <c r="AN65">
        <f>IFERROR(SUMPRODUCT((ISNUMBER(SEARCH(B65,'Data - SSV'!AE$6:AE$3000)))*('Data - SSV'!AF$6:AF$3000&gt;=(AJ$3-90))*('Data - SSV'!AF$6:AF$3000&lt;=AJ$3)*('Data - SSV'!AH$6:AH$3000&lt;&gt;"")),0)</f>
        <v>0</v>
      </c>
      <c r="AO65">
        <f>IF('Field Teams'!$I$66="Inactive","",IF(AN65=0,3,IF(AN65=1,IF(IFERROR(SUMPRODUCT((ISNUMBER(SEARCH(B65,'Data - SSV'!AE$6:AE$3000)))*('Data - SSV'!AF$6:AF$3000&gt;=(AJ$3-90))*('Data - SSV'!AF$6:AF$3000&lt;=AJ$3)*('Data - SSV'!AH$6:AH$3000&lt;&gt;"")*IF('Data - SSV'!AH$6:AH$3000="",0,'Data - SSV'!AH$6:AH$3000))/AN65,3)=4,4,IF(IFERROR(SUMPRODUCT((ISNUMBER(SEARCH(B65,'Data - SSV'!AE$6:AE$3000)))*('Data - SSV'!AF$6:AF$3000&gt;=(AJ$3-90))*('Data - SSV'!AF$6:AF$3000&lt;=AJ$3)*('Data - SSV'!AH$6:AH$3000&lt;&gt;"")*IF('Data - SSV'!AH$6:AH$3000="",0,'Data - SSV'!AH$6:AH$3000))/AN65,3)&gt;=3,3,IF(IFERROR(SUMPRODUCT((ISNUMBER(SEARCH(B65,'Data - SSV'!AE$6:AE$3000)))*('Data - SSV'!AF$6:AF$3000&gt;=(AJ$3-90))*('Data - SSV'!AF$6:AF$3000&lt;=AJ$3)*('Data - SSV'!AH$6:AH$3000&lt;&gt;"")*IF('Data - SSV'!AH$6:AH$3000="",0,'Data - SSV'!AH$6:AH$3000))/AN65,3)&gt;=2,2,1))),IF(IFERROR(SUMPRODUCT((ISNUMBER(SEARCH(B65,'Data - SSV'!AE$6:AE$3000)))*('Data - SSV'!AF$6:AF$3000&gt;=(AJ$3-90))*('Data - SSV'!AF$6:AF$3000&lt;=AJ$3)*('Data - SSV'!AH$6:AH$3000&lt;&gt;"")*IF('Data - SSV'!AH$6:AH$3000="",0,'Data - SSV'!AH$6:AH$3000))/AN65,3)=4,5,IF(IFERROR(SUMPRODUCT((ISNUMBER(SEARCH(B65,'Data - SSV'!AE$6:AE$3000)))*('Data - SSV'!AF$6:AF$3000&gt;=(AJ$3-90))*('Data - SSV'!AF$6:AF$3000&lt;=AJ$3)*('Data - SSV'!AH$6:AH$3000&lt;&gt;"")*IF('Data - SSV'!AH$6:AH$3000="",0,'Data - SSV'!AH$6:AH$3000))/AN65,3)&gt;=3.5,4,IF(IFERROR(SUMPRODUCT((ISNUMBER(SEARCH(B65,'Data - SSV'!AE$6:AE$3000)))*('Data - SSV'!AF$6:AF$3000&gt;=(AJ$3-90))*('Data - SSV'!AF$6:AF$3000&lt;=AJ$3)*('Data - SSV'!AH$6:AH$3000&lt;&gt;"")*IF('Data - SSV'!AH$6:AH$3000="",0,'Data - SSV'!AH$6:AH$3000))/AN65,3)&gt;=3,3,IF(IFERROR(SUMPRODUCT((ISNUMBER(SEARCH(B65,'Data - SSV'!AE$6:AE$3000)))*('Data - SSV'!AF$6:AF$3000&gt;=(AJ$3-90))*('Data - SSV'!AF$6:AF$3000&lt;=AJ$3)*('Data - SSV'!AH$6:AH$3000&lt;&gt;"")*IF('Data - SSV'!AH$6:AH$3000="",0,'Data - SSV'!AH$6:AH$3000))/AN65,3)&gt;=2,2,1)))))))</f>
        <v>3</v>
      </c>
    </row>
    <row r="66" spans="1:41" ht="19.5" customHeight="1" x14ac:dyDescent="0.15">
      <c r="A66" s="10" t="str">
        <f>'Field Teams'!A67</f>
        <v>FT-063</v>
      </c>
      <c r="B66" s="30" t="str">
        <f>'Field Teams'!B67</f>
        <v>Rother Valley Tree Services Ltd</v>
      </c>
      <c r="C66" s="30" t="str">
        <f>'Field Teams'!C67</f>
        <v>Utility Arboriculture</v>
      </c>
      <c r="D66" s="10" t="str">
        <f>'Field Teams'!D67</f>
        <v>Matthew Gilmore</v>
      </c>
      <c r="E66" s="10" t="str">
        <f>'Field Teams'!E67</f>
        <v>James Jennings</v>
      </c>
      <c r="F66" s="10">
        <f>'Field Teams'!F67</f>
        <v>0</v>
      </c>
      <c r="G66" s="10">
        <f>'Field Teams'!G67</f>
        <v>0</v>
      </c>
      <c r="H66" s="31">
        <f>'Field Teams'!H67</f>
        <v>19</v>
      </c>
      <c r="I66" s="31">
        <f t="shared" si="5"/>
        <v>38</v>
      </c>
      <c r="J66" s="31">
        <f>IFERROR(SUMPRODUCT((((ISNUMBER(SEARCH(B66,'Data - HSQE Events'!V$6:V$3000))+ISNUMBER(SEARCH(B66,'Data - HSQE Events'!H$6:H$3000)))&gt;0))*('Data - HSQE Events'!F$6:F$3000&gt;=$AG$3)*('Data - HSQE Events'!F$6:F$3000&lt;=$AJ$3)*('Data - HSQE Events'!R$6:R$3000="Opportunity")),0)</f>
        <v>0</v>
      </c>
      <c r="K66" s="31">
        <f>IFERROR(SUMPRODUCT((((ISNUMBER(SEARCH(B66,'Data - HSQE Events'!V$6:V$3000))+ISNUMBER(SEARCH(B66,'Data - HSQE Events'!H$6:H$3000)))&gt;0))*('Data - HSQE Events'!F$6:F$3000&gt;=$AG$3)*('Data - HSQE Events'!F$6:F$3000&lt;=$AJ$3)*('Data - HSQE Events'!R$6:R$3000="Minor")),0)</f>
        <v>0</v>
      </c>
      <c r="L66" s="31">
        <f>IFERROR(SUMPRODUCT((((ISNUMBER(SEARCH(B66,'Data - HSQE Events'!V$6:V$3000))+ISNUMBER(SEARCH(B66,'Data - HSQE Events'!H$6:H$3000)))&gt;0))*('Data - HSQE Events'!F$6:F$3000&gt;=$AG$3)*('Data - HSQE Events'!F$6:F$3000&lt;=$AJ$3)*(('Data - HSQE Events'!R$6:R$3000="Moderate")+('Data - HSQE Events'!R$6:R$3000="Major"))),0)</f>
        <v>0</v>
      </c>
      <c r="M66" s="31" t="str">
        <f>IF(IFERROR(SUMPRODUCT((((ISNUMBER(SEARCH(B66,'Data - HSQE Events'!V$6:V$3000))+ISNUMBER(SEARCH(B66,'Data - HSQE Events'!H$6:H$3000)))&gt;0))*('Data - HSQE Events'!F$6:F$3000&gt;=$AG$3)*('Data - HSQE Events'!F$6:F$3000&lt;=$AJ$3)*('Data - HSQE Events'!R$6:R$3000="Major")),0)&gt;0,"YES","NO")</f>
        <v>NO</v>
      </c>
      <c r="N66" s="31">
        <f>IFERROR(SUMPRODUCT(('Data - Skillko'!B$6:B$3000=B66)*('Data - Skillko'!C$6:C$3000="Total")*('Data - Skillko'!E$6:E$3000))*100,0)</f>
        <v>37</v>
      </c>
      <c r="O66" s="31">
        <f t="shared" si="6"/>
        <v>2.5</v>
      </c>
      <c r="P66" s="31">
        <f>IFERROR(SUMPRODUCT(ISNUMBER(SEARCH(B66,'Pole Results'!$A$13:$A$2000))*('Pole Results'!$B$13:$B$2000&gt;=$AG$3)*('Pole Results'!$B$13:$B$2000&lt;=$AE$3)*('Pole Results'!$E$13:$E$2000="Non-Compliant")),0)</f>
        <v>0</v>
      </c>
      <c r="Q66" s="31">
        <f t="shared" si="7"/>
        <v>1</v>
      </c>
      <c r="R66" s="31">
        <f t="shared" si="8"/>
        <v>5</v>
      </c>
      <c r="S66" s="49">
        <f t="shared" si="9"/>
        <v>5</v>
      </c>
      <c r="T66" s="31">
        <f>IF('Field Teams'!$I$67="Inactive","",ROUND((Q66*Settings!$D$6+R66*Settings!$D$7+O66*Settings!$D$10+S66*Settings!$D$12+AO66*Settings!$D$13)/Settings!$D$14,1))</f>
        <v>2.7</v>
      </c>
      <c r="U66" s="115" t="str">
        <f>IF('Field Teams'!$I$67="Inactive","",IF(Q66="","",IF(Q66&gt;=4.5,"★★★★★",IF(Q66&gt;=3.5,"★★★★☆",IF(Q66&gt;=2.5,"★★★☆☆",IF(Q66&gt;=1.5,"★★☆☆☆","★☆☆☆☆"))))))</f>
        <v>★☆☆☆☆</v>
      </c>
      <c r="V66" s="115" t="str">
        <f>IF('Field Teams'!$I$67="Inactive","",IF(R66="","",IF(R66&gt;=4.5,"★★★★★",IF(R66&gt;=3.5,"★★★★☆",IF(R66&gt;=2.5,"★★★☆☆",IF(R66&gt;=1.5,"★★☆☆☆","★☆☆☆☆"))))))</f>
        <v>★★★★★</v>
      </c>
      <c r="W66" s="115" t="str">
        <f>IF('Field Teams'!$I$67="Inactive","",IF(O66="","",IF(O66&gt;=4.5,"★★★★★",IF(O66&gt;=3.5,"★★★★☆",IF(O66&gt;=2.5,"★★★☆☆",IF(O66&gt;=1.5,"★★☆☆☆","★☆☆☆☆"))))))</f>
        <v>★★★☆☆</v>
      </c>
      <c r="X66" s="115" t="str">
        <f>IF('Field Teams'!$I$67="Inactive","",IF(S66="","",IF(S66&gt;=4.5,"★★★★★",IF(S66&gt;=3.5,"★★★★☆",IF(S66&gt;=2.5,"★★★☆☆",IF(S66&gt;=1.5,"★★☆☆☆","★☆☆☆☆"))))))</f>
        <v>★★★★★</v>
      </c>
      <c r="Y66" s="115" t="str">
        <f>IF('Field Teams'!$I$67="Inactive","",IF(AO66="","",IF(AO66&gt;=4.5,"★★★★★",IF(AO66&gt;=3.5,"★★★★☆",IF(AO66&gt;=2.5,"★★★☆☆",IF(AO66&gt;=1.5,"★★☆☆☆","★☆☆☆☆"))))))</f>
        <v>★★★☆☆</v>
      </c>
      <c r="Z66" s="115" t="str">
        <f>IF('Field Teams'!$I$5="Inactive","",IF(T66="","",IF(T66&gt;=4.5,"★★★★★",IF(T66&gt;=3.5,"★★★★☆",IF(T66&gt;=2.5,"★★★☆☆",IF(T66&gt;=1.5,"★★☆☆☆","★☆☆☆☆"))))))</f>
        <v>★★★☆☆</v>
      </c>
      <c r="AA66" s="31" t="str">
        <f>IF('Field Teams'!$I$67="Inactive","",IF(M66="YES","HIGH",IF(Q66&lt;=Settings!$D$26,"HIGH",IF(T66&lt;=Settings!$D$23,"HIGH",IF(T66&lt;=Settings!$D$24,"MEDIUM","LOW")))))</f>
        <v>HIGH</v>
      </c>
      <c r="AB66" s="31">
        <f>IF('Field Teams'!$I$5="Inactive",-1,IFERROR((6-T66)+(77-ROW())*0.0001,0))</f>
        <v>3.3010999999999999</v>
      </c>
      <c r="AC66" s="35">
        <f>IF('Field Teams'!$I$5="Inactive",999,IFERROR((6-T66)+(ROW()-3)*0.0001,99))</f>
        <v>3.3062999999999998</v>
      </c>
      <c r="AD66" s="31">
        <f>IF('Field Teams'!$I$67="Inactive",999,IFERROR(AB66+(ROW()-3)*0.0001,99))</f>
        <v>3.3073999999999999</v>
      </c>
      <c r="AE66" s="29">
        <v>0</v>
      </c>
      <c r="AF66" s="31" t="str">
        <f>IF('Field Teams'!$I$67="Inactive","",IF(AA66="HIGH","YES - within 5 working days",""))</f>
        <v>YES - within 5 working days</v>
      </c>
      <c r="AG66" s="105"/>
      <c r="AH66" s="49">
        <f>IFERROR(SUMPRODUCT(ISNUMBER(SEARCH(B66,'Pole Results'!$A$13:$A$2000))*('Pole Results'!$B$13:$B$2000&gt;=$AG$3)*('Pole Results'!$B$13:$B$2000&lt;=$AE$3)),0)</f>
        <v>0</v>
      </c>
      <c r="AI66" s="49">
        <f>IFERROR(SUMPRODUCT(ISNUMBER(SEARCH(B66,'Pole Results'!$A$13:$A$2000))*('Pole Results'!$B$13:$B$2000&gt;=$AG$3)*('Pole Results'!$B$13:$B$2000&lt;=$AE$3)*('Pole Results'!$E$13:$E$2000="Compliant")),0)</f>
        <v>0</v>
      </c>
      <c r="AJ66" s="105"/>
      <c r="AK66" s="106">
        <f>IF('Field Teams'!$I$67="Inactive",-1,IF(AA66="HIGH",AB66,-1))</f>
        <v>3.3010999999999999</v>
      </c>
      <c r="AL66" s="106">
        <f>IF('Field Teams'!$I$67="Inactive",-1,IF(OR(AA66="HIGH",AA66="MEDIUM"),AB66,-1))</f>
        <v>3.3010999999999999</v>
      </c>
      <c r="AM66" t="str">
        <f>IF('Field Teams'!$I$67="Inactive","",IF(IFERROR(LOOKUP(2,1/('Historical Scores'!C67:N67&lt;&gt;""),'Historical Scores'!C67:N67),"")="","New",IF(T66=""," ",IF(T66&gt;IFERROR(LOOKUP(2,1/('Historical Scores'!C67:N67&lt;&gt;""),'Historical Scores'!C67:N67),""),"▲ Worsening",IF(T66&lt;IFERROR(LOOKUP(2,1/('Historical Scores'!C67:N67&lt;&gt;""),'Historical Scores'!C67:N67),""),"▼ Improving","► Stable")))))</f>
        <v>New</v>
      </c>
      <c r="AN66">
        <f>IFERROR(SUMPRODUCT((ISNUMBER(SEARCH(B66,'Data - SSV'!AE$6:AE$3000)))*('Data - SSV'!AF$6:AF$3000&gt;=(AJ$3-90))*('Data - SSV'!AF$6:AF$3000&lt;=AJ$3)*('Data - SSV'!AH$6:AH$3000&lt;&gt;"")),0)</f>
        <v>0</v>
      </c>
      <c r="AO66">
        <f>IF('Field Teams'!$I$67="Inactive","",IF(AN66=0,3,IF(AN66=1,IF(IFERROR(SUMPRODUCT((ISNUMBER(SEARCH(B66,'Data - SSV'!AE$6:AE$3000)))*('Data - SSV'!AF$6:AF$3000&gt;=(AJ$3-90))*('Data - SSV'!AF$6:AF$3000&lt;=AJ$3)*('Data - SSV'!AH$6:AH$3000&lt;&gt;"")*IF('Data - SSV'!AH$6:AH$3000="",0,'Data - SSV'!AH$6:AH$3000))/AN66,3)=4,4,IF(IFERROR(SUMPRODUCT((ISNUMBER(SEARCH(B66,'Data - SSV'!AE$6:AE$3000)))*('Data - SSV'!AF$6:AF$3000&gt;=(AJ$3-90))*('Data - SSV'!AF$6:AF$3000&lt;=AJ$3)*('Data - SSV'!AH$6:AH$3000&lt;&gt;"")*IF('Data - SSV'!AH$6:AH$3000="",0,'Data - SSV'!AH$6:AH$3000))/AN66,3)&gt;=3,3,IF(IFERROR(SUMPRODUCT((ISNUMBER(SEARCH(B66,'Data - SSV'!AE$6:AE$3000)))*('Data - SSV'!AF$6:AF$3000&gt;=(AJ$3-90))*('Data - SSV'!AF$6:AF$3000&lt;=AJ$3)*('Data - SSV'!AH$6:AH$3000&lt;&gt;"")*IF('Data - SSV'!AH$6:AH$3000="",0,'Data - SSV'!AH$6:AH$3000))/AN66,3)&gt;=2,2,1))),IF(IFERROR(SUMPRODUCT((ISNUMBER(SEARCH(B66,'Data - SSV'!AE$6:AE$3000)))*('Data - SSV'!AF$6:AF$3000&gt;=(AJ$3-90))*('Data - SSV'!AF$6:AF$3000&lt;=AJ$3)*('Data - SSV'!AH$6:AH$3000&lt;&gt;"")*IF('Data - SSV'!AH$6:AH$3000="",0,'Data - SSV'!AH$6:AH$3000))/AN66,3)=4,5,IF(IFERROR(SUMPRODUCT((ISNUMBER(SEARCH(B66,'Data - SSV'!AE$6:AE$3000)))*('Data - SSV'!AF$6:AF$3000&gt;=(AJ$3-90))*('Data - SSV'!AF$6:AF$3000&lt;=AJ$3)*('Data - SSV'!AH$6:AH$3000&lt;&gt;"")*IF('Data - SSV'!AH$6:AH$3000="",0,'Data - SSV'!AH$6:AH$3000))/AN66,3)&gt;=3.5,4,IF(IFERROR(SUMPRODUCT((ISNUMBER(SEARCH(B66,'Data - SSV'!AE$6:AE$3000)))*('Data - SSV'!AF$6:AF$3000&gt;=(AJ$3-90))*('Data - SSV'!AF$6:AF$3000&lt;=AJ$3)*('Data - SSV'!AH$6:AH$3000&lt;&gt;"")*IF('Data - SSV'!AH$6:AH$3000="",0,'Data - SSV'!AH$6:AH$3000))/AN66,3)&gt;=3,3,IF(IFERROR(SUMPRODUCT((ISNUMBER(SEARCH(B66,'Data - SSV'!AE$6:AE$3000)))*('Data - SSV'!AF$6:AF$3000&gt;=(AJ$3-90))*('Data - SSV'!AF$6:AF$3000&lt;=AJ$3)*('Data - SSV'!AH$6:AH$3000&lt;&gt;"")*IF('Data - SSV'!AH$6:AH$3000="",0,'Data - SSV'!AH$6:AH$3000))/AN66,3)&gt;=2,2,1)))))))</f>
        <v>3</v>
      </c>
    </row>
    <row r="67" spans="1:41" ht="19.5" customHeight="1" x14ac:dyDescent="0.15">
      <c r="A67" s="6" t="str">
        <f>'Field Teams'!A68</f>
        <v>FT-064</v>
      </c>
      <c r="B67" s="28" t="str">
        <f>'Field Teams'!B68</f>
        <v>AAT Tree Services</v>
      </c>
      <c r="C67" s="28" t="str">
        <f>'Field Teams'!C68</f>
        <v>Utility Arboriculture</v>
      </c>
      <c r="D67" s="6" t="str">
        <f>'Field Teams'!D68</f>
        <v>Paul Shaw</v>
      </c>
      <c r="E67" s="6" t="str">
        <f>'Field Teams'!E68</f>
        <v>David Damm</v>
      </c>
      <c r="F67" s="6">
        <f>'Field Teams'!F68</f>
        <v>0</v>
      </c>
      <c r="G67" s="6">
        <f>'Field Teams'!G68</f>
        <v>0</v>
      </c>
      <c r="H67" s="31">
        <f>'Field Teams'!H68</f>
        <v>5</v>
      </c>
      <c r="I67" s="31">
        <f t="shared" si="5"/>
        <v>10</v>
      </c>
      <c r="J67" s="31">
        <f>IFERROR(SUMPRODUCT((((ISNUMBER(SEARCH(B67,'Data - HSQE Events'!V$6:V$3000))+ISNUMBER(SEARCH(B67,'Data - HSQE Events'!H$6:H$3000)))&gt;0))*('Data - HSQE Events'!F$6:F$3000&gt;=$AG$3)*('Data - HSQE Events'!F$6:F$3000&lt;=$AJ$3)*('Data - HSQE Events'!R$6:R$3000="Opportunity")),0)</f>
        <v>0</v>
      </c>
      <c r="K67" s="31">
        <f>IFERROR(SUMPRODUCT((((ISNUMBER(SEARCH(B67,'Data - HSQE Events'!V$6:V$3000))+ISNUMBER(SEARCH(B67,'Data - HSQE Events'!H$6:H$3000)))&gt;0))*('Data - HSQE Events'!F$6:F$3000&gt;=$AG$3)*('Data - HSQE Events'!F$6:F$3000&lt;=$AJ$3)*('Data - HSQE Events'!R$6:R$3000="Minor")),0)</f>
        <v>0</v>
      </c>
      <c r="L67" s="31">
        <f>IFERROR(SUMPRODUCT((((ISNUMBER(SEARCH(B67,'Data - HSQE Events'!V$6:V$3000))+ISNUMBER(SEARCH(B67,'Data - HSQE Events'!H$6:H$3000)))&gt;0))*('Data - HSQE Events'!F$6:F$3000&gt;=$AG$3)*('Data - HSQE Events'!F$6:F$3000&lt;=$AJ$3)*(('Data - HSQE Events'!R$6:R$3000="Moderate")+('Data - HSQE Events'!R$6:R$3000="Major"))),0)</f>
        <v>0</v>
      </c>
      <c r="M67" s="31" t="str">
        <f>IF(IFERROR(SUMPRODUCT((((ISNUMBER(SEARCH(B67,'Data - HSQE Events'!V$6:V$3000))+ISNUMBER(SEARCH(B67,'Data - HSQE Events'!H$6:H$3000)))&gt;0))*('Data - HSQE Events'!F$6:F$3000&gt;=$AG$3)*('Data - HSQE Events'!F$6:F$3000&lt;=$AJ$3)*('Data - HSQE Events'!R$6:R$3000="Major")),0)&gt;0,"YES","NO")</f>
        <v>NO</v>
      </c>
      <c r="N67" s="31">
        <f>IFERROR(SUMPRODUCT(('Data - Skillko'!B$6:B$3000=B67)*('Data - Skillko'!C$6:C$3000="Total")*('Data - Skillko'!E$6:E$3000))*100,0)</f>
        <v>100</v>
      </c>
      <c r="O67" s="31">
        <f t="shared" si="6"/>
        <v>5</v>
      </c>
      <c r="P67" s="31">
        <f>IFERROR(SUMPRODUCT(ISNUMBER(SEARCH(B67,'Pole Results'!$A$13:$A$2000))*('Pole Results'!$B$13:$B$2000&gt;=$AG$3)*('Pole Results'!$B$13:$B$2000&lt;=$AE$3)*('Pole Results'!$E$13:$E$2000="Non-Compliant")),0)</f>
        <v>0</v>
      </c>
      <c r="Q67" s="31">
        <f t="shared" si="7"/>
        <v>1</v>
      </c>
      <c r="R67" s="31">
        <f t="shared" si="8"/>
        <v>5</v>
      </c>
      <c r="S67" s="49">
        <f t="shared" si="9"/>
        <v>5</v>
      </c>
      <c r="T67" s="31">
        <f>IF('Field Teams'!$I$68="Inactive","",ROUND((Q67*Settings!$D$6+R67*Settings!$D$7+O67*Settings!$D$10+S67*Settings!$D$12+AO67*Settings!$D$13)/Settings!$D$14,1))</f>
        <v>3.1</v>
      </c>
      <c r="U67" s="115" t="str">
        <f>IF('Field Teams'!$I$68="Inactive","",IF(Q67="","",IF(Q67&gt;=4.5,"★★★★★",IF(Q67&gt;=3.5,"★★★★☆",IF(Q67&gt;=2.5,"★★★☆☆",IF(Q67&gt;=1.5,"★★☆☆☆","★☆☆☆☆"))))))</f>
        <v>★☆☆☆☆</v>
      </c>
      <c r="V67" s="115" t="str">
        <f>IF('Field Teams'!$I$68="Inactive","",IF(R67="","",IF(R67&gt;=4.5,"★★★★★",IF(R67&gt;=3.5,"★★★★☆",IF(R67&gt;=2.5,"★★★☆☆",IF(R67&gt;=1.5,"★★☆☆☆","★☆☆☆☆"))))))</f>
        <v>★★★★★</v>
      </c>
      <c r="W67" s="115" t="str">
        <f>IF('Field Teams'!$I$68="Inactive","",IF(O67="","",IF(O67&gt;=4.5,"★★★★★",IF(O67&gt;=3.5,"★★★★☆",IF(O67&gt;=2.5,"★★★☆☆",IF(O67&gt;=1.5,"★★☆☆☆","★☆☆☆☆"))))))</f>
        <v>★★★★★</v>
      </c>
      <c r="X67" s="115" t="str">
        <f>IF('Field Teams'!$I$68="Inactive","",IF(S67="","",IF(S67&gt;=4.5,"★★★★★",IF(S67&gt;=3.5,"★★★★☆",IF(S67&gt;=2.5,"★★★☆☆",IF(S67&gt;=1.5,"★★☆☆☆","★☆☆☆☆"))))))</f>
        <v>★★★★★</v>
      </c>
      <c r="Y67" s="115" t="str">
        <f>IF('Field Teams'!$I$68="Inactive","",IF(AO67="","",IF(AO67&gt;=4.5,"★★★★★",IF(AO67&gt;=3.5,"★★★★☆",IF(AO67&gt;=2.5,"★★★☆☆",IF(AO67&gt;=1.5,"★★☆☆☆","★☆☆☆☆"))))))</f>
        <v>★★★☆☆</v>
      </c>
      <c r="Z67" s="115" t="str">
        <f>IF('Field Teams'!$I$5="Inactive","",IF(T67="","",IF(T67&gt;=4.5,"★★★★★",IF(T67&gt;=3.5,"★★★★☆",IF(T67&gt;=2.5,"★★★☆☆",IF(T67&gt;=1.5,"★★☆☆☆","★☆☆☆☆"))))))</f>
        <v>★★★☆☆</v>
      </c>
      <c r="AA67" s="31" t="str">
        <f>IF('Field Teams'!$I$68="Inactive","",IF(M67="YES","HIGH",IF(Q67&lt;=Settings!$D$26,"HIGH",IF(T67&lt;=Settings!$D$23,"HIGH",IF(T67&lt;=Settings!$D$24,"MEDIUM","LOW")))))</f>
        <v>HIGH</v>
      </c>
      <c r="AB67" s="31">
        <f>IF('Field Teams'!$I$5="Inactive",-1,IFERROR((6-T67)+(77-ROW())*0.0001,0))</f>
        <v>2.9009999999999998</v>
      </c>
      <c r="AC67" s="35">
        <f>IF('Field Teams'!$I$5="Inactive",999,IFERROR((6-T67)+(ROW()-3)*0.0001,99))</f>
        <v>2.9064000000000001</v>
      </c>
      <c r="AD67" s="31">
        <f>IF('Field Teams'!$I$68="Inactive",999,IFERROR(AB67+(ROW()-3)*0.0001,99))</f>
        <v>2.9074</v>
      </c>
      <c r="AE67" s="29">
        <v>0</v>
      </c>
      <c r="AF67" s="31" t="str">
        <f>IF('Field Teams'!$I$68="Inactive","",IF(AA67="HIGH","YES - within 5 working days",""))</f>
        <v>YES - within 5 working days</v>
      </c>
      <c r="AG67" s="105"/>
      <c r="AH67" s="49">
        <f>IFERROR(SUMPRODUCT(ISNUMBER(SEARCH(B67,'Pole Results'!$A$13:$A$2000))*('Pole Results'!$B$13:$B$2000&gt;=$AG$3)*('Pole Results'!$B$13:$B$2000&lt;=$AE$3)),0)</f>
        <v>0</v>
      </c>
      <c r="AI67" s="49">
        <f>IFERROR(SUMPRODUCT(ISNUMBER(SEARCH(B67,'Pole Results'!$A$13:$A$2000))*('Pole Results'!$B$13:$B$2000&gt;=$AG$3)*('Pole Results'!$B$13:$B$2000&lt;=$AE$3)*('Pole Results'!$E$13:$E$2000="Compliant")),0)</f>
        <v>0</v>
      </c>
      <c r="AJ67" s="105"/>
      <c r="AK67" s="106">
        <f>IF('Field Teams'!$I$68="Inactive",-1,IF(AA67="HIGH",AB67,-1))</f>
        <v>2.9009999999999998</v>
      </c>
      <c r="AL67" s="106">
        <f>IF('Field Teams'!$I$68="Inactive",-1,IF(OR(AA67="HIGH",AA67="MEDIUM"),AB67,-1))</f>
        <v>2.9009999999999998</v>
      </c>
      <c r="AM67" t="str">
        <f>IF('Field Teams'!$I$68="Inactive","",IF(IFERROR(LOOKUP(2,1/('Historical Scores'!C68:N68&lt;&gt;""),'Historical Scores'!C68:N68),"")="","New",IF(T67=""," ",IF(T67&gt;IFERROR(LOOKUP(2,1/('Historical Scores'!C68:N68&lt;&gt;""),'Historical Scores'!C68:N68),""),"▲ Worsening",IF(T67&lt;IFERROR(LOOKUP(2,1/('Historical Scores'!C68:N68&lt;&gt;""),'Historical Scores'!C68:N68),""),"▼ Improving","► Stable")))))</f>
        <v>New</v>
      </c>
      <c r="AN67">
        <f>IFERROR(SUMPRODUCT((ISNUMBER(SEARCH(B67,'Data - SSV'!AE$6:AE$3000)))*('Data - SSV'!AF$6:AF$3000&gt;=(AJ$3-90))*('Data - SSV'!AF$6:AF$3000&lt;=AJ$3)*('Data - SSV'!AH$6:AH$3000&lt;&gt;"")),0)</f>
        <v>0</v>
      </c>
      <c r="AO67">
        <f>IF('Field Teams'!$I$68="Inactive","",IF(AN67=0,3,IF(AN67=1,IF(IFERROR(SUMPRODUCT((ISNUMBER(SEARCH(B67,'Data - SSV'!AE$6:AE$3000)))*('Data - SSV'!AF$6:AF$3000&gt;=(AJ$3-90))*('Data - SSV'!AF$6:AF$3000&lt;=AJ$3)*('Data - SSV'!AH$6:AH$3000&lt;&gt;"")*IF('Data - SSV'!AH$6:AH$3000="",0,'Data - SSV'!AH$6:AH$3000))/AN67,3)=4,4,IF(IFERROR(SUMPRODUCT((ISNUMBER(SEARCH(B67,'Data - SSV'!AE$6:AE$3000)))*('Data - SSV'!AF$6:AF$3000&gt;=(AJ$3-90))*('Data - SSV'!AF$6:AF$3000&lt;=AJ$3)*('Data - SSV'!AH$6:AH$3000&lt;&gt;"")*IF('Data - SSV'!AH$6:AH$3000="",0,'Data - SSV'!AH$6:AH$3000))/AN67,3)&gt;=3,3,IF(IFERROR(SUMPRODUCT((ISNUMBER(SEARCH(B67,'Data - SSV'!AE$6:AE$3000)))*('Data - SSV'!AF$6:AF$3000&gt;=(AJ$3-90))*('Data - SSV'!AF$6:AF$3000&lt;=AJ$3)*('Data - SSV'!AH$6:AH$3000&lt;&gt;"")*IF('Data - SSV'!AH$6:AH$3000="",0,'Data - SSV'!AH$6:AH$3000))/AN67,3)&gt;=2,2,1))),IF(IFERROR(SUMPRODUCT((ISNUMBER(SEARCH(B67,'Data - SSV'!AE$6:AE$3000)))*('Data - SSV'!AF$6:AF$3000&gt;=(AJ$3-90))*('Data - SSV'!AF$6:AF$3000&lt;=AJ$3)*('Data - SSV'!AH$6:AH$3000&lt;&gt;"")*IF('Data - SSV'!AH$6:AH$3000="",0,'Data - SSV'!AH$6:AH$3000))/AN67,3)=4,5,IF(IFERROR(SUMPRODUCT((ISNUMBER(SEARCH(B67,'Data - SSV'!AE$6:AE$3000)))*('Data - SSV'!AF$6:AF$3000&gt;=(AJ$3-90))*('Data - SSV'!AF$6:AF$3000&lt;=AJ$3)*('Data - SSV'!AH$6:AH$3000&lt;&gt;"")*IF('Data - SSV'!AH$6:AH$3000="",0,'Data - SSV'!AH$6:AH$3000))/AN67,3)&gt;=3.5,4,IF(IFERROR(SUMPRODUCT((ISNUMBER(SEARCH(B67,'Data - SSV'!AE$6:AE$3000)))*('Data - SSV'!AF$6:AF$3000&gt;=(AJ$3-90))*('Data - SSV'!AF$6:AF$3000&lt;=AJ$3)*('Data - SSV'!AH$6:AH$3000&lt;&gt;"")*IF('Data - SSV'!AH$6:AH$3000="",0,'Data - SSV'!AH$6:AH$3000))/AN67,3)&gt;=3,3,IF(IFERROR(SUMPRODUCT((ISNUMBER(SEARCH(B67,'Data - SSV'!AE$6:AE$3000)))*('Data - SSV'!AF$6:AF$3000&gt;=(AJ$3-90))*('Data - SSV'!AF$6:AF$3000&lt;=AJ$3)*('Data - SSV'!AH$6:AH$3000&lt;&gt;"")*IF('Data - SSV'!AH$6:AH$3000="",0,'Data - SSV'!AH$6:AH$3000))/AN67,3)&gt;=2,2,1)))))))</f>
        <v>3</v>
      </c>
    </row>
    <row r="68" spans="1:41" ht="19.5" customHeight="1" x14ac:dyDescent="0.15">
      <c r="A68" s="10" t="str">
        <f>'Field Teams'!A69</f>
        <v>FT-065</v>
      </c>
      <c r="B68" s="30" t="str">
        <f>'Field Teams'!B69</f>
        <v>Electrification Construction Services Ltd</v>
      </c>
      <c r="C68" s="30" t="str">
        <f>'Field Teams'!C69</f>
        <v>Utility Arboriculture</v>
      </c>
      <c r="D68" s="10" t="str">
        <f>'Field Teams'!D69</f>
        <v>Paul Shaw</v>
      </c>
      <c r="E68" s="10" t="str">
        <f>'Field Teams'!E69</f>
        <v>David Damm</v>
      </c>
      <c r="F68" s="10">
        <f>'Field Teams'!F69</f>
        <v>0</v>
      </c>
      <c r="G68" s="10">
        <f>'Field Teams'!G69</f>
        <v>0</v>
      </c>
      <c r="H68" s="31">
        <f>'Field Teams'!H69</f>
        <v>2</v>
      </c>
      <c r="I68" s="31">
        <f t="shared" ref="I68:I99" si="10">H68*2</f>
        <v>4</v>
      </c>
      <c r="J68" s="31">
        <f>IFERROR(SUMPRODUCT((((ISNUMBER(SEARCH(B68,'Data - HSQE Events'!V$6:V$3000))+ISNUMBER(SEARCH(B68,'Data - HSQE Events'!H$6:H$3000)))&gt;0))*('Data - HSQE Events'!F$6:F$3000&gt;=$AG$3)*('Data - HSQE Events'!F$6:F$3000&lt;=$AJ$3)*('Data - HSQE Events'!R$6:R$3000="Opportunity")),0)</f>
        <v>0</v>
      </c>
      <c r="K68" s="31">
        <f>IFERROR(SUMPRODUCT((((ISNUMBER(SEARCH(B68,'Data - HSQE Events'!V$6:V$3000))+ISNUMBER(SEARCH(B68,'Data - HSQE Events'!H$6:H$3000)))&gt;0))*('Data - HSQE Events'!F$6:F$3000&gt;=$AG$3)*('Data - HSQE Events'!F$6:F$3000&lt;=$AJ$3)*('Data - HSQE Events'!R$6:R$3000="Minor")),0)</f>
        <v>0</v>
      </c>
      <c r="L68" s="31">
        <f>IFERROR(SUMPRODUCT((((ISNUMBER(SEARCH(B68,'Data - HSQE Events'!V$6:V$3000))+ISNUMBER(SEARCH(B68,'Data - HSQE Events'!H$6:H$3000)))&gt;0))*('Data - HSQE Events'!F$6:F$3000&gt;=$AG$3)*('Data - HSQE Events'!F$6:F$3000&lt;=$AJ$3)*(('Data - HSQE Events'!R$6:R$3000="Moderate")+('Data - HSQE Events'!R$6:R$3000="Major"))),0)</f>
        <v>0</v>
      </c>
      <c r="M68" s="31" t="str">
        <f>IF(IFERROR(SUMPRODUCT((((ISNUMBER(SEARCH(B68,'Data - HSQE Events'!V$6:V$3000))+ISNUMBER(SEARCH(B68,'Data - HSQE Events'!H$6:H$3000)))&gt;0))*('Data - HSQE Events'!F$6:F$3000&gt;=$AG$3)*('Data - HSQE Events'!F$6:F$3000&lt;=$AJ$3)*('Data - HSQE Events'!R$6:R$3000="Major")),0)&gt;0,"YES","NO")</f>
        <v>NO</v>
      </c>
      <c r="N68" s="31">
        <f>IFERROR(SUMPRODUCT(('Data - Skillko'!B$6:B$3000=B68)*('Data - Skillko'!C$6:C$3000="Total")*('Data - Skillko'!E$6:E$3000))*100,0)</f>
        <v>76</v>
      </c>
      <c r="O68" s="31">
        <f t="shared" ref="O68:O99" si="11">ROUND(MAX(1,MIN(5,1+N68/100*4)),1)</f>
        <v>4</v>
      </c>
      <c r="P68" s="31">
        <f>IFERROR(SUMPRODUCT(ISNUMBER(SEARCH(B68,'Pole Results'!$A$13:$A$2000))*('Pole Results'!$B$13:$B$2000&gt;=$AG$3)*('Pole Results'!$B$13:$B$2000&lt;=$AE$3)*('Pole Results'!$E$13:$E$2000="Non-Compliant")),0)</f>
        <v>0</v>
      </c>
      <c r="Q68" s="31">
        <f t="shared" ref="Q68:Q77" si="12">IF(I68=0,1,IFERROR(ROUND(MAX(1,MIN(5,1+J68/I68*4)),1),3))</f>
        <v>1</v>
      </c>
      <c r="R68" s="31">
        <f t="shared" ref="R68:R77" si="13">ROUND(6-MAX(MIN(5,K68*0.8+1),MIN(5,L68*2+1)),1)</f>
        <v>5</v>
      </c>
      <c r="S68" s="49">
        <f t="shared" ref="S68:S77" si="14">IFERROR(ROUND(MAX(1,MIN(5,5-(P68/MAX(1,AI68))*4)),1),5)</f>
        <v>5</v>
      </c>
      <c r="T68" s="31">
        <f>IF('Field Teams'!$I$69="Inactive","",ROUND((Q68*Settings!$D$6+R68*Settings!$D$7+O68*Settings!$D$10+S68*Settings!$D$12+AO68*Settings!$D$13)/Settings!$D$14,1))</f>
        <v>3</v>
      </c>
      <c r="U68" s="115" t="str">
        <f>IF('Field Teams'!$I$69="Inactive","",IF(Q68="","",IF(Q68&gt;=4.5,"★★★★★",IF(Q68&gt;=3.5,"★★★★☆",IF(Q68&gt;=2.5,"★★★☆☆",IF(Q68&gt;=1.5,"★★☆☆☆","★☆☆☆☆"))))))</f>
        <v>★☆☆☆☆</v>
      </c>
      <c r="V68" s="115" t="str">
        <f>IF('Field Teams'!$I$69="Inactive","",IF(R68="","",IF(R68&gt;=4.5,"★★★★★",IF(R68&gt;=3.5,"★★★★☆",IF(R68&gt;=2.5,"★★★☆☆",IF(R68&gt;=1.5,"★★☆☆☆","★☆☆☆☆"))))))</f>
        <v>★★★★★</v>
      </c>
      <c r="W68" s="115" t="str">
        <f>IF('Field Teams'!$I$69="Inactive","",IF(O68="","",IF(O68&gt;=4.5,"★★★★★",IF(O68&gt;=3.5,"★★★★☆",IF(O68&gt;=2.5,"★★★☆☆",IF(O68&gt;=1.5,"★★☆☆☆","★☆☆☆☆"))))))</f>
        <v>★★★★☆</v>
      </c>
      <c r="X68" s="115" t="str">
        <f>IF('Field Teams'!$I$69="Inactive","",IF(S68="","",IF(S68&gt;=4.5,"★★★★★",IF(S68&gt;=3.5,"★★★★☆",IF(S68&gt;=2.5,"★★★☆☆",IF(S68&gt;=1.5,"★★☆☆☆","★☆☆☆☆"))))))</f>
        <v>★★★★★</v>
      </c>
      <c r="Y68" s="115" t="str">
        <f>IF('Field Teams'!$I$69="Inactive","",IF(AO68="","",IF(AO68&gt;=4.5,"★★★★★",IF(AO68&gt;=3.5,"★★★★☆",IF(AO68&gt;=2.5,"★★★☆☆",IF(AO68&gt;=1.5,"★★☆☆☆","★☆☆☆☆"))))))</f>
        <v>★★★☆☆</v>
      </c>
      <c r="Z68" s="115" t="str">
        <f>IF('Field Teams'!$I$5="Inactive","",IF(T68="","",IF(T68&gt;=4.5,"★★★★★",IF(T68&gt;=3.5,"★★★★☆",IF(T68&gt;=2.5,"★★★☆☆",IF(T68&gt;=1.5,"★★☆☆☆","★☆☆☆☆"))))))</f>
        <v>★★★☆☆</v>
      </c>
      <c r="AA68" s="31" t="str">
        <f>IF('Field Teams'!$I$69="Inactive","",IF(M68="YES","HIGH",IF(Q68&lt;=Settings!$D$26,"HIGH",IF(T68&lt;=Settings!$D$23,"HIGH",IF(T68&lt;=Settings!$D$24,"MEDIUM","LOW")))))</f>
        <v>HIGH</v>
      </c>
      <c r="AB68" s="31">
        <f>IF('Field Teams'!$I$5="Inactive",-1,IFERROR((6-T68)+(77-ROW())*0.0001,0))</f>
        <v>3.0009000000000001</v>
      </c>
      <c r="AC68" s="35">
        <f>IF('Field Teams'!$I$5="Inactive",999,IFERROR((6-T68)+(ROW()-3)*0.0001,99))</f>
        <v>3.0065</v>
      </c>
      <c r="AD68" s="31">
        <f>IF('Field Teams'!$I$69="Inactive",999,IFERROR(AB68+(ROW()-3)*0.0001,99))</f>
        <v>3.0074000000000001</v>
      </c>
      <c r="AE68" s="29">
        <v>0</v>
      </c>
      <c r="AF68" s="31" t="str">
        <f>IF('Field Teams'!$I$69="Inactive","",IF(AA68="HIGH","YES - within 5 working days",""))</f>
        <v>YES - within 5 working days</v>
      </c>
      <c r="AG68" s="105"/>
      <c r="AH68" s="49">
        <f>IFERROR(SUMPRODUCT(ISNUMBER(SEARCH(B68,'Pole Results'!$A$13:$A$2000))*('Pole Results'!$B$13:$B$2000&gt;=$AG$3)*('Pole Results'!$B$13:$B$2000&lt;=$AE$3)),0)</f>
        <v>0</v>
      </c>
      <c r="AI68" s="49">
        <f>IFERROR(SUMPRODUCT(ISNUMBER(SEARCH(B68,'Pole Results'!$A$13:$A$2000))*('Pole Results'!$B$13:$B$2000&gt;=$AG$3)*('Pole Results'!$B$13:$B$2000&lt;=$AE$3)*('Pole Results'!$E$13:$E$2000="Compliant")),0)</f>
        <v>0</v>
      </c>
      <c r="AJ68" s="105"/>
      <c r="AK68" s="106">
        <f>IF('Field Teams'!$I$69="Inactive",-1,IF(AA68="HIGH",AB68,-1))</f>
        <v>3.0009000000000001</v>
      </c>
      <c r="AL68" s="106">
        <f>IF('Field Teams'!$I$69="Inactive",-1,IF(OR(AA68="HIGH",AA68="MEDIUM"),AB68,-1))</f>
        <v>3.0009000000000001</v>
      </c>
      <c r="AM68" t="str">
        <f>IF('Field Teams'!$I$69="Inactive","",IF(IFERROR(LOOKUP(2,1/('Historical Scores'!C69:N69&lt;&gt;""),'Historical Scores'!C69:N69),"")="","New",IF(T68=""," ",IF(T68&gt;IFERROR(LOOKUP(2,1/('Historical Scores'!C69:N69&lt;&gt;""),'Historical Scores'!C69:N69),""),"▲ Worsening",IF(T68&lt;IFERROR(LOOKUP(2,1/('Historical Scores'!C69:N69&lt;&gt;""),'Historical Scores'!C69:N69),""),"▼ Improving","► Stable")))))</f>
        <v>New</v>
      </c>
      <c r="AN68">
        <f>IFERROR(SUMPRODUCT((ISNUMBER(SEARCH(B68,'Data - SSV'!AE$6:AE$3000)))*('Data - SSV'!AF$6:AF$3000&gt;=(AJ$3-90))*('Data - SSV'!AF$6:AF$3000&lt;=AJ$3)*('Data - SSV'!AH$6:AH$3000&lt;&gt;"")),0)</f>
        <v>0</v>
      </c>
      <c r="AO68">
        <f>IF('Field Teams'!$I$69="Inactive","",IF(AN68=0,3,IF(AN68=1,IF(IFERROR(SUMPRODUCT((ISNUMBER(SEARCH(B68,'Data - SSV'!AE$6:AE$3000)))*('Data - SSV'!AF$6:AF$3000&gt;=(AJ$3-90))*('Data - SSV'!AF$6:AF$3000&lt;=AJ$3)*('Data - SSV'!AH$6:AH$3000&lt;&gt;"")*IF('Data - SSV'!AH$6:AH$3000="",0,'Data - SSV'!AH$6:AH$3000))/AN68,3)=4,4,IF(IFERROR(SUMPRODUCT((ISNUMBER(SEARCH(B68,'Data - SSV'!AE$6:AE$3000)))*('Data - SSV'!AF$6:AF$3000&gt;=(AJ$3-90))*('Data - SSV'!AF$6:AF$3000&lt;=AJ$3)*('Data - SSV'!AH$6:AH$3000&lt;&gt;"")*IF('Data - SSV'!AH$6:AH$3000="",0,'Data - SSV'!AH$6:AH$3000))/AN68,3)&gt;=3,3,IF(IFERROR(SUMPRODUCT((ISNUMBER(SEARCH(B68,'Data - SSV'!AE$6:AE$3000)))*('Data - SSV'!AF$6:AF$3000&gt;=(AJ$3-90))*('Data - SSV'!AF$6:AF$3000&lt;=AJ$3)*('Data - SSV'!AH$6:AH$3000&lt;&gt;"")*IF('Data - SSV'!AH$6:AH$3000="",0,'Data - SSV'!AH$6:AH$3000))/AN68,3)&gt;=2,2,1))),IF(IFERROR(SUMPRODUCT((ISNUMBER(SEARCH(B68,'Data - SSV'!AE$6:AE$3000)))*('Data - SSV'!AF$6:AF$3000&gt;=(AJ$3-90))*('Data - SSV'!AF$6:AF$3000&lt;=AJ$3)*('Data - SSV'!AH$6:AH$3000&lt;&gt;"")*IF('Data - SSV'!AH$6:AH$3000="",0,'Data - SSV'!AH$6:AH$3000))/AN68,3)=4,5,IF(IFERROR(SUMPRODUCT((ISNUMBER(SEARCH(B68,'Data - SSV'!AE$6:AE$3000)))*('Data - SSV'!AF$6:AF$3000&gt;=(AJ$3-90))*('Data - SSV'!AF$6:AF$3000&lt;=AJ$3)*('Data - SSV'!AH$6:AH$3000&lt;&gt;"")*IF('Data - SSV'!AH$6:AH$3000="",0,'Data - SSV'!AH$6:AH$3000))/AN68,3)&gt;=3.5,4,IF(IFERROR(SUMPRODUCT((ISNUMBER(SEARCH(B68,'Data - SSV'!AE$6:AE$3000)))*('Data - SSV'!AF$6:AF$3000&gt;=(AJ$3-90))*('Data - SSV'!AF$6:AF$3000&lt;=AJ$3)*('Data - SSV'!AH$6:AH$3000&lt;&gt;"")*IF('Data - SSV'!AH$6:AH$3000="",0,'Data - SSV'!AH$6:AH$3000))/AN68,3)&gt;=3,3,IF(IFERROR(SUMPRODUCT((ISNUMBER(SEARCH(B68,'Data - SSV'!AE$6:AE$3000)))*('Data - SSV'!AF$6:AF$3000&gt;=(AJ$3-90))*('Data - SSV'!AF$6:AF$3000&lt;=AJ$3)*('Data - SSV'!AH$6:AH$3000&lt;&gt;"")*IF('Data - SSV'!AH$6:AH$3000="",0,'Data - SSV'!AH$6:AH$3000))/AN68,3)&gt;=2,2,1)))))))</f>
        <v>3</v>
      </c>
    </row>
    <row r="69" spans="1:41" ht="19.5" customHeight="1" x14ac:dyDescent="0.15">
      <c r="A69" s="6" t="str">
        <f>'Field Teams'!A70</f>
        <v>FT-066</v>
      </c>
      <c r="B69" s="28" t="str">
        <f>'Field Teams'!B70</f>
        <v>Heartwood Tree Surgeons Ltd</v>
      </c>
      <c r="C69" s="28" t="str">
        <f>'Field Teams'!C70</f>
        <v>Utility Arboriculture</v>
      </c>
      <c r="D69" s="6" t="str">
        <f>'Field Teams'!D70</f>
        <v>Paul Shaw</v>
      </c>
      <c r="E69" s="6" t="str">
        <f>'Field Teams'!E70</f>
        <v>David Damm</v>
      </c>
      <c r="F69" s="6">
        <f>'Field Teams'!F70</f>
        <v>0</v>
      </c>
      <c r="G69" s="6">
        <f>'Field Teams'!G70</f>
        <v>0</v>
      </c>
      <c r="H69" s="31">
        <f>'Field Teams'!H70</f>
        <v>6</v>
      </c>
      <c r="I69" s="31">
        <f t="shared" si="10"/>
        <v>12</v>
      </c>
      <c r="J69" s="31">
        <f>IFERROR(SUMPRODUCT((((ISNUMBER(SEARCH(B69,'Data - HSQE Events'!V$6:V$3000))+ISNUMBER(SEARCH(B69,'Data - HSQE Events'!H$6:H$3000)))&gt;0))*('Data - HSQE Events'!F$6:F$3000&gt;=$AG$3)*('Data - HSQE Events'!F$6:F$3000&lt;=$AJ$3)*('Data - HSQE Events'!R$6:R$3000="Opportunity")),0)</f>
        <v>0</v>
      </c>
      <c r="K69" s="31">
        <f>IFERROR(SUMPRODUCT((((ISNUMBER(SEARCH(B69,'Data - HSQE Events'!V$6:V$3000))+ISNUMBER(SEARCH(B69,'Data - HSQE Events'!H$6:H$3000)))&gt;0))*('Data - HSQE Events'!F$6:F$3000&gt;=$AG$3)*('Data - HSQE Events'!F$6:F$3000&lt;=$AJ$3)*('Data - HSQE Events'!R$6:R$3000="Minor")),0)</f>
        <v>0</v>
      </c>
      <c r="L69" s="31">
        <f>IFERROR(SUMPRODUCT((((ISNUMBER(SEARCH(B69,'Data - HSQE Events'!V$6:V$3000))+ISNUMBER(SEARCH(B69,'Data - HSQE Events'!H$6:H$3000)))&gt;0))*('Data - HSQE Events'!F$6:F$3000&gt;=$AG$3)*('Data - HSQE Events'!F$6:F$3000&lt;=$AJ$3)*(('Data - HSQE Events'!R$6:R$3000="Moderate")+('Data - HSQE Events'!R$6:R$3000="Major"))),0)</f>
        <v>0</v>
      </c>
      <c r="M69" s="31" t="str">
        <f>IF(IFERROR(SUMPRODUCT((((ISNUMBER(SEARCH(B69,'Data - HSQE Events'!V$6:V$3000))+ISNUMBER(SEARCH(B69,'Data - HSQE Events'!H$6:H$3000)))&gt;0))*('Data - HSQE Events'!F$6:F$3000&gt;=$AG$3)*('Data - HSQE Events'!F$6:F$3000&lt;=$AJ$3)*('Data - HSQE Events'!R$6:R$3000="Major")),0)&gt;0,"YES","NO")</f>
        <v>NO</v>
      </c>
      <c r="N69" s="31">
        <f>IFERROR(SUMPRODUCT(('Data - Skillko'!B$6:B$3000=B69)*('Data - Skillko'!C$6:C$3000="Total")*('Data - Skillko'!E$6:E$3000))*100,0)</f>
        <v>52</v>
      </c>
      <c r="O69" s="31">
        <f t="shared" si="11"/>
        <v>3.1</v>
      </c>
      <c r="P69" s="31">
        <f>IFERROR(SUMPRODUCT(ISNUMBER(SEARCH(B69,'Pole Results'!$A$13:$A$2000))*('Pole Results'!$B$13:$B$2000&gt;=$AG$3)*('Pole Results'!$B$13:$B$2000&lt;=$AE$3)*('Pole Results'!$E$13:$E$2000="Non-Compliant")),0)</f>
        <v>0</v>
      </c>
      <c r="Q69" s="31">
        <f t="shared" si="12"/>
        <v>1</v>
      </c>
      <c r="R69" s="31">
        <f t="shared" si="13"/>
        <v>5</v>
      </c>
      <c r="S69" s="49">
        <f t="shared" si="14"/>
        <v>5</v>
      </c>
      <c r="T69" s="31">
        <f>IF('Field Teams'!$I$70="Inactive","",ROUND((Q69*Settings!$D$6+R69*Settings!$D$7+O69*Settings!$D$10+S69*Settings!$D$12+AO69*Settings!$D$13)/Settings!$D$14,1))</f>
        <v>2.8</v>
      </c>
      <c r="U69" s="115" t="str">
        <f>IF('Field Teams'!$I$70="Inactive","",IF(Q69="","",IF(Q69&gt;=4.5,"★★★★★",IF(Q69&gt;=3.5,"★★★★☆",IF(Q69&gt;=2.5,"★★★☆☆",IF(Q69&gt;=1.5,"★★☆☆☆","★☆☆☆☆"))))))</f>
        <v>★☆☆☆☆</v>
      </c>
      <c r="V69" s="115" t="str">
        <f>IF('Field Teams'!$I$70="Inactive","",IF(R69="","",IF(R69&gt;=4.5,"★★★★★",IF(R69&gt;=3.5,"★★★★☆",IF(R69&gt;=2.5,"★★★☆☆",IF(R69&gt;=1.5,"★★☆☆☆","★☆☆☆☆"))))))</f>
        <v>★★★★★</v>
      </c>
      <c r="W69" s="115" t="str">
        <f>IF('Field Teams'!$I$70="Inactive","",IF(O69="","",IF(O69&gt;=4.5,"★★★★★",IF(O69&gt;=3.5,"★★★★☆",IF(O69&gt;=2.5,"★★★☆☆",IF(O69&gt;=1.5,"★★☆☆☆","★☆☆☆☆"))))))</f>
        <v>★★★☆☆</v>
      </c>
      <c r="X69" s="115" t="str">
        <f>IF('Field Teams'!$I$70="Inactive","",IF(S69="","",IF(S69&gt;=4.5,"★★★★★",IF(S69&gt;=3.5,"★★★★☆",IF(S69&gt;=2.5,"★★★☆☆",IF(S69&gt;=1.5,"★★☆☆☆","★☆☆☆☆"))))))</f>
        <v>★★★★★</v>
      </c>
      <c r="Y69" s="115" t="str">
        <f>IF('Field Teams'!$I$70="Inactive","",IF(AO69="","",IF(AO69&gt;=4.5,"★★★★★",IF(AO69&gt;=3.5,"★★★★☆",IF(AO69&gt;=2.5,"★★★☆☆",IF(AO69&gt;=1.5,"★★☆☆☆","★☆☆☆☆"))))))</f>
        <v>★★★☆☆</v>
      </c>
      <c r="Z69" s="115" t="str">
        <f>IF('Field Teams'!$I$5="Inactive","",IF(T69="","",IF(T69&gt;=4.5,"★★★★★",IF(T69&gt;=3.5,"★★★★☆",IF(T69&gt;=2.5,"★★★☆☆",IF(T69&gt;=1.5,"★★☆☆☆","★☆☆☆☆"))))))</f>
        <v>★★★☆☆</v>
      </c>
      <c r="AA69" s="31" t="str">
        <f>IF('Field Teams'!$I$70="Inactive","",IF(M69="YES","HIGH",IF(Q69&lt;=Settings!$D$26,"HIGH",IF(T69&lt;=Settings!$D$23,"HIGH",IF(T69&lt;=Settings!$D$24,"MEDIUM","LOW")))))</f>
        <v>HIGH</v>
      </c>
      <c r="AB69" s="31">
        <f>IF('Field Teams'!$I$5="Inactive",-1,IFERROR((6-T69)+(77-ROW())*0.0001,0))</f>
        <v>3.2008000000000001</v>
      </c>
      <c r="AC69" s="35">
        <f>IF('Field Teams'!$I$5="Inactive",999,IFERROR((6-T69)+(ROW()-3)*0.0001,99))</f>
        <v>3.2066000000000003</v>
      </c>
      <c r="AD69" s="31">
        <f>IF('Field Teams'!$I$70="Inactive",999,IFERROR(AB69+(ROW()-3)*0.0001,99))</f>
        <v>3.2074000000000003</v>
      </c>
      <c r="AE69" s="29">
        <v>0</v>
      </c>
      <c r="AF69" s="31" t="str">
        <f>IF('Field Teams'!$I$70="Inactive","",IF(AA69="HIGH","YES - within 5 working days",""))</f>
        <v>YES - within 5 working days</v>
      </c>
      <c r="AG69" s="105"/>
      <c r="AH69" s="49">
        <f>IFERROR(SUMPRODUCT(ISNUMBER(SEARCH(B69,'Pole Results'!$A$13:$A$2000))*('Pole Results'!$B$13:$B$2000&gt;=$AG$3)*('Pole Results'!$B$13:$B$2000&lt;=$AE$3)),0)</f>
        <v>0</v>
      </c>
      <c r="AI69" s="49">
        <f>IFERROR(SUMPRODUCT(ISNUMBER(SEARCH(B69,'Pole Results'!$A$13:$A$2000))*('Pole Results'!$B$13:$B$2000&gt;=$AG$3)*('Pole Results'!$B$13:$B$2000&lt;=$AE$3)*('Pole Results'!$E$13:$E$2000="Compliant")),0)</f>
        <v>0</v>
      </c>
      <c r="AJ69" s="105"/>
      <c r="AK69" s="106">
        <f>IF('Field Teams'!$I$70="Inactive",-1,IF(AA69="HIGH",AB69,-1))</f>
        <v>3.2008000000000001</v>
      </c>
      <c r="AL69" s="106">
        <f>IF('Field Teams'!$I$70="Inactive",-1,IF(OR(AA69="HIGH",AA69="MEDIUM"),AB69,-1))</f>
        <v>3.2008000000000001</v>
      </c>
      <c r="AM69" t="str">
        <f>IF('Field Teams'!$I$70="Inactive","",IF(IFERROR(LOOKUP(2,1/('Historical Scores'!C70:N70&lt;&gt;""),'Historical Scores'!C70:N70),"")="","New",IF(T69=""," ",IF(T69&gt;IFERROR(LOOKUP(2,1/('Historical Scores'!C70:N70&lt;&gt;""),'Historical Scores'!C70:N70),""),"▲ Worsening",IF(T69&lt;IFERROR(LOOKUP(2,1/('Historical Scores'!C70:N70&lt;&gt;""),'Historical Scores'!C70:N70),""),"▼ Improving","► Stable")))))</f>
        <v>New</v>
      </c>
      <c r="AN69">
        <f>IFERROR(SUMPRODUCT((ISNUMBER(SEARCH(B69,'Data - SSV'!AE$6:AE$3000)))*('Data - SSV'!AF$6:AF$3000&gt;=(AJ$3-90))*('Data - SSV'!AF$6:AF$3000&lt;=AJ$3)*('Data - SSV'!AH$6:AH$3000&lt;&gt;"")),0)</f>
        <v>0</v>
      </c>
      <c r="AO69">
        <f>IF('Field Teams'!$I$70="Inactive","",IF(AN69=0,3,IF(AN69=1,IF(IFERROR(SUMPRODUCT((ISNUMBER(SEARCH(B69,'Data - SSV'!AE$6:AE$3000)))*('Data - SSV'!AF$6:AF$3000&gt;=(AJ$3-90))*('Data - SSV'!AF$6:AF$3000&lt;=AJ$3)*('Data - SSV'!AH$6:AH$3000&lt;&gt;"")*IF('Data - SSV'!AH$6:AH$3000="",0,'Data - SSV'!AH$6:AH$3000))/AN69,3)=4,4,IF(IFERROR(SUMPRODUCT((ISNUMBER(SEARCH(B69,'Data - SSV'!AE$6:AE$3000)))*('Data - SSV'!AF$6:AF$3000&gt;=(AJ$3-90))*('Data - SSV'!AF$6:AF$3000&lt;=AJ$3)*('Data - SSV'!AH$6:AH$3000&lt;&gt;"")*IF('Data - SSV'!AH$6:AH$3000="",0,'Data - SSV'!AH$6:AH$3000))/AN69,3)&gt;=3,3,IF(IFERROR(SUMPRODUCT((ISNUMBER(SEARCH(B69,'Data - SSV'!AE$6:AE$3000)))*('Data - SSV'!AF$6:AF$3000&gt;=(AJ$3-90))*('Data - SSV'!AF$6:AF$3000&lt;=AJ$3)*('Data - SSV'!AH$6:AH$3000&lt;&gt;"")*IF('Data - SSV'!AH$6:AH$3000="",0,'Data - SSV'!AH$6:AH$3000))/AN69,3)&gt;=2,2,1))),IF(IFERROR(SUMPRODUCT((ISNUMBER(SEARCH(B69,'Data - SSV'!AE$6:AE$3000)))*('Data - SSV'!AF$6:AF$3000&gt;=(AJ$3-90))*('Data - SSV'!AF$6:AF$3000&lt;=AJ$3)*('Data - SSV'!AH$6:AH$3000&lt;&gt;"")*IF('Data - SSV'!AH$6:AH$3000="",0,'Data - SSV'!AH$6:AH$3000))/AN69,3)=4,5,IF(IFERROR(SUMPRODUCT((ISNUMBER(SEARCH(B69,'Data - SSV'!AE$6:AE$3000)))*('Data - SSV'!AF$6:AF$3000&gt;=(AJ$3-90))*('Data - SSV'!AF$6:AF$3000&lt;=AJ$3)*('Data - SSV'!AH$6:AH$3000&lt;&gt;"")*IF('Data - SSV'!AH$6:AH$3000="",0,'Data - SSV'!AH$6:AH$3000))/AN69,3)&gt;=3.5,4,IF(IFERROR(SUMPRODUCT((ISNUMBER(SEARCH(B69,'Data - SSV'!AE$6:AE$3000)))*('Data - SSV'!AF$6:AF$3000&gt;=(AJ$3-90))*('Data - SSV'!AF$6:AF$3000&lt;=AJ$3)*('Data - SSV'!AH$6:AH$3000&lt;&gt;"")*IF('Data - SSV'!AH$6:AH$3000="",0,'Data - SSV'!AH$6:AH$3000))/AN69,3)&gt;=3,3,IF(IFERROR(SUMPRODUCT((ISNUMBER(SEARCH(B69,'Data - SSV'!AE$6:AE$3000)))*('Data - SSV'!AF$6:AF$3000&gt;=(AJ$3-90))*('Data - SSV'!AF$6:AF$3000&lt;=AJ$3)*('Data - SSV'!AH$6:AH$3000&lt;&gt;"")*IF('Data - SSV'!AH$6:AH$3000="",0,'Data - SSV'!AH$6:AH$3000))/AN69,3)&gt;=2,2,1)))))))</f>
        <v>3</v>
      </c>
    </row>
    <row r="70" spans="1:41" ht="19.5" customHeight="1" x14ac:dyDescent="0.15">
      <c r="A70" s="10" t="str">
        <f>'Field Teams'!A71</f>
        <v>FT-067</v>
      </c>
      <c r="B70" s="30" t="str">
        <f>'Field Teams'!B71</f>
        <v>Keighley Tree Services</v>
      </c>
      <c r="C70" s="30" t="str">
        <f>'Field Teams'!C71</f>
        <v>Utility Arboriculture</v>
      </c>
      <c r="D70" s="10" t="str">
        <f>'Field Teams'!D71</f>
        <v>Paul Shaw</v>
      </c>
      <c r="E70" s="10" t="str">
        <f>'Field Teams'!E71</f>
        <v>David Damm</v>
      </c>
      <c r="F70" s="10">
        <f>'Field Teams'!F71</f>
        <v>0</v>
      </c>
      <c r="G70" s="10">
        <f>'Field Teams'!G71</f>
        <v>0</v>
      </c>
      <c r="H70" s="31">
        <f>'Field Teams'!H71</f>
        <v>4</v>
      </c>
      <c r="I70" s="31">
        <f t="shared" si="10"/>
        <v>8</v>
      </c>
      <c r="J70" s="31">
        <f>IFERROR(SUMPRODUCT((((ISNUMBER(SEARCH(B70,'Data - HSQE Events'!V$6:V$3000))+ISNUMBER(SEARCH(B70,'Data - HSQE Events'!H$6:H$3000)))&gt;0))*('Data - HSQE Events'!F$6:F$3000&gt;=$AG$3)*('Data - HSQE Events'!F$6:F$3000&lt;=$AJ$3)*('Data - HSQE Events'!R$6:R$3000="Opportunity")),0)</f>
        <v>0</v>
      </c>
      <c r="K70" s="31">
        <f>IFERROR(SUMPRODUCT((((ISNUMBER(SEARCH(B70,'Data - HSQE Events'!V$6:V$3000))+ISNUMBER(SEARCH(B70,'Data - HSQE Events'!H$6:H$3000)))&gt;0))*('Data - HSQE Events'!F$6:F$3000&gt;=$AG$3)*('Data - HSQE Events'!F$6:F$3000&lt;=$AJ$3)*('Data - HSQE Events'!R$6:R$3000="Minor")),0)</f>
        <v>0</v>
      </c>
      <c r="L70" s="31">
        <f>IFERROR(SUMPRODUCT((((ISNUMBER(SEARCH(B70,'Data - HSQE Events'!V$6:V$3000))+ISNUMBER(SEARCH(B70,'Data - HSQE Events'!H$6:H$3000)))&gt;0))*('Data - HSQE Events'!F$6:F$3000&gt;=$AG$3)*('Data - HSQE Events'!F$6:F$3000&lt;=$AJ$3)*(('Data - HSQE Events'!R$6:R$3000="Moderate")+('Data - HSQE Events'!R$6:R$3000="Major"))),0)</f>
        <v>0</v>
      </c>
      <c r="M70" s="31" t="str">
        <f>IF(IFERROR(SUMPRODUCT((((ISNUMBER(SEARCH(B70,'Data - HSQE Events'!V$6:V$3000))+ISNUMBER(SEARCH(B70,'Data - HSQE Events'!H$6:H$3000)))&gt;0))*('Data - HSQE Events'!F$6:F$3000&gt;=$AG$3)*('Data - HSQE Events'!F$6:F$3000&lt;=$AJ$3)*('Data - HSQE Events'!R$6:R$3000="Major")),0)&gt;0,"YES","NO")</f>
        <v>NO</v>
      </c>
      <c r="N70" s="31">
        <f>IFERROR(SUMPRODUCT(('Data - Skillko'!B$6:B$3000=B70)*('Data - Skillko'!C$6:C$3000="Total")*('Data - Skillko'!E$6:E$3000))*100,0)</f>
        <v>32</v>
      </c>
      <c r="O70" s="31">
        <f t="shared" si="11"/>
        <v>2.2999999999999998</v>
      </c>
      <c r="P70" s="31">
        <f>IFERROR(SUMPRODUCT(ISNUMBER(SEARCH(B70,'Pole Results'!$A$13:$A$2000))*('Pole Results'!$B$13:$B$2000&gt;=$AG$3)*('Pole Results'!$B$13:$B$2000&lt;=$AE$3)*('Pole Results'!$E$13:$E$2000="Non-Compliant")),0)</f>
        <v>0</v>
      </c>
      <c r="Q70" s="31">
        <f t="shared" si="12"/>
        <v>1</v>
      </c>
      <c r="R70" s="31">
        <f t="shared" si="13"/>
        <v>5</v>
      </c>
      <c r="S70" s="49">
        <f t="shared" si="14"/>
        <v>5</v>
      </c>
      <c r="T70" s="31">
        <f>IF('Field Teams'!$I$71="Inactive","",ROUND((Q70*Settings!$D$6+R70*Settings!$D$7+O70*Settings!$D$10+S70*Settings!$D$12+AO70*Settings!$D$13)/Settings!$D$14,1))</f>
        <v>2.7</v>
      </c>
      <c r="U70" s="115" t="str">
        <f>IF('Field Teams'!$I$71="Inactive","",IF(Q70="","",IF(Q70&gt;=4.5,"★★★★★",IF(Q70&gt;=3.5,"★★★★☆",IF(Q70&gt;=2.5,"★★★☆☆",IF(Q70&gt;=1.5,"★★☆☆☆","★☆☆☆☆"))))))</f>
        <v>★☆☆☆☆</v>
      </c>
      <c r="V70" s="115" t="str">
        <f>IF('Field Teams'!$I$71="Inactive","",IF(R70="","",IF(R70&gt;=4.5,"★★★★★",IF(R70&gt;=3.5,"★★★★☆",IF(R70&gt;=2.5,"★★★☆☆",IF(R70&gt;=1.5,"★★☆☆☆","★☆☆☆☆"))))))</f>
        <v>★★★★★</v>
      </c>
      <c r="W70" s="115" t="str">
        <f>IF('Field Teams'!$I$71="Inactive","",IF(O70="","",IF(O70&gt;=4.5,"★★★★★",IF(O70&gt;=3.5,"★★★★☆",IF(O70&gt;=2.5,"★★★☆☆",IF(O70&gt;=1.5,"★★☆☆☆","★☆☆☆☆"))))))</f>
        <v>★★☆☆☆</v>
      </c>
      <c r="X70" s="115" t="str">
        <f>IF('Field Teams'!$I$71="Inactive","",IF(S70="","",IF(S70&gt;=4.5,"★★★★★",IF(S70&gt;=3.5,"★★★★☆",IF(S70&gt;=2.5,"★★★☆☆",IF(S70&gt;=1.5,"★★☆☆☆","★☆☆☆☆"))))))</f>
        <v>★★★★★</v>
      </c>
      <c r="Y70" s="115" t="str">
        <f>IF('Field Teams'!$I$71="Inactive","",IF(AO70="","",IF(AO70&gt;=4.5,"★★★★★",IF(AO70&gt;=3.5,"★★★★☆",IF(AO70&gt;=2.5,"★★★☆☆",IF(AO70&gt;=1.5,"★★☆☆☆","★☆☆☆☆"))))))</f>
        <v>★★★☆☆</v>
      </c>
      <c r="Z70" s="115" t="str">
        <f>IF('Field Teams'!$I$5="Inactive","",IF(T70="","",IF(T70&gt;=4.5,"★★★★★",IF(T70&gt;=3.5,"★★★★☆",IF(T70&gt;=2.5,"★★★☆☆",IF(T70&gt;=1.5,"★★☆☆☆","★☆☆☆☆"))))))</f>
        <v>★★★☆☆</v>
      </c>
      <c r="AA70" s="31" t="str">
        <f>IF('Field Teams'!$I$71="Inactive","",IF(M70="YES","HIGH",IF(Q70&lt;=Settings!$D$26,"HIGH",IF(T70&lt;=Settings!$D$23,"HIGH",IF(T70&lt;=Settings!$D$24,"MEDIUM","LOW")))))</f>
        <v>HIGH</v>
      </c>
      <c r="AB70" s="31">
        <f>IF('Field Teams'!$I$5="Inactive",-1,IFERROR((6-T70)+(77-ROW())*0.0001,0))</f>
        <v>3.3007</v>
      </c>
      <c r="AC70" s="35">
        <f>IF('Field Teams'!$I$5="Inactive",999,IFERROR((6-T70)+(ROW()-3)*0.0001,99))</f>
        <v>3.3066999999999998</v>
      </c>
      <c r="AD70" s="31">
        <f>IF('Field Teams'!$I$71="Inactive",999,IFERROR(AB70+(ROW()-3)*0.0001,99))</f>
        <v>3.3073999999999999</v>
      </c>
      <c r="AE70" s="29">
        <v>0</v>
      </c>
      <c r="AF70" s="31" t="str">
        <f>IF('Field Teams'!$I$71="Inactive","",IF(AA70="HIGH","YES - within 5 working days",""))</f>
        <v>YES - within 5 working days</v>
      </c>
      <c r="AG70" s="105"/>
      <c r="AH70" s="49">
        <f>IFERROR(SUMPRODUCT(ISNUMBER(SEARCH(B70,'Pole Results'!$A$13:$A$2000))*('Pole Results'!$B$13:$B$2000&gt;=$AG$3)*('Pole Results'!$B$13:$B$2000&lt;=$AE$3)),0)</f>
        <v>0</v>
      </c>
      <c r="AI70" s="49">
        <f>IFERROR(SUMPRODUCT(ISNUMBER(SEARCH(B70,'Pole Results'!$A$13:$A$2000))*('Pole Results'!$B$13:$B$2000&gt;=$AG$3)*('Pole Results'!$B$13:$B$2000&lt;=$AE$3)*('Pole Results'!$E$13:$E$2000="Compliant")),0)</f>
        <v>0</v>
      </c>
      <c r="AJ70" s="105"/>
      <c r="AK70" s="106">
        <f>IF('Field Teams'!$I$71="Inactive",-1,IF(AA70="HIGH",AB70,-1))</f>
        <v>3.3007</v>
      </c>
      <c r="AL70" s="106">
        <f>IF('Field Teams'!$I$71="Inactive",-1,IF(OR(AA70="HIGH",AA70="MEDIUM"),AB70,-1))</f>
        <v>3.3007</v>
      </c>
      <c r="AM70" t="str">
        <f>IF('Field Teams'!$I$71="Inactive","",IF(IFERROR(LOOKUP(2,1/('Historical Scores'!C71:N71&lt;&gt;""),'Historical Scores'!C71:N71),"")="","New",IF(T70=""," ",IF(T70&gt;IFERROR(LOOKUP(2,1/('Historical Scores'!C71:N71&lt;&gt;""),'Historical Scores'!C71:N71),""),"▲ Worsening",IF(T70&lt;IFERROR(LOOKUP(2,1/('Historical Scores'!C71:N71&lt;&gt;""),'Historical Scores'!C71:N71),""),"▼ Improving","► Stable")))))</f>
        <v>New</v>
      </c>
      <c r="AN70">
        <f>IFERROR(SUMPRODUCT((ISNUMBER(SEARCH(B70,'Data - SSV'!AE$6:AE$3000)))*('Data - SSV'!AF$6:AF$3000&gt;=(AJ$3-90))*('Data - SSV'!AF$6:AF$3000&lt;=AJ$3)*('Data - SSV'!AH$6:AH$3000&lt;&gt;"")),0)</f>
        <v>0</v>
      </c>
      <c r="AO70">
        <f>IF('Field Teams'!$I$71="Inactive","",IF(AN70=0,3,IF(AN70=1,IF(IFERROR(SUMPRODUCT((ISNUMBER(SEARCH(B70,'Data - SSV'!AE$6:AE$3000)))*('Data - SSV'!AF$6:AF$3000&gt;=(AJ$3-90))*('Data - SSV'!AF$6:AF$3000&lt;=AJ$3)*('Data - SSV'!AH$6:AH$3000&lt;&gt;"")*IF('Data - SSV'!AH$6:AH$3000="",0,'Data - SSV'!AH$6:AH$3000))/AN70,3)=4,4,IF(IFERROR(SUMPRODUCT((ISNUMBER(SEARCH(B70,'Data - SSV'!AE$6:AE$3000)))*('Data - SSV'!AF$6:AF$3000&gt;=(AJ$3-90))*('Data - SSV'!AF$6:AF$3000&lt;=AJ$3)*('Data - SSV'!AH$6:AH$3000&lt;&gt;"")*IF('Data - SSV'!AH$6:AH$3000="",0,'Data - SSV'!AH$6:AH$3000))/AN70,3)&gt;=3,3,IF(IFERROR(SUMPRODUCT((ISNUMBER(SEARCH(B70,'Data - SSV'!AE$6:AE$3000)))*('Data - SSV'!AF$6:AF$3000&gt;=(AJ$3-90))*('Data - SSV'!AF$6:AF$3000&lt;=AJ$3)*('Data - SSV'!AH$6:AH$3000&lt;&gt;"")*IF('Data - SSV'!AH$6:AH$3000="",0,'Data - SSV'!AH$6:AH$3000))/AN70,3)&gt;=2,2,1))),IF(IFERROR(SUMPRODUCT((ISNUMBER(SEARCH(B70,'Data - SSV'!AE$6:AE$3000)))*('Data - SSV'!AF$6:AF$3000&gt;=(AJ$3-90))*('Data - SSV'!AF$6:AF$3000&lt;=AJ$3)*('Data - SSV'!AH$6:AH$3000&lt;&gt;"")*IF('Data - SSV'!AH$6:AH$3000="",0,'Data - SSV'!AH$6:AH$3000))/AN70,3)=4,5,IF(IFERROR(SUMPRODUCT((ISNUMBER(SEARCH(B70,'Data - SSV'!AE$6:AE$3000)))*('Data - SSV'!AF$6:AF$3000&gt;=(AJ$3-90))*('Data - SSV'!AF$6:AF$3000&lt;=AJ$3)*('Data - SSV'!AH$6:AH$3000&lt;&gt;"")*IF('Data - SSV'!AH$6:AH$3000="",0,'Data - SSV'!AH$6:AH$3000))/AN70,3)&gt;=3.5,4,IF(IFERROR(SUMPRODUCT((ISNUMBER(SEARCH(B70,'Data - SSV'!AE$6:AE$3000)))*('Data - SSV'!AF$6:AF$3000&gt;=(AJ$3-90))*('Data - SSV'!AF$6:AF$3000&lt;=AJ$3)*('Data - SSV'!AH$6:AH$3000&lt;&gt;"")*IF('Data - SSV'!AH$6:AH$3000="",0,'Data - SSV'!AH$6:AH$3000))/AN70,3)&gt;=3,3,IF(IFERROR(SUMPRODUCT((ISNUMBER(SEARCH(B70,'Data - SSV'!AE$6:AE$3000)))*('Data - SSV'!AF$6:AF$3000&gt;=(AJ$3-90))*('Data - SSV'!AF$6:AF$3000&lt;=AJ$3)*('Data - SSV'!AH$6:AH$3000&lt;&gt;"")*IF('Data - SSV'!AH$6:AH$3000="",0,'Data - SSV'!AH$6:AH$3000))/AN70,3)&gt;=2,2,1)))))))</f>
        <v>3</v>
      </c>
    </row>
    <row r="71" spans="1:41" ht="19.5" customHeight="1" x14ac:dyDescent="0.15">
      <c r="A71" s="6" t="str">
        <f>'Field Teams'!A72</f>
        <v>FT-068</v>
      </c>
      <c r="B71" s="28" t="str">
        <f>'Field Teams'!B72</f>
        <v>MJP Tree Services Ltd</v>
      </c>
      <c r="C71" s="28" t="str">
        <f>'Field Teams'!C72</f>
        <v>Utility Arboriculture</v>
      </c>
      <c r="D71" s="6" t="str">
        <f>'Field Teams'!D72</f>
        <v>Paul Shaw</v>
      </c>
      <c r="E71" s="6" t="str">
        <f>'Field Teams'!E72</f>
        <v>David Damm</v>
      </c>
      <c r="F71" s="6">
        <f>'Field Teams'!F72</f>
        <v>0</v>
      </c>
      <c r="G71" s="6">
        <f>'Field Teams'!G72</f>
        <v>0</v>
      </c>
      <c r="H71" s="31">
        <f>'Field Teams'!H72</f>
        <v>3</v>
      </c>
      <c r="I71" s="31">
        <f t="shared" si="10"/>
        <v>6</v>
      </c>
      <c r="J71" s="31">
        <f>IFERROR(SUMPRODUCT((((ISNUMBER(SEARCH(B71,'Data - HSQE Events'!V$6:V$3000))+ISNUMBER(SEARCH(B71,'Data - HSQE Events'!H$6:H$3000)))&gt;0))*('Data - HSQE Events'!F$6:F$3000&gt;=$AG$3)*('Data - HSQE Events'!F$6:F$3000&lt;=$AJ$3)*('Data - HSQE Events'!R$6:R$3000="Opportunity")),0)</f>
        <v>0</v>
      </c>
      <c r="K71" s="31">
        <f>IFERROR(SUMPRODUCT((((ISNUMBER(SEARCH(B71,'Data - HSQE Events'!V$6:V$3000))+ISNUMBER(SEARCH(B71,'Data - HSQE Events'!H$6:H$3000)))&gt;0))*('Data - HSQE Events'!F$6:F$3000&gt;=$AG$3)*('Data - HSQE Events'!F$6:F$3000&lt;=$AJ$3)*('Data - HSQE Events'!R$6:R$3000="Minor")),0)</f>
        <v>0</v>
      </c>
      <c r="L71" s="31">
        <f>IFERROR(SUMPRODUCT((((ISNUMBER(SEARCH(B71,'Data - HSQE Events'!V$6:V$3000))+ISNUMBER(SEARCH(B71,'Data - HSQE Events'!H$6:H$3000)))&gt;0))*('Data - HSQE Events'!F$6:F$3000&gt;=$AG$3)*('Data - HSQE Events'!F$6:F$3000&lt;=$AJ$3)*(('Data - HSQE Events'!R$6:R$3000="Moderate")+('Data - HSQE Events'!R$6:R$3000="Major"))),0)</f>
        <v>0</v>
      </c>
      <c r="M71" s="31" t="str">
        <f>IF(IFERROR(SUMPRODUCT((((ISNUMBER(SEARCH(B71,'Data - HSQE Events'!V$6:V$3000))+ISNUMBER(SEARCH(B71,'Data - HSQE Events'!H$6:H$3000)))&gt;0))*('Data - HSQE Events'!F$6:F$3000&gt;=$AG$3)*('Data - HSQE Events'!F$6:F$3000&lt;=$AJ$3)*('Data - HSQE Events'!R$6:R$3000="Major")),0)&gt;0,"YES","NO")</f>
        <v>NO</v>
      </c>
      <c r="N71" s="31">
        <f>IFERROR(SUMPRODUCT(('Data - Skillko'!B$6:B$3000=B71)*('Data - Skillko'!C$6:C$3000="Total")*('Data - Skillko'!E$6:E$3000))*100,0)</f>
        <v>4</v>
      </c>
      <c r="O71" s="31">
        <f t="shared" si="11"/>
        <v>1.2</v>
      </c>
      <c r="P71" s="31">
        <f>IFERROR(SUMPRODUCT(ISNUMBER(SEARCH(B71,'Pole Results'!$A$13:$A$2000))*('Pole Results'!$B$13:$B$2000&gt;=$AG$3)*('Pole Results'!$B$13:$B$2000&lt;=$AE$3)*('Pole Results'!$E$13:$E$2000="Non-Compliant")),0)</f>
        <v>0</v>
      </c>
      <c r="Q71" s="31">
        <f t="shared" si="12"/>
        <v>1</v>
      </c>
      <c r="R71" s="31">
        <f t="shared" si="13"/>
        <v>5</v>
      </c>
      <c r="S71" s="49">
        <f t="shared" si="14"/>
        <v>5</v>
      </c>
      <c r="T71" s="31">
        <f>IF('Field Teams'!$I$72="Inactive","",ROUND((Q71*Settings!$D$6+R71*Settings!$D$7+O71*Settings!$D$10+S71*Settings!$D$12+AO71*Settings!$D$13)/Settings!$D$14,1))</f>
        <v>2.5</v>
      </c>
      <c r="U71" s="115" t="str">
        <f>IF('Field Teams'!$I$72="Inactive","",IF(Q71="","",IF(Q71&gt;=4.5,"★★★★★",IF(Q71&gt;=3.5,"★★★★☆",IF(Q71&gt;=2.5,"★★★☆☆",IF(Q71&gt;=1.5,"★★☆☆☆","★☆☆☆☆"))))))</f>
        <v>★☆☆☆☆</v>
      </c>
      <c r="V71" s="115" t="str">
        <f>IF('Field Teams'!$I$72="Inactive","",IF(R71="","",IF(R71&gt;=4.5,"★★★★★",IF(R71&gt;=3.5,"★★★★☆",IF(R71&gt;=2.5,"★★★☆☆",IF(R71&gt;=1.5,"★★☆☆☆","★☆☆☆☆"))))))</f>
        <v>★★★★★</v>
      </c>
      <c r="W71" s="115" t="str">
        <f>IF('Field Teams'!$I$72="Inactive","",IF(O71="","",IF(O71&gt;=4.5,"★★★★★",IF(O71&gt;=3.5,"★★★★☆",IF(O71&gt;=2.5,"★★★☆☆",IF(O71&gt;=1.5,"★★☆☆☆","★☆☆☆☆"))))))</f>
        <v>★☆☆☆☆</v>
      </c>
      <c r="X71" s="115" t="str">
        <f>IF('Field Teams'!$I$72="Inactive","",IF(S71="","",IF(S71&gt;=4.5,"★★★★★",IF(S71&gt;=3.5,"★★★★☆",IF(S71&gt;=2.5,"★★★☆☆",IF(S71&gt;=1.5,"★★☆☆☆","★☆☆☆☆"))))))</f>
        <v>★★★★★</v>
      </c>
      <c r="Y71" s="115" t="str">
        <f>IF('Field Teams'!$I$72="Inactive","",IF(AO71="","",IF(AO71&gt;=4.5,"★★★★★",IF(AO71&gt;=3.5,"★★★★☆",IF(AO71&gt;=2.5,"★★★☆☆",IF(AO71&gt;=1.5,"★★☆☆☆","★☆☆☆☆"))))))</f>
        <v>★★★☆☆</v>
      </c>
      <c r="Z71" s="115" t="str">
        <f>IF('Field Teams'!$I$5="Inactive","",IF(T71="","",IF(T71&gt;=4.5,"★★★★★",IF(T71&gt;=3.5,"★★★★☆",IF(T71&gt;=2.5,"★★★☆☆",IF(T71&gt;=1.5,"★★☆☆☆","★☆☆☆☆"))))))</f>
        <v>★★★☆☆</v>
      </c>
      <c r="AA71" s="31" t="str">
        <f>IF('Field Teams'!$I$72="Inactive","",IF(M71="YES","HIGH",IF(Q71&lt;=Settings!$D$26,"HIGH",IF(T71&lt;=Settings!$D$23,"HIGH",IF(T71&lt;=Settings!$D$24,"MEDIUM","LOW")))))</f>
        <v>HIGH</v>
      </c>
      <c r="AB71" s="31">
        <f>IF('Field Teams'!$I$5="Inactive",-1,IFERROR((6-T71)+(77-ROW())*0.0001,0))</f>
        <v>3.5005999999999999</v>
      </c>
      <c r="AC71" s="35">
        <f>IF('Field Teams'!$I$5="Inactive",999,IFERROR((6-T71)+(ROW()-3)*0.0001,99))</f>
        <v>3.5068000000000001</v>
      </c>
      <c r="AD71" s="31">
        <f>IF('Field Teams'!$I$72="Inactive",999,IFERROR(AB71+(ROW()-3)*0.0001,99))</f>
        <v>3.5074000000000001</v>
      </c>
      <c r="AE71" s="29">
        <v>0</v>
      </c>
      <c r="AF71" s="31" t="str">
        <f>IF('Field Teams'!$I$72="Inactive","",IF(AA71="HIGH","YES - within 5 working days",""))</f>
        <v>YES - within 5 working days</v>
      </c>
      <c r="AG71" s="105"/>
      <c r="AH71" s="49">
        <f>IFERROR(SUMPRODUCT(ISNUMBER(SEARCH(B71,'Pole Results'!$A$13:$A$2000))*('Pole Results'!$B$13:$B$2000&gt;=$AG$3)*('Pole Results'!$B$13:$B$2000&lt;=$AE$3)),0)</f>
        <v>0</v>
      </c>
      <c r="AI71" s="49">
        <f>IFERROR(SUMPRODUCT(ISNUMBER(SEARCH(B71,'Pole Results'!$A$13:$A$2000))*('Pole Results'!$B$13:$B$2000&gt;=$AG$3)*('Pole Results'!$B$13:$B$2000&lt;=$AE$3)*('Pole Results'!$E$13:$E$2000="Compliant")),0)</f>
        <v>0</v>
      </c>
      <c r="AJ71" s="105"/>
      <c r="AK71" s="106">
        <f>IF('Field Teams'!$I$72="Inactive",-1,IF(AA71="HIGH",AB71,-1))</f>
        <v>3.5005999999999999</v>
      </c>
      <c r="AL71" s="106">
        <f>IF('Field Teams'!$I$72="Inactive",-1,IF(OR(AA71="HIGH",AA71="MEDIUM"),AB71,-1))</f>
        <v>3.5005999999999999</v>
      </c>
      <c r="AM71" t="str">
        <f>IF('Field Teams'!$I$72="Inactive","",IF(IFERROR(LOOKUP(2,1/('Historical Scores'!C72:N72&lt;&gt;""),'Historical Scores'!C72:N72),"")="","New",IF(T71=""," ",IF(T71&gt;IFERROR(LOOKUP(2,1/('Historical Scores'!C72:N72&lt;&gt;""),'Historical Scores'!C72:N72),""),"▲ Worsening",IF(T71&lt;IFERROR(LOOKUP(2,1/('Historical Scores'!C72:N72&lt;&gt;""),'Historical Scores'!C72:N72),""),"▼ Improving","► Stable")))))</f>
        <v>New</v>
      </c>
      <c r="AN71">
        <f>IFERROR(SUMPRODUCT((ISNUMBER(SEARCH(B71,'Data - SSV'!AE$6:AE$3000)))*('Data - SSV'!AF$6:AF$3000&gt;=(AJ$3-90))*('Data - SSV'!AF$6:AF$3000&lt;=AJ$3)*('Data - SSV'!AH$6:AH$3000&lt;&gt;"")),0)</f>
        <v>0</v>
      </c>
      <c r="AO71">
        <f>IF('Field Teams'!$I$72="Inactive","",IF(AN71=0,3,IF(AN71=1,IF(IFERROR(SUMPRODUCT((ISNUMBER(SEARCH(B71,'Data - SSV'!AE$6:AE$3000)))*('Data - SSV'!AF$6:AF$3000&gt;=(AJ$3-90))*('Data - SSV'!AF$6:AF$3000&lt;=AJ$3)*('Data - SSV'!AH$6:AH$3000&lt;&gt;"")*IF('Data - SSV'!AH$6:AH$3000="",0,'Data - SSV'!AH$6:AH$3000))/AN71,3)=4,4,IF(IFERROR(SUMPRODUCT((ISNUMBER(SEARCH(B71,'Data - SSV'!AE$6:AE$3000)))*('Data - SSV'!AF$6:AF$3000&gt;=(AJ$3-90))*('Data - SSV'!AF$6:AF$3000&lt;=AJ$3)*('Data - SSV'!AH$6:AH$3000&lt;&gt;"")*IF('Data - SSV'!AH$6:AH$3000="",0,'Data - SSV'!AH$6:AH$3000))/AN71,3)&gt;=3,3,IF(IFERROR(SUMPRODUCT((ISNUMBER(SEARCH(B71,'Data - SSV'!AE$6:AE$3000)))*('Data - SSV'!AF$6:AF$3000&gt;=(AJ$3-90))*('Data - SSV'!AF$6:AF$3000&lt;=AJ$3)*('Data - SSV'!AH$6:AH$3000&lt;&gt;"")*IF('Data - SSV'!AH$6:AH$3000="",0,'Data - SSV'!AH$6:AH$3000))/AN71,3)&gt;=2,2,1))),IF(IFERROR(SUMPRODUCT((ISNUMBER(SEARCH(B71,'Data - SSV'!AE$6:AE$3000)))*('Data - SSV'!AF$6:AF$3000&gt;=(AJ$3-90))*('Data - SSV'!AF$6:AF$3000&lt;=AJ$3)*('Data - SSV'!AH$6:AH$3000&lt;&gt;"")*IF('Data - SSV'!AH$6:AH$3000="",0,'Data - SSV'!AH$6:AH$3000))/AN71,3)=4,5,IF(IFERROR(SUMPRODUCT((ISNUMBER(SEARCH(B71,'Data - SSV'!AE$6:AE$3000)))*('Data - SSV'!AF$6:AF$3000&gt;=(AJ$3-90))*('Data - SSV'!AF$6:AF$3000&lt;=AJ$3)*('Data - SSV'!AH$6:AH$3000&lt;&gt;"")*IF('Data - SSV'!AH$6:AH$3000="",0,'Data - SSV'!AH$6:AH$3000))/AN71,3)&gt;=3.5,4,IF(IFERROR(SUMPRODUCT((ISNUMBER(SEARCH(B71,'Data - SSV'!AE$6:AE$3000)))*('Data - SSV'!AF$6:AF$3000&gt;=(AJ$3-90))*('Data - SSV'!AF$6:AF$3000&lt;=AJ$3)*('Data - SSV'!AH$6:AH$3000&lt;&gt;"")*IF('Data - SSV'!AH$6:AH$3000="",0,'Data - SSV'!AH$6:AH$3000))/AN71,3)&gt;=3,3,IF(IFERROR(SUMPRODUCT((ISNUMBER(SEARCH(B71,'Data - SSV'!AE$6:AE$3000)))*('Data - SSV'!AF$6:AF$3000&gt;=(AJ$3-90))*('Data - SSV'!AF$6:AF$3000&lt;=AJ$3)*('Data - SSV'!AH$6:AH$3000&lt;&gt;"")*IF('Data - SSV'!AH$6:AH$3000="",0,'Data - SSV'!AH$6:AH$3000))/AN71,3)&gt;=2,2,1)))))))</f>
        <v>3</v>
      </c>
    </row>
    <row r="72" spans="1:41" ht="19.5" customHeight="1" x14ac:dyDescent="0.15">
      <c r="A72" s="10" t="str">
        <f>'Field Teams'!A73</f>
        <v>FT-069</v>
      </c>
      <c r="B72" s="30" t="str">
        <f>'Field Teams'!B73</f>
        <v>MX2 Trees Ltd</v>
      </c>
      <c r="C72" s="30" t="str">
        <f>'Field Teams'!C73</f>
        <v>Utility Arboriculture</v>
      </c>
      <c r="D72" s="10" t="str">
        <f>'Field Teams'!D73</f>
        <v>Paul Shaw</v>
      </c>
      <c r="E72" s="10" t="str">
        <f>'Field Teams'!E73</f>
        <v>David Damm</v>
      </c>
      <c r="F72" s="10">
        <f>'Field Teams'!F73</f>
        <v>0</v>
      </c>
      <c r="G72" s="10">
        <f>'Field Teams'!G73</f>
        <v>0</v>
      </c>
      <c r="H72" s="31">
        <f>'Field Teams'!H73</f>
        <v>2</v>
      </c>
      <c r="I72" s="31">
        <f t="shared" si="10"/>
        <v>4</v>
      </c>
      <c r="J72" s="31">
        <f>IFERROR(SUMPRODUCT((((ISNUMBER(SEARCH(B72,'Data - HSQE Events'!V$6:V$3000))+ISNUMBER(SEARCH(B72,'Data - HSQE Events'!H$6:H$3000)))&gt;0))*('Data - HSQE Events'!F$6:F$3000&gt;=$AG$3)*('Data - HSQE Events'!F$6:F$3000&lt;=$AJ$3)*('Data - HSQE Events'!R$6:R$3000="Opportunity")),0)</f>
        <v>0</v>
      </c>
      <c r="K72" s="31">
        <f>IFERROR(SUMPRODUCT((((ISNUMBER(SEARCH(B72,'Data - HSQE Events'!V$6:V$3000))+ISNUMBER(SEARCH(B72,'Data - HSQE Events'!H$6:H$3000)))&gt;0))*('Data - HSQE Events'!F$6:F$3000&gt;=$AG$3)*('Data - HSQE Events'!F$6:F$3000&lt;=$AJ$3)*('Data - HSQE Events'!R$6:R$3000="Minor")),0)</f>
        <v>0</v>
      </c>
      <c r="L72" s="31">
        <f>IFERROR(SUMPRODUCT((((ISNUMBER(SEARCH(B72,'Data - HSQE Events'!V$6:V$3000))+ISNUMBER(SEARCH(B72,'Data - HSQE Events'!H$6:H$3000)))&gt;0))*('Data - HSQE Events'!F$6:F$3000&gt;=$AG$3)*('Data - HSQE Events'!F$6:F$3000&lt;=$AJ$3)*(('Data - HSQE Events'!R$6:R$3000="Moderate")+('Data - HSQE Events'!R$6:R$3000="Major"))),0)</f>
        <v>0</v>
      </c>
      <c r="M72" s="31" t="str">
        <f>IF(IFERROR(SUMPRODUCT((((ISNUMBER(SEARCH(B72,'Data - HSQE Events'!V$6:V$3000))+ISNUMBER(SEARCH(B72,'Data - HSQE Events'!H$6:H$3000)))&gt;0))*('Data - HSQE Events'!F$6:F$3000&gt;=$AG$3)*('Data - HSQE Events'!F$6:F$3000&lt;=$AJ$3)*('Data - HSQE Events'!R$6:R$3000="Major")),0)&gt;0,"YES","NO")</f>
        <v>NO</v>
      </c>
      <c r="N72" s="31">
        <f>IFERROR(SUMPRODUCT(('Data - Skillko'!B$6:B$3000=B72)*('Data - Skillko'!C$6:C$3000="Total")*('Data - Skillko'!E$6:E$3000))*100,0)</f>
        <v>82</v>
      </c>
      <c r="O72" s="31">
        <f t="shared" si="11"/>
        <v>4.3</v>
      </c>
      <c r="P72" s="31">
        <f>IFERROR(SUMPRODUCT(ISNUMBER(SEARCH(B72,'Pole Results'!$A$13:$A$2000))*('Pole Results'!$B$13:$B$2000&gt;=$AG$3)*('Pole Results'!$B$13:$B$2000&lt;=$AE$3)*('Pole Results'!$E$13:$E$2000="Non-Compliant")),0)</f>
        <v>0</v>
      </c>
      <c r="Q72" s="31">
        <f t="shared" si="12"/>
        <v>1</v>
      </c>
      <c r="R72" s="31">
        <f t="shared" si="13"/>
        <v>5</v>
      </c>
      <c r="S72" s="49">
        <f t="shared" si="14"/>
        <v>5</v>
      </c>
      <c r="T72" s="31">
        <f>IF('Field Teams'!$I$73="Inactive","",ROUND((Q72*Settings!$D$6+R72*Settings!$D$7+O72*Settings!$D$10+S72*Settings!$D$12+AO72*Settings!$D$13)/Settings!$D$14,1))</f>
        <v>3</v>
      </c>
      <c r="U72" s="115" t="str">
        <f>IF('Field Teams'!$I$73="Inactive","",IF(Q72="","",IF(Q72&gt;=4.5,"★★★★★",IF(Q72&gt;=3.5,"★★★★☆",IF(Q72&gt;=2.5,"★★★☆☆",IF(Q72&gt;=1.5,"★★☆☆☆","★☆☆☆☆"))))))</f>
        <v>★☆☆☆☆</v>
      </c>
      <c r="V72" s="115" t="str">
        <f>IF('Field Teams'!$I$73="Inactive","",IF(R72="","",IF(R72&gt;=4.5,"★★★★★",IF(R72&gt;=3.5,"★★★★☆",IF(R72&gt;=2.5,"★★★☆☆",IF(R72&gt;=1.5,"★★☆☆☆","★☆☆☆☆"))))))</f>
        <v>★★★★★</v>
      </c>
      <c r="W72" s="115" t="str">
        <f>IF('Field Teams'!$I$73="Inactive","",IF(O72="","",IF(O72&gt;=4.5,"★★★★★",IF(O72&gt;=3.5,"★★★★☆",IF(O72&gt;=2.5,"★★★☆☆",IF(O72&gt;=1.5,"★★☆☆☆","★☆☆☆☆"))))))</f>
        <v>★★★★☆</v>
      </c>
      <c r="X72" s="115" t="str">
        <f>IF('Field Teams'!$I$73="Inactive","",IF(S72="","",IF(S72&gt;=4.5,"★★★★★",IF(S72&gt;=3.5,"★★★★☆",IF(S72&gt;=2.5,"★★★☆☆",IF(S72&gt;=1.5,"★★☆☆☆","★☆☆☆☆"))))))</f>
        <v>★★★★★</v>
      </c>
      <c r="Y72" s="115" t="str">
        <f>IF('Field Teams'!$I$73="Inactive","",IF(AO72="","",IF(AO72&gt;=4.5,"★★★★★",IF(AO72&gt;=3.5,"★★★★☆",IF(AO72&gt;=2.5,"★★★☆☆",IF(AO72&gt;=1.5,"★★☆☆☆","★☆☆☆☆"))))))</f>
        <v>★★★☆☆</v>
      </c>
      <c r="Z72" s="115" t="str">
        <f>IF('Field Teams'!$I$5="Inactive","",IF(T72="","",IF(T72&gt;=4.5,"★★★★★",IF(T72&gt;=3.5,"★★★★☆",IF(T72&gt;=2.5,"★★★☆☆",IF(T72&gt;=1.5,"★★☆☆☆","★☆☆☆☆"))))))</f>
        <v>★★★☆☆</v>
      </c>
      <c r="AA72" s="31" t="str">
        <f>IF('Field Teams'!$I$73="Inactive","",IF(M72="YES","HIGH",IF(Q72&lt;=Settings!$D$26,"HIGH",IF(T72&lt;=Settings!$D$23,"HIGH",IF(T72&lt;=Settings!$D$24,"MEDIUM","LOW")))))</f>
        <v>HIGH</v>
      </c>
      <c r="AB72" s="31">
        <f>IF('Field Teams'!$I$5="Inactive",-1,IFERROR((6-T72)+(77-ROW())*0.0001,0))</f>
        <v>3.0005000000000002</v>
      </c>
      <c r="AC72" s="35">
        <f>IF('Field Teams'!$I$5="Inactive",999,IFERROR((6-T72)+(ROW()-3)*0.0001,99))</f>
        <v>3.0068999999999999</v>
      </c>
      <c r="AD72" s="31">
        <f>IF('Field Teams'!$I$73="Inactive",999,IFERROR(AB72+(ROW()-3)*0.0001,99))</f>
        <v>3.0074000000000001</v>
      </c>
      <c r="AE72" s="29">
        <v>0</v>
      </c>
      <c r="AF72" s="31" t="str">
        <f>IF('Field Teams'!$I$73="Inactive","",IF(AA72="HIGH","YES - within 5 working days",""))</f>
        <v>YES - within 5 working days</v>
      </c>
      <c r="AG72" s="105"/>
      <c r="AH72" s="49">
        <f>IFERROR(SUMPRODUCT(ISNUMBER(SEARCH(B72,'Pole Results'!$A$13:$A$2000))*('Pole Results'!$B$13:$B$2000&gt;=$AG$3)*('Pole Results'!$B$13:$B$2000&lt;=$AE$3)),0)</f>
        <v>0</v>
      </c>
      <c r="AI72" s="49">
        <f>IFERROR(SUMPRODUCT(ISNUMBER(SEARCH(B72,'Pole Results'!$A$13:$A$2000))*('Pole Results'!$B$13:$B$2000&gt;=$AG$3)*('Pole Results'!$B$13:$B$2000&lt;=$AE$3)*('Pole Results'!$E$13:$E$2000="Compliant")),0)</f>
        <v>0</v>
      </c>
      <c r="AJ72" s="105"/>
      <c r="AK72" s="106">
        <f>IF('Field Teams'!$I$73="Inactive",-1,IF(AA72="HIGH",AB72,-1))</f>
        <v>3.0005000000000002</v>
      </c>
      <c r="AL72" s="106">
        <f>IF('Field Teams'!$I$73="Inactive",-1,IF(OR(AA72="HIGH",AA72="MEDIUM"),AB72,-1))</f>
        <v>3.0005000000000002</v>
      </c>
      <c r="AM72" t="str">
        <f>IF('Field Teams'!$I$73="Inactive","",IF(IFERROR(LOOKUP(2,1/('Historical Scores'!C73:N73&lt;&gt;""),'Historical Scores'!C73:N73),"")="","New",IF(T72=""," ",IF(T72&gt;IFERROR(LOOKUP(2,1/('Historical Scores'!C73:N73&lt;&gt;""),'Historical Scores'!C73:N73),""),"▲ Worsening",IF(T72&lt;IFERROR(LOOKUP(2,1/('Historical Scores'!C73:N73&lt;&gt;""),'Historical Scores'!C73:N73),""),"▼ Improving","► Stable")))))</f>
        <v>New</v>
      </c>
      <c r="AN72">
        <f>IFERROR(SUMPRODUCT((ISNUMBER(SEARCH(B72,'Data - SSV'!AE$6:AE$3000)))*('Data - SSV'!AF$6:AF$3000&gt;=(AJ$3-90))*('Data - SSV'!AF$6:AF$3000&lt;=AJ$3)*('Data - SSV'!AH$6:AH$3000&lt;&gt;"")),0)</f>
        <v>0</v>
      </c>
      <c r="AO72">
        <f>IF('Field Teams'!$I$73="Inactive","",IF(AN72=0,3,IF(AN72=1,IF(IFERROR(SUMPRODUCT((ISNUMBER(SEARCH(B72,'Data - SSV'!AE$6:AE$3000)))*('Data - SSV'!AF$6:AF$3000&gt;=(AJ$3-90))*('Data - SSV'!AF$6:AF$3000&lt;=AJ$3)*('Data - SSV'!AH$6:AH$3000&lt;&gt;"")*IF('Data - SSV'!AH$6:AH$3000="",0,'Data - SSV'!AH$6:AH$3000))/AN72,3)=4,4,IF(IFERROR(SUMPRODUCT((ISNUMBER(SEARCH(B72,'Data - SSV'!AE$6:AE$3000)))*('Data - SSV'!AF$6:AF$3000&gt;=(AJ$3-90))*('Data - SSV'!AF$6:AF$3000&lt;=AJ$3)*('Data - SSV'!AH$6:AH$3000&lt;&gt;"")*IF('Data - SSV'!AH$6:AH$3000="",0,'Data - SSV'!AH$6:AH$3000))/AN72,3)&gt;=3,3,IF(IFERROR(SUMPRODUCT((ISNUMBER(SEARCH(B72,'Data - SSV'!AE$6:AE$3000)))*('Data - SSV'!AF$6:AF$3000&gt;=(AJ$3-90))*('Data - SSV'!AF$6:AF$3000&lt;=AJ$3)*('Data - SSV'!AH$6:AH$3000&lt;&gt;"")*IF('Data - SSV'!AH$6:AH$3000="",0,'Data - SSV'!AH$6:AH$3000))/AN72,3)&gt;=2,2,1))),IF(IFERROR(SUMPRODUCT((ISNUMBER(SEARCH(B72,'Data - SSV'!AE$6:AE$3000)))*('Data - SSV'!AF$6:AF$3000&gt;=(AJ$3-90))*('Data - SSV'!AF$6:AF$3000&lt;=AJ$3)*('Data - SSV'!AH$6:AH$3000&lt;&gt;"")*IF('Data - SSV'!AH$6:AH$3000="",0,'Data - SSV'!AH$6:AH$3000))/AN72,3)=4,5,IF(IFERROR(SUMPRODUCT((ISNUMBER(SEARCH(B72,'Data - SSV'!AE$6:AE$3000)))*('Data - SSV'!AF$6:AF$3000&gt;=(AJ$3-90))*('Data - SSV'!AF$6:AF$3000&lt;=AJ$3)*('Data - SSV'!AH$6:AH$3000&lt;&gt;"")*IF('Data - SSV'!AH$6:AH$3000="",0,'Data - SSV'!AH$6:AH$3000))/AN72,3)&gt;=3.5,4,IF(IFERROR(SUMPRODUCT((ISNUMBER(SEARCH(B72,'Data - SSV'!AE$6:AE$3000)))*('Data - SSV'!AF$6:AF$3000&gt;=(AJ$3-90))*('Data - SSV'!AF$6:AF$3000&lt;=AJ$3)*('Data - SSV'!AH$6:AH$3000&lt;&gt;"")*IF('Data - SSV'!AH$6:AH$3000="",0,'Data - SSV'!AH$6:AH$3000))/AN72,3)&gt;=3,3,IF(IFERROR(SUMPRODUCT((ISNUMBER(SEARCH(B72,'Data - SSV'!AE$6:AE$3000)))*('Data - SSV'!AF$6:AF$3000&gt;=(AJ$3-90))*('Data - SSV'!AF$6:AF$3000&lt;=AJ$3)*('Data - SSV'!AH$6:AH$3000&lt;&gt;"")*IF('Data - SSV'!AH$6:AH$3000="",0,'Data - SSV'!AH$6:AH$3000))/AN72,3)&gt;=2,2,1)))))))</f>
        <v>3</v>
      </c>
    </row>
    <row r="73" spans="1:41" ht="19.5" customHeight="1" x14ac:dyDescent="0.15">
      <c r="A73" s="6" t="str">
        <f>'Field Teams'!A74</f>
        <v>FT-070</v>
      </c>
      <c r="B73" s="28" t="str">
        <f>'Field Teams'!B74</f>
        <v>Ropes and Slopes Limited</v>
      </c>
      <c r="C73" s="28" t="str">
        <f>'Field Teams'!C74</f>
        <v>Utility Arboriculture</v>
      </c>
      <c r="D73" s="6" t="str">
        <f>'Field Teams'!D74</f>
        <v>Paul Shaw</v>
      </c>
      <c r="E73" s="6" t="str">
        <f>'Field Teams'!E74</f>
        <v>David Damm</v>
      </c>
      <c r="F73" s="6">
        <f>'Field Teams'!F74</f>
        <v>0</v>
      </c>
      <c r="G73" s="6">
        <f>'Field Teams'!G74</f>
        <v>0</v>
      </c>
      <c r="H73" s="31">
        <f>'Field Teams'!H74</f>
        <v>2</v>
      </c>
      <c r="I73" s="31">
        <f t="shared" si="10"/>
        <v>4</v>
      </c>
      <c r="J73" s="31">
        <f>IFERROR(SUMPRODUCT((((ISNUMBER(SEARCH(B73,'Data - HSQE Events'!V$6:V$3000))+ISNUMBER(SEARCH(B73,'Data - HSQE Events'!H$6:H$3000)))&gt;0))*('Data - HSQE Events'!F$6:F$3000&gt;=$AG$3)*('Data - HSQE Events'!F$6:F$3000&lt;=$AJ$3)*('Data - HSQE Events'!R$6:R$3000="Opportunity")),0)</f>
        <v>0</v>
      </c>
      <c r="K73" s="31">
        <f>IFERROR(SUMPRODUCT((((ISNUMBER(SEARCH(B73,'Data - HSQE Events'!V$6:V$3000))+ISNUMBER(SEARCH(B73,'Data - HSQE Events'!H$6:H$3000)))&gt;0))*('Data - HSQE Events'!F$6:F$3000&gt;=$AG$3)*('Data - HSQE Events'!F$6:F$3000&lt;=$AJ$3)*('Data - HSQE Events'!R$6:R$3000="Minor")),0)</f>
        <v>0</v>
      </c>
      <c r="L73" s="31">
        <f>IFERROR(SUMPRODUCT((((ISNUMBER(SEARCH(B73,'Data - HSQE Events'!V$6:V$3000))+ISNUMBER(SEARCH(B73,'Data - HSQE Events'!H$6:H$3000)))&gt;0))*('Data - HSQE Events'!F$6:F$3000&gt;=$AG$3)*('Data - HSQE Events'!F$6:F$3000&lt;=$AJ$3)*(('Data - HSQE Events'!R$6:R$3000="Moderate")+('Data - HSQE Events'!R$6:R$3000="Major"))),0)</f>
        <v>0</v>
      </c>
      <c r="M73" s="31" t="str">
        <f>IF(IFERROR(SUMPRODUCT((((ISNUMBER(SEARCH(B73,'Data - HSQE Events'!V$6:V$3000))+ISNUMBER(SEARCH(B73,'Data - HSQE Events'!H$6:H$3000)))&gt;0))*('Data - HSQE Events'!F$6:F$3000&gt;=$AG$3)*('Data - HSQE Events'!F$6:F$3000&lt;=$AJ$3)*('Data - HSQE Events'!R$6:R$3000="Major")),0)&gt;0,"YES","NO")</f>
        <v>NO</v>
      </c>
      <c r="N73" s="31">
        <f>IFERROR(SUMPRODUCT(('Data - Skillko'!B$6:B$3000=B73)*('Data - Skillko'!C$6:C$3000="Total")*('Data - Skillko'!E$6:E$3000))*100,0)</f>
        <v>95</v>
      </c>
      <c r="O73" s="31">
        <f t="shared" si="11"/>
        <v>4.8</v>
      </c>
      <c r="P73" s="31">
        <f>IFERROR(SUMPRODUCT(ISNUMBER(SEARCH(B73,'Pole Results'!$A$13:$A$2000))*('Pole Results'!$B$13:$B$2000&gt;=$AG$3)*('Pole Results'!$B$13:$B$2000&lt;=$AE$3)*('Pole Results'!$E$13:$E$2000="Non-Compliant")),0)</f>
        <v>0</v>
      </c>
      <c r="Q73" s="31">
        <f t="shared" si="12"/>
        <v>1</v>
      </c>
      <c r="R73" s="31">
        <f t="shared" si="13"/>
        <v>5</v>
      </c>
      <c r="S73" s="49">
        <f t="shared" si="14"/>
        <v>5</v>
      </c>
      <c r="T73" s="31">
        <f>IF('Field Teams'!$I$74="Inactive","",ROUND((Q73*Settings!$D$6+R73*Settings!$D$7+O73*Settings!$D$10+S73*Settings!$D$12+AO73*Settings!$D$13)/Settings!$D$14,1))</f>
        <v>3.1</v>
      </c>
      <c r="U73" s="115" t="str">
        <f>IF('Field Teams'!$I$74="Inactive","",IF(Q73="","",IF(Q73&gt;=4.5,"★★★★★",IF(Q73&gt;=3.5,"★★★★☆",IF(Q73&gt;=2.5,"★★★☆☆",IF(Q73&gt;=1.5,"★★☆☆☆","★☆☆☆☆"))))))</f>
        <v>★☆☆☆☆</v>
      </c>
      <c r="V73" s="115" t="str">
        <f>IF('Field Teams'!$I$74="Inactive","",IF(R73="","",IF(R73&gt;=4.5,"★★★★★",IF(R73&gt;=3.5,"★★★★☆",IF(R73&gt;=2.5,"★★★☆☆",IF(R73&gt;=1.5,"★★☆☆☆","★☆☆☆☆"))))))</f>
        <v>★★★★★</v>
      </c>
      <c r="W73" s="115" t="str">
        <f>IF('Field Teams'!$I$74="Inactive","",IF(O73="","",IF(O73&gt;=4.5,"★★★★★",IF(O73&gt;=3.5,"★★★★☆",IF(O73&gt;=2.5,"★★★☆☆",IF(O73&gt;=1.5,"★★☆☆☆","★☆☆☆☆"))))))</f>
        <v>★★★★★</v>
      </c>
      <c r="X73" s="115" t="str">
        <f>IF('Field Teams'!$I$74="Inactive","",IF(S73="","",IF(S73&gt;=4.5,"★★★★★",IF(S73&gt;=3.5,"★★★★☆",IF(S73&gt;=2.5,"★★★☆☆",IF(S73&gt;=1.5,"★★☆☆☆","★☆☆☆☆"))))))</f>
        <v>★★★★★</v>
      </c>
      <c r="Y73" s="115" t="str">
        <f>IF('Field Teams'!$I$74="Inactive","",IF(AO73="","",IF(AO73&gt;=4.5,"★★★★★",IF(AO73&gt;=3.5,"★★★★☆",IF(AO73&gt;=2.5,"★★★☆☆",IF(AO73&gt;=1.5,"★★☆☆☆","★☆☆☆☆"))))))</f>
        <v>★★★☆☆</v>
      </c>
      <c r="Z73" s="115" t="str">
        <f>IF('Field Teams'!$I$5="Inactive","",IF(T73="","",IF(T73&gt;=4.5,"★★★★★",IF(T73&gt;=3.5,"★★★★☆",IF(T73&gt;=2.5,"★★★☆☆",IF(T73&gt;=1.5,"★★☆☆☆","★☆☆☆☆"))))))</f>
        <v>★★★☆☆</v>
      </c>
      <c r="AA73" s="31" t="str">
        <f>IF('Field Teams'!$I$74="Inactive","",IF(M73="YES","HIGH",IF(Q73&lt;=Settings!$D$26,"HIGH",IF(T73&lt;=Settings!$D$23,"HIGH",IF(T73&lt;=Settings!$D$24,"MEDIUM","LOW")))))</f>
        <v>HIGH</v>
      </c>
      <c r="AB73" s="31">
        <f>IF('Field Teams'!$I$5="Inactive",-1,IFERROR((6-T73)+(77-ROW())*0.0001,0))</f>
        <v>2.9003999999999999</v>
      </c>
      <c r="AC73" s="35">
        <f>IF('Field Teams'!$I$5="Inactive",999,IFERROR((6-T73)+(ROW()-3)*0.0001,99))</f>
        <v>2.907</v>
      </c>
      <c r="AD73" s="31">
        <f>IF('Field Teams'!$I$74="Inactive",999,IFERROR(AB73+(ROW()-3)*0.0001,99))</f>
        <v>2.9074</v>
      </c>
      <c r="AE73" s="29">
        <v>0</v>
      </c>
      <c r="AF73" s="31" t="str">
        <f>IF('Field Teams'!$I$74="Inactive","",IF(AA73="HIGH","YES - within 5 working days",""))</f>
        <v>YES - within 5 working days</v>
      </c>
      <c r="AG73" s="105"/>
      <c r="AH73" s="49">
        <f>IFERROR(SUMPRODUCT(ISNUMBER(SEARCH(B73,'Pole Results'!$A$13:$A$2000))*('Pole Results'!$B$13:$B$2000&gt;=$AG$3)*('Pole Results'!$B$13:$B$2000&lt;=$AE$3)),0)</f>
        <v>0</v>
      </c>
      <c r="AI73" s="49">
        <f>IFERROR(SUMPRODUCT(ISNUMBER(SEARCH(B73,'Pole Results'!$A$13:$A$2000))*('Pole Results'!$B$13:$B$2000&gt;=$AG$3)*('Pole Results'!$B$13:$B$2000&lt;=$AE$3)*('Pole Results'!$E$13:$E$2000="Compliant")),0)</f>
        <v>0</v>
      </c>
      <c r="AJ73" s="105"/>
      <c r="AK73" s="106">
        <f>IF('Field Teams'!$I$74="Inactive",-1,IF(AA73="HIGH",AB73,-1))</f>
        <v>2.9003999999999999</v>
      </c>
      <c r="AL73" s="106">
        <f>IF('Field Teams'!$I$74="Inactive",-1,IF(OR(AA73="HIGH",AA73="MEDIUM"),AB73,-1))</f>
        <v>2.9003999999999999</v>
      </c>
      <c r="AM73" t="str">
        <f>IF('Field Teams'!$I$74="Inactive","",IF(IFERROR(LOOKUP(2,1/('Historical Scores'!C74:N74&lt;&gt;""),'Historical Scores'!C74:N74),"")="","New",IF(T73=""," ",IF(T73&gt;IFERROR(LOOKUP(2,1/('Historical Scores'!C74:N74&lt;&gt;""),'Historical Scores'!C74:N74),""),"▲ Worsening",IF(T73&lt;IFERROR(LOOKUP(2,1/('Historical Scores'!C74:N74&lt;&gt;""),'Historical Scores'!C74:N74),""),"▼ Improving","► Stable")))))</f>
        <v>New</v>
      </c>
      <c r="AN73">
        <f>IFERROR(SUMPRODUCT((ISNUMBER(SEARCH(B73,'Data - SSV'!AE$6:AE$3000)))*('Data - SSV'!AF$6:AF$3000&gt;=(AJ$3-90))*('Data - SSV'!AF$6:AF$3000&lt;=AJ$3)*('Data - SSV'!AH$6:AH$3000&lt;&gt;"")),0)</f>
        <v>0</v>
      </c>
      <c r="AO73">
        <f>IF('Field Teams'!$I$74="Inactive","",IF(AN73=0,3,IF(AN73=1,IF(IFERROR(SUMPRODUCT((ISNUMBER(SEARCH(B73,'Data - SSV'!AE$6:AE$3000)))*('Data - SSV'!AF$6:AF$3000&gt;=(AJ$3-90))*('Data - SSV'!AF$6:AF$3000&lt;=AJ$3)*('Data - SSV'!AH$6:AH$3000&lt;&gt;"")*IF('Data - SSV'!AH$6:AH$3000="",0,'Data - SSV'!AH$6:AH$3000))/AN73,3)=4,4,IF(IFERROR(SUMPRODUCT((ISNUMBER(SEARCH(B73,'Data - SSV'!AE$6:AE$3000)))*('Data - SSV'!AF$6:AF$3000&gt;=(AJ$3-90))*('Data - SSV'!AF$6:AF$3000&lt;=AJ$3)*('Data - SSV'!AH$6:AH$3000&lt;&gt;"")*IF('Data - SSV'!AH$6:AH$3000="",0,'Data - SSV'!AH$6:AH$3000))/AN73,3)&gt;=3,3,IF(IFERROR(SUMPRODUCT((ISNUMBER(SEARCH(B73,'Data - SSV'!AE$6:AE$3000)))*('Data - SSV'!AF$6:AF$3000&gt;=(AJ$3-90))*('Data - SSV'!AF$6:AF$3000&lt;=AJ$3)*('Data - SSV'!AH$6:AH$3000&lt;&gt;"")*IF('Data - SSV'!AH$6:AH$3000="",0,'Data - SSV'!AH$6:AH$3000))/AN73,3)&gt;=2,2,1))),IF(IFERROR(SUMPRODUCT((ISNUMBER(SEARCH(B73,'Data - SSV'!AE$6:AE$3000)))*('Data - SSV'!AF$6:AF$3000&gt;=(AJ$3-90))*('Data - SSV'!AF$6:AF$3000&lt;=AJ$3)*('Data - SSV'!AH$6:AH$3000&lt;&gt;"")*IF('Data - SSV'!AH$6:AH$3000="",0,'Data - SSV'!AH$6:AH$3000))/AN73,3)=4,5,IF(IFERROR(SUMPRODUCT((ISNUMBER(SEARCH(B73,'Data - SSV'!AE$6:AE$3000)))*('Data - SSV'!AF$6:AF$3000&gt;=(AJ$3-90))*('Data - SSV'!AF$6:AF$3000&lt;=AJ$3)*('Data - SSV'!AH$6:AH$3000&lt;&gt;"")*IF('Data - SSV'!AH$6:AH$3000="",0,'Data - SSV'!AH$6:AH$3000))/AN73,3)&gt;=3.5,4,IF(IFERROR(SUMPRODUCT((ISNUMBER(SEARCH(B73,'Data - SSV'!AE$6:AE$3000)))*('Data - SSV'!AF$6:AF$3000&gt;=(AJ$3-90))*('Data - SSV'!AF$6:AF$3000&lt;=AJ$3)*('Data - SSV'!AH$6:AH$3000&lt;&gt;"")*IF('Data - SSV'!AH$6:AH$3000="",0,'Data - SSV'!AH$6:AH$3000))/AN73,3)&gt;=3,3,IF(IFERROR(SUMPRODUCT((ISNUMBER(SEARCH(B73,'Data - SSV'!AE$6:AE$3000)))*('Data - SSV'!AF$6:AF$3000&gt;=(AJ$3-90))*('Data - SSV'!AF$6:AF$3000&lt;=AJ$3)*('Data - SSV'!AH$6:AH$3000&lt;&gt;"")*IF('Data - SSV'!AH$6:AH$3000="",0,'Data - SSV'!AH$6:AH$3000))/AN73,3)&gt;=2,2,1)))))))</f>
        <v>3</v>
      </c>
    </row>
    <row r="74" spans="1:41" ht="19.5" customHeight="1" x14ac:dyDescent="0.15">
      <c r="A74" s="10" t="str">
        <f>'Field Teams'!A75</f>
        <v>FT-071</v>
      </c>
      <c r="B74" s="30" t="str">
        <f>'Field Teams'!B75</f>
        <v>SJ Tree &amp; Security Maintenance</v>
      </c>
      <c r="C74" s="30" t="str">
        <f>'Field Teams'!C75</f>
        <v>Utility Arboriculture</v>
      </c>
      <c r="D74" s="10" t="str">
        <f>'Field Teams'!D75</f>
        <v>Paul Shaw</v>
      </c>
      <c r="E74" s="10" t="str">
        <f>'Field Teams'!E75</f>
        <v>David Damm</v>
      </c>
      <c r="F74" s="10">
        <f>'Field Teams'!F75</f>
        <v>0</v>
      </c>
      <c r="G74" s="10">
        <f>'Field Teams'!G75</f>
        <v>0</v>
      </c>
      <c r="H74" s="31">
        <f>'Field Teams'!H75</f>
        <v>2</v>
      </c>
      <c r="I74" s="31">
        <f t="shared" si="10"/>
        <v>4</v>
      </c>
      <c r="J74" s="31">
        <f>IFERROR(SUMPRODUCT((((ISNUMBER(SEARCH(B74,'Data - HSQE Events'!V$6:V$3000))+ISNUMBER(SEARCH(B74,'Data - HSQE Events'!H$6:H$3000)))&gt;0))*('Data - HSQE Events'!F$6:F$3000&gt;=$AG$3)*('Data - HSQE Events'!F$6:F$3000&lt;=$AJ$3)*('Data - HSQE Events'!R$6:R$3000="Opportunity")),0)</f>
        <v>0</v>
      </c>
      <c r="K74" s="31">
        <f>IFERROR(SUMPRODUCT((((ISNUMBER(SEARCH(B74,'Data - HSQE Events'!V$6:V$3000))+ISNUMBER(SEARCH(B74,'Data - HSQE Events'!H$6:H$3000)))&gt;0))*('Data - HSQE Events'!F$6:F$3000&gt;=$AG$3)*('Data - HSQE Events'!F$6:F$3000&lt;=$AJ$3)*('Data - HSQE Events'!R$6:R$3000="Minor")),0)</f>
        <v>0</v>
      </c>
      <c r="L74" s="31">
        <f>IFERROR(SUMPRODUCT((((ISNUMBER(SEARCH(B74,'Data - HSQE Events'!V$6:V$3000))+ISNUMBER(SEARCH(B74,'Data - HSQE Events'!H$6:H$3000)))&gt;0))*('Data - HSQE Events'!F$6:F$3000&gt;=$AG$3)*('Data - HSQE Events'!F$6:F$3000&lt;=$AJ$3)*(('Data - HSQE Events'!R$6:R$3000="Moderate")+('Data - HSQE Events'!R$6:R$3000="Major"))),0)</f>
        <v>0</v>
      </c>
      <c r="M74" s="31" t="str">
        <f>IF(IFERROR(SUMPRODUCT((((ISNUMBER(SEARCH(B74,'Data - HSQE Events'!V$6:V$3000))+ISNUMBER(SEARCH(B74,'Data - HSQE Events'!H$6:H$3000)))&gt;0))*('Data - HSQE Events'!F$6:F$3000&gt;=$AG$3)*('Data - HSQE Events'!F$6:F$3000&lt;=$AJ$3)*('Data - HSQE Events'!R$6:R$3000="Major")),0)&gt;0,"YES","NO")</f>
        <v>NO</v>
      </c>
      <c r="N74" s="31">
        <f>IFERROR(SUMPRODUCT(('Data - Skillko'!B$6:B$3000=B74)*('Data - Skillko'!C$6:C$3000="Total")*('Data - Skillko'!E$6:E$3000))*100,0)</f>
        <v>70</v>
      </c>
      <c r="O74" s="31">
        <f t="shared" si="11"/>
        <v>3.8</v>
      </c>
      <c r="P74" s="31">
        <f>IFERROR(SUMPRODUCT(ISNUMBER(SEARCH(B74,'Pole Results'!$A$13:$A$2000))*('Pole Results'!$B$13:$B$2000&gt;=$AG$3)*('Pole Results'!$B$13:$B$2000&lt;=$AE$3)*('Pole Results'!$E$13:$E$2000="Non-Compliant")),0)</f>
        <v>0</v>
      </c>
      <c r="Q74" s="31">
        <f t="shared" si="12"/>
        <v>1</v>
      </c>
      <c r="R74" s="31">
        <f t="shared" si="13"/>
        <v>5</v>
      </c>
      <c r="S74" s="49">
        <f t="shared" si="14"/>
        <v>5</v>
      </c>
      <c r="T74" s="31">
        <f>IF('Field Teams'!$I$75="Inactive","",ROUND((Q74*Settings!$D$6+R74*Settings!$D$7+O74*Settings!$D$10+S74*Settings!$D$12+AO74*Settings!$D$13)/Settings!$D$14,1))</f>
        <v>2.9</v>
      </c>
      <c r="U74" s="115" t="str">
        <f>IF('Field Teams'!$I$75="Inactive","",IF(Q74="","",IF(Q74&gt;=4.5,"★★★★★",IF(Q74&gt;=3.5,"★★★★☆",IF(Q74&gt;=2.5,"★★★☆☆",IF(Q74&gt;=1.5,"★★☆☆☆","★☆☆☆☆"))))))</f>
        <v>★☆☆☆☆</v>
      </c>
      <c r="V74" s="115" t="str">
        <f>IF('Field Teams'!$I$75="Inactive","",IF(R74="","",IF(R74&gt;=4.5,"★★★★★",IF(R74&gt;=3.5,"★★★★☆",IF(R74&gt;=2.5,"★★★☆☆",IF(R74&gt;=1.5,"★★☆☆☆","★☆☆☆☆"))))))</f>
        <v>★★★★★</v>
      </c>
      <c r="W74" s="115" t="str">
        <f>IF('Field Teams'!$I$75="Inactive","",IF(O74="","",IF(O74&gt;=4.5,"★★★★★",IF(O74&gt;=3.5,"★★★★☆",IF(O74&gt;=2.5,"★★★☆☆",IF(O74&gt;=1.5,"★★☆☆☆","★☆☆☆☆"))))))</f>
        <v>★★★★☆</v>
      </c>
      <c r="X74" s="115" t="str">
        <f>IF('Field Teams'!$I$75="Inactive","",IF(S74="","",IF(S74&gt;=4.5,"★★★★★",IF(S74&gt;=3.5,"★★★★☆",IF(S74&gt;=2.5,"★★★☆☆",IF(S74&gt;=1.5,"★★☆☆☆","★☆☆☆☆"))))))</f>
        <v>★★★★★</v>
      </c>
      <c r="Y74" s="115" t="str">
        <f>IF('Field Teams'!$I$75="Inactive","",IF(AO74="","",IF(AO74&gt;=4.5,"★★★★★",IF(AO74&gt;=3.5,"★★★★☆",IF(AO74&gt;=2.5,"★★★☆☆",IF(AO74&gt;=1.5,"★★☆☆☆","★☆☆☆☆"))))))</f>
        <v>★★★☆☆</v>
      </c>
      <c r="Z74" s="115" t="str">
        <f>IF('Field Teams'!$I$5="Inactive","",IF(T74="","",IF(T74&gt;=4.5,"★★★★★",IF(T74&gt;=3.5,"★★★★☆",IF(T74&gt;=2.5,"★★★☆☆",IF(T74&gt;=1.5,"★★☆☆☆","★☆☆☆☆"))))))</f>
        <v>★★★☆☆</v>
      </c>
      <c r="AA74" s="31" t="str">
        <f>IF('Field Teams'!$I$75="Inactive","",IF(M74="YES","HIGH",IF(Q74&lt;=Settings!$D$26,"HIGH",IF(T74&lt;=Settings!$D$23,"HIGH",IF(T74&lt;=Settings!$D$24,"MEDIUM","LOW")))))</f>
        <v>HIGH</v>
      </c>
      <c r="AB74" s="31">
        <f>IF('Field Teams'!$I$5="Inactive",-1,IFERROR((6-T74)+(77-ROW())*0.0001,0))</f>
        <v>3.1003000000000003</v>
      </c>
      <c r="AC74" s="35">
        <f>IF('Field Teams'!$I$5="Inactive",999,IFERROR((6-T74)+(ROW()-3)*0.0001,99))</f>
        <v>3.1071</v>
      </c>
      <c r="AD74" s="31">
        <f>IF('Field Teams'!$I$75="Inactive",999,IFERROR(AB74+(ROW()-3)*0.0001,99))</f>
        <v>3.1074000000000002</v>
      </c>
      <c r="AE74" s="29">
        <v>0</v>
      </c>
      <c r="AF74" s="31" t="str">
        <f>IF('Field Teams'!$I$75="Inactive","",IF(AA74="HIGH","YES - within 5 working days",""))</f>
        <v>YES - within 5 working days</v>
      </c>
      <c r="AG74" s="105"/>
      <c r="AH74" s="49">
        <f>IFERROR(SUMPRODUCT(ISNUMBER(SEARCH(B74,'Pole Results'!$A$13:$A$2000))*('Pole Results'!$B$13:$B$2000&gt;=$AG$3)*('Pole Results'!$B$13:$B$2000&lt;=$AE$3)),0)</f>
        <v>0</v>
      </c>
      <c r="AI74" s="49">
        <f>IFERROR(SUMPRODUCT(ISNUMBER(SEARCH(B74,'Pole Results'!$A$13:$A$2000))*('Pole Results'!$B$13:$B$2000&gt;=$AG$3)*('Pole Results'!$B$13:$B$2000&lt;=$AE$3)*('Pole Results'!$E$13:$E$2000="Compliant")),0)</f>
        <v>0</v>
      </c>
      <c r="AJ74" s="105"/>
      <c r="AK74" s="106">
        <f>IF('Field Teams'!$I$75="Inactive",-1,IF(AA74="HIGH",AB74,-1))</f>
        <v>3.1003000000000003</v>
      </c>
      <c r="AL74" s="106">
        <f>IF('Field Teams'!$I$75="Inactive",-1,IF(OR(AA74="HIGH",AA74="MEDIUM"),AB74,-1))</f>
        <v>3.1003000000000003</v>
      </c>
      <c r="AM74" t="str">
        <f>IF('Field Teams'!$I$75="Inactive","",IF(IFERROR(LOOKUP(2,1/('Historical Scores'!C75:N75&lt;&gt;""),'Historical Scores'!C75:N75),"")="","New",IF(T74=""," ",IF(T74&gt;IFERROR(LOOKUP(2,1/('Historical Scores'!C75:N75&lt;&gt;""),'Historical Scores'!C75:N75),""),"▲ Worsening",IF(T74&lt;IFERROR(LOOKUP(2,1/('Historical Scores'!C75:N75&lt;&gt;""),'Historical Scores'!C75:N75),""),"▼ Improving","► Stable")))))</f>
        <v>New</v>
      </c>
      <c r="AN74">
        <f>IFERROR(SUMPRODUCT((ISNUMBER(SEARCH(B74,'Data - SSV'!AE$6:AE$3000)))*('Data - SSV'!AF$6:AF$3000&gt;=(AJ$3-90))*('Data - SSV'!AF$6:AF$3000&lt;=AJ$3)*('Data - SSV'!AH$6:AH$3000&lt;&gt;"")),0)</f>
        <v>0</v>
      </c>
      <c r="AO74">
        <f>IF('Field Teams'!$I$75="Inactive","",IF(AN74=0,3,IF(AN74=1,IF(IFERROR(SUMPRODUCT((ISNUMBER(SEARCH(B74,'Data - SSV'!AE$6:AE$3000)))*('Data - SSV'!AF$6:AF$3000&gt;=(AJ$3-90))*('Data - SSV'!AF$6:AF$3000&lt;=AJ$3)*('Data - SSV'!AH$6:AH$3000&lt;&gt;"")*IF('Data - SSV'!AH$6:AH$3000="",0,'Data - SSV'!AH$6:AH$3000))/AN74,3)=4,4,IF(IFERROR(SUMPRODUCT((ISNUMBER(SEARCH(B74,'Data - SSV'!AE$6:AE$3000)))*('Data - SSV'!AF$6:AF$3000&gt;=(AJ$3-90))*('Data - SSV'!AF$6:AF$3000&lt;=AJ$3)*('Data - SSV'!AH$6:AH$3000&lt;&gt;"")*IF('Data - SSV'!AH$6:AH$3000="",0,'Data - SSV'!AH$6:AH$3000))/AN74,3)&gt;=3,3,IF(IFERROR(SUMPRODUCT((ISNUMBER(SEARCH(B74,'Data - SSV'!AE$6:AE$3000)))*('Data - SSV'!AF$6:AF$3000&gt;=(AJ$3-90))*('Data - SSV'!AF$6:AF$3000&lt;=AJ$3)*('Data - SSV'!AH$6:AH$3000&lt;&gt;"")*IF('Data - SSV'!AH$6:AH$3000="",0,'Data - SSV'!AH$6:AH$3000))/AN74,3)&gt;=2,2,1))),IF(IFERROR(SUMPRODUCT((ISNUMBER(SEARCH(B74,'Data - SSV'!AE$6:AE$3000)))*('Data - SSV'!AF$6:AF$3000&gt;=(AJ$3-90))*('Data - SSV'!AF$6:AF$3000&lt;=AJ$3)*('Data - SSV'!AH$6:AH$3000&lt;&gt;"")*IF('Data - SSV'!AH$6:AH$3000="",0,'Data - SSV'!AH$6:AH$3000))/AN74,3)=4,5,IF(IFERROR(SUMPRODUCT((ISNUMBER(SEARCH(B74,'Data - SSV'!AE$6:AE$3000)))*('Data - SSV'!AF$6:AF$3000&gt;=(AJ$3-90))*('Data - SSV'!AF$6:AF$3000&lt;=AJ$3)*('Data - SSV'!AH$6:AH$3000&lt;&gt;"")*IF('Data - SSV'!AH$6:AH$3000="",0,'Data - SSV'!AH$6:AH$3000))/AN74,3)&gt;=3.5,4,IF(IFERROR(SUMPRODUCT((ISNUMBER(SEARCH(B74,'Data - SSV'!AE$6:AE$3000)))*('Data - SSV'!AF$6:AF$3000&gt;=(AJ$3-90))*('Data - SSV'!AF$6:AF$3000&lt;=AJ$3)*('Data - SSV'!AH$6:AH$3000&lt;&gt;"")*IF('Data - SSV'!AH$6:AH$3000="",0,'Data - SSV'!AH$6:AH$3000))/AN74,3)&gt;=3,3,IF(IFERROR(SUMPRODUCT((ISNUMBER(SEARCH(B74,'Data - SSV'!AE$6:AE$3000)))*('Data - SSV'!AF$6:AF$3000&gt;=(AJ$3-90))*('Data - SSV'!AF$6:AF$3000&lt;=AJ$3)*('Data - SSV'!AH$6:AH$3000&lt;&gt;"")*IF('Data - SSV'!AH$6:AH$3000="",0,'Data - SSV'!AH$6:AH$3000))/AN74,3)&gt;=2,2,1)))))))</f>
        <v>3</v>
      </c>
    </row>
    <row r="75" spans="1:41" ht="19.5" customHeight="1" x14ac:dyDescent="0.15">
      <c r="A75" s="6" t="str">
        <f>'Field Teams'!A76</f>
        <v>FT-072</v>
      </c>
      <c r="B75" s="28" t="str">
        <f>'Field Teams'!B76</f>
        <v>Tree Flex Ltd</v>
      </c>
      <c r="C75" s="28" t="str">
        <f>'Field Teams'!C76</f>
        <v>Utility Arboriculture</v>
      </c>
      <c r="D75" s="6" t="str">
        <f>'Field Teams'!D76</f>
        <v>Paul Shaw</v>
      </c>
      <c r="E75" s="6" t="str">
        <f>'Field Teams'!E76</f>
        <v>David Damm</v>
      </c>
      <c r="F75" s="6">
        <f>'Field Teams'!F76</f>
        <v>0</v>
      </c>
      <c r="G75" s="6">
        <f>'Field Teams'!G76</f>
        <v>0</v>
      </c>
      <c r="H75" s="31">
        <f>'Field Teams'!H76</f>
        <v>2</v>
      </c>
      <c r="I75" s="31">
        <f t="shared" si="10"/>
        <v>4</v>
      </c>
      <c r="J75" s="31">
        <f>IFERROR(SUMPRODUCT((((ISNUMBER(SEARCH(B75,'Data - HSQE Events'!V$6:V$3000))+ISNUMBER(SEARCH(B75,'Data - HSQE Events'!H$6:H$3000)))&gt;0))*('Data - HSQE Events'!F$6:F$3000&gt;=$AG$3)*('Data - HSQE Events'!F$6:F$3000&lt;=$AJ$3)*('Data - HSQE Events'!R$6:R$3000="Opportunity")),0)</f>
        <v>0</v>
      </c>
      <c r="K75" s="31">
        <f>IFERROR(SUMPRODUCT((((ISNUMBER(SEARCH(B75,'Data - HSQE Events'!V$6:V$3000))+ISNUMBER(SEARCH(B75,'Data - HSQE Events'!H$6:H$3000)))&gt;0))*('Data - HSQE Events'!F$6:F$3000&gt;=$AG$3)*('Data - HSQE Events'!F$6:F$3000&lt;=$AJ$3)*('Data - HSQE Events'!R$6:R$3000="Minor")),0)</f>
        <v>0</v>
      </c>
      <c r="L75" s="31">
        <f>IFERROR(SUMPRODUCT((((ISNUMBER(SEARCH(B75,'Data - HSQE Events'!V$6:V$3000))+ISNUMBER(SEARCH(B75,'Data - HSQE Events'!H$6:H$3000)))&gt;0))*('Data - HSQE Events'!F$6:F$3000&gt;=$AG$3)*('Data - HSQE Events'!F$6:F$3000&lt;=$AJ$3)*(('Data - HSQE Events'!R$6:R$3000="Moderate")+('Data - HSQE Events'!R$6:R$3000="Major"))),0)</f>
        <v>0</v>
      </c>
      <c r="M75" s="31" t="str">
        <f>IF(IFERROR(SUMPRODUCT((((ISNUMBER(SEARCH(B75,'Data - HSQE Events'!V$6:V$3000))+ISNUMBER(SEARCH(B75,'Data - HSQE Events'!H$6:H$3000)))&gt;0))*('Data - HSQE Events'!F$6:F$3000&gt;=$AG$3)*('Data - HSQE Events'!F$6:F$3000&lt;=$AJ$3)*('Data - HSQE Events'!R$6:R$3000="Major")),0)&gt;0,"YES","NO")</f>
        <v>NO</v>
      </c>
      <c r="N75" s="31">
        <f>IFERROR(SUMPRODUCT(('Data - Skillko'!B$6:B$3000=B75)*('Data - Skillko'!C$6:C$3000="Total")*('Data - Skillko'!E$6:E$3000))*100,0)</f>
        <v>100</v>
      </c>
      <c r="O75" s="31">
        <f t="shared" si="11"/>
        <v>5</v>
      </c>
      <c r="P75" s="31">
        <f>IFERROR(SUMPRODUCT(ISNUMBER(SEARCH(B75,'Pole Results'!$A$13:$A$2000))*('Pole Results'!$B$13:$B$2000&gt;=$AG$3)*('Pole Results'!$B$13:$B$2000&lt;=$AE$3)*('Pole Results'!$E$13:$E$2000="Non-Compliant")),0)</f>
        <v>0</v>
      </c>
      <c r="Q75" s="31">
        <f t="shared" si="12"/>
        <v>1</v>
      </c>
      <c r="R75" s="31">
        <f t="shared" si="13"/>
        <v>5</v>
      </c>
      <c r="S75" s="49">
        <f t="shared" si="14"/>
        <v>5</v>
      </c>
      <c r="T75" s="31">
        <f>IF('Field Teams'!$I$76="Inactive","",ROUND((Q75*Settings!$D$6+R75*Settings!$D$7+O75*Settings!$D$10+S75*Settings!$D$12+AO75*Settings!$D$13)/Settings!$D$14,1))</f>
        <v>3.1</v>
      </c>
      <c r="U75" s="115" t="str">
        <f>IF('Field Teams'!$I$76="Inactive","",IF(Q75="","",IF(Q75&gt;=4.5,"★★★★★",IF(Q75&gt;=3.5,"★★★★☆",IF(Q75&gt;=2.5,"★★★☆☆",IF(Q75&gt;=1.5,"★★☆☆☆","★☆☆☆☆"))))))</f>
        <v>★☆☆☆☆</v>
      </c>
      <c r="V75" s="115" t="str">
        <f>IF('Field Teams'!$I$76="Inactive","",IF(R75="","",IF(R75&gt;=4.5,"★★★★★",IF(R75&gt;=3.5,"★★★★☆",IF(R75&gt;=2.5,"★★★☆☆",IF(R75&gt;=1.5,"★★☆☆☆","★☆☆☆☆"))))))</f>
        <v>★★★★★</v>
      </c>
      <c r="W75" s="115" t="str">
        <f>IF('Field Teams'!$I$76="Inactive","",IF(O75="","",IF(O75&gt;=4.5,"★★★★★",IF(O75&gt;=3.5,"★★★★☆",IF(O75&gt;=2.5,"★★★☆☆",IF(O75&gt;=1.5,"★★☆☆☆","★☆☆☆☆"))))))</f>
        <v>★★★★★</v>
      </c>
      <c r="X75" s="115" t="str">
        <f>IF('Field Teams'!$I$76="Inactive","",IF(S75="","",IF(S75&gt;=4.5,"★★★★★",IF(S75&gt;=3.5,"★★★★☆",IF(S75&gt;=2.5,"★★★☆☆",IF(S75&gt;=1.5,"★★☆☆☆","★☆☆☆☆"))))))</f>
        <v>★★★★★</v>
      </c>
      <c r="Y75" s="115" t="str">
        <f>IF('Field Teams'!$I$76="Inactive","",IF(AO75="","",IF(AO75&gt;=4.5,"★★★★★",IF(AO75&gt;=3.5,"★★★★☆",IF(AO75&gt;=2.5,"★★★☆☆",IF(AO75&gt;=1.5,"★★☆☆☆","★☆☆☆☆"))))))</f>
        <v>★★★☆☆</v>
      </c>
      <c r="Z75" s="115" t="str">
        <f>IF('Field Teams'!$I$5="Inactive","",IF(T75="","",IF(T75&gt;=4.5,"★★★★★",IF(T75&gt;=3.5,"★★★★☆",IF(T75&gt;=2.5,"★★★☆☆",IF(T75&gt;=1.5,"★★☆☆☆","★☆☆☆☆"))))))</f>
        <v>★★★☆☆</v>
      </c>
      <c r="AA75" s="31" t="str">
        <f>IF('Field Teams'!$I$76="Inactive","",IF(M75="YES","HIGH",IF(Q75&lt;=Settings!$D$26,"HIGH",IF(T75&lt;=Settings!$D$23,"HIGH",IF(T75&lt;=Settings!$D$24,"MEDIUM","LOW")))))</f>
        <v>HIGH</v>
      </c>
      <c r="AB75" s="31">
        <f>IF('Field Teams'!$I$5="Inactive",-1,IFERROR((6-T75)+(77-ROW())*0.0001,0))</f>
        <v>2.9001999999999999</v>
      </c>
      <c r="AC75" s="35">
        <f>IF('Field Teams'!$I$5="Inactive",999,IFERROR((6-T75)+(ROW()-3)*0.0001,99))</f>
        <v>2.9072</v>
      </c>
      <c r="AD75" s="31">
        <f>IF('Field Teams'!$I$76="Inactive",999,IFERROR(AB75+(ROW()-3)*0.0001,99))</f>
        <v>2.9074</v>
      </c>
      <c r="AE75" s="29">
        <v>0</v>
      </c>
      <c r="AF75" s="31" t="str">
        <f>IF('Field Teams'!$I$76="Inactive","",IF(AA75="HIGH","YES - within 5 working days",""))</f>
        <v>YES - within 5 working days</v>
      </c>
      <c r="AG75" s="105"/>
      <c r="AH75" s="49">
        <f>IFERROR(SUMPRODUCT(ISNUMBER(SEARCH(B75,'Pole Results'!$A$13:$A$2000))*('Pole Results'!$B$13:$B$2000&gt;=$AG$3)*('Pole Results'!$B$13:$B$2000&lt;=$AE$3)),0)</f>
        <v>0</v>
      </c>
      <c r="AI75" s="49">
        <f>IFERROR(SUMPRODUCT(ISNUMBER(SEARCH(B75,'Pole Results'!$A$13:$A$2000))*('Pole Results'!$B$13:$B$2000&gt;=$AG$3)*('Pole Results'!$B$13:$B$2000&lt;=$AE$3)*('Pole Results'!$E$13:$E$2000="Compliant")),0)</f>
        <v>0</v>
      </c>
      <c r="AJ75" s="105"/>
      <c r="AK75" s="106">
        <f>IF('Field Teams'!$I$76="Inactive",-1,IF(AA75="HIGH",AB75,-1))</f>
        <v>2.9001999999999999</v>
      </c>
      <c r="AL75" s="106">
        <f>IF('Field Teams'!$I$76="Inactive",-1,IF(OR(AA75="HIGH",AA75="MEDIUM"),AB75,-1))</f>
        <v>2.9001999999999999</v>
      </c>
      <c r="AM75" t="str">
        <f>IF('Field Teams'!$I$76="Inactive","",IF(IFERROR(LOOKUP(2,1/('Historical Scores'!C76:N76&lt;&gt;""),'Historical Scores'!C76:N76),"")="","New",IF(T75=""," ",IF(T75&gt;IFERROR(LOOKUP(2,1/('Historical Scores'!C76:N76&lt;&gt;""),'Historical Scores'!C76:N76),""),"▲ Worsening",IF(T75&lt;IFERROR(LOOKUP(2,1/('Historical Scores'!C76:N76&lt;&gt;""),'Historical Scores'!C76:N76),""),"▼ Improving","► Stable")))))</f>
        <v>New</v>
      </c>
      <c r="AN75">
        <f>IFERROR(SUMPRODUCT((ISNUMBER(SEARCH(B75,'Data - SSV'!AE$6:AE$3000)))*('Data - SSV'!AF$6:AF$3000&gt;=(AJ$3-90))*('Data - SSV'!AF$6:AF$3000&lt;=AJ$3)*('Data - SSV'!AH$6:AH$3000&lt;&gt;"")),0)</f>
        <v>0</v>
      </c>
      <c r="AO75">
        <f>IF('Field Teams'!$I$76="Inactive","",IF(AN75=0,3,IF(AN75=1,IF(IFERROR(SUMPRODUCT((ISNUMBER(SEARCH(B75,'Data - SSV'!AE$6:AE$3000)))*('Data - SSV'!AF$6:AF$3000&gt;=(AJ$3-90))*('Data - SSV'!AF$6:AF$3000&lt;=AJ$3)*('Data - SSV'!AH$6:AH$3000&lt;&gt;"")*IF('Data - SSV'!AH$6:AH$3000="",0,'Data - SSV'!AH$6:AH$3000))/AN75,3)=4,4,IF(IFERROR(SUMPRODUCT((ISNUMBER(SEARCH(B75,'Data - SSV'!AE$6:AE$3000)))*('Data - SSV'!AF$6:AF$3000&gt;=(AJ$3-90))*('Data - SSV'!AF$6:AF$3000&lt;=AJ$3)*('Data - SSV'!AH$6:AH$3000&lt;&gt;"")*IF('Data - SSV'!AH$6:AH$3000="",0,'Data - SSV'!AH$6:AH$3000))/AN75,3)&gt;=3,3,IF(IFERROR(SUMPRODUCT((ISNUMBER(SEARCH(B75,'Data - SSV'!AE$6:AE$3000)))*('Data - SSV'!AF$6:AF$3000&gt;=(AJ$3-90))*('Data - SSV'!AF$6:AF$3000&lt;=AJ$3)*('Data - SSV'!AH$6:AH$3000&lt;&gt;"")*IF('Data - SSV'!AH$6:AH$3000="",0,'Data - SSV'!AH$6:AH$3000))/AN75,3)&gt;=2,2,1))),IF(IFERROR(SUMPRODUCT((ISNUMBER(SEARCH(B75,'Data - SSV'!AE$6:AE$3000)))*('Data - SSV'!AF$6:AF$3000&gt;=(AJ$3-90))*('Data - SSV'!AF$6:AF$3000&lt;=AJ$3)*('Data - SSV'!AH$6:AH$3000&lt;&gt;"")*IF('Data - SSV'!AH$6:AH$3000="",0,'Data - SSV'!AH$6:AH$3000))/AN75,3)=4,5,IF(IFERROR(SUMPRODUCT((ISNUMBER(SEARCH(B75,'Data - SSV'!AE$6:AE$3000)))*('Data - SSV'!AF$6:AF$3000&gt;=(AJ$3-90))*('Data - SSV'!AF$6:AF$3000&lt;=AJ$3)*('Data - SSV'!AH$6:AH$3000&lt;&gt;"")*IF('Data - SSV'!AH$6:AH$3000="",0,'Data - SSV'!AH$6:AH$3000))/AN75,3)&gt;=3.5,4,IF(IFERROR(SUMPRODUCT((ISNUMBER(SEARCH(B75,'Data - SSV'!AE$6:AE$3000)))*('Data - SSV'!AF$6:AF$3000&gt;=(AJ$3-90))*('Data - SSV'!AF$6:AF$3000&lt;=AJ$3)*('Data - SSV'!AH$6:AH$3000&lt;&gt;"")*IF('Data - SSV'!AH$6:AH$3000="",0,'Data - SSV'!AH$6:AH$3000))/AN75,3)&gt;=3,3,IF(IFERROR(SUMPRODUCT((ISNUMBER(SEARCH(B75,'Data - SSV'!AE$6:AE$3000)))*('Data - SSV'!AF$6:AF$3000&gt;=(AJ$3-90))*('Data - SSV'!AF$6:AF$3000&lt;=AJ$3)*('Data - SSV'!AH$6:AH$3000&lt;&gt;"")*IF('Data - SSV'!AH$6:AH$3000="",0,'Data - SSV'!AH$6:AH$3000))/AN75,3)&gt;=2,2,1)))))))</f>
        <v>3</v>
      </c>
    </row>
    <row r="76" spans="1:41" ht="19.5" customHeight="1" x14ac:dyDescent="0.15">
      <c r="A76" s="10" t="str">
        <f>'Field Teams'!A77</f>
        <v>FT-073</v>
      </c>
      <c r="B76" s="30" t="str">
        <f>'Field Teams'!B77</f>
        <v>Wootton Forestry &amp; Powerline Services Ltd</v>
      </c>
      <c r="C76" s="30" t="str">
        <f>'Field Teams'!C77</f>
        <v>Utility Arboriculture</v>
      </c>
      <c r="D76" s="10" t="str">
        <f>'Field Teams'!D77</f>
        <v>Paul Shaw</v>
      </c>
      <c r="E76" s="10" t="str">
        <f>'Field Teams'!E77</f>
        <v>David Damm</v>
      </c>
      <c r="F76" s="10">
        <f>'Field Teams'!F77</f>
        <v>0</v>
      </c>
      <c r="G76" s="10">
        <f>'Field Teams'!G77</f>
        <v>0</v>
      </c>
      <c r="H76" s="31">
        <f>'Field Teams'!H77</f>
        <v>5</v>
      </c>
      <c r="I76" s="31">
        <f t="shared" si="10"/>
        <v>10</v>
      </c>
      <c r="J76" s="31">
        <f>IFERROR(SUMPRODUCT((((ISNUMBER(SEARCH(B76,'Data - HSQE Events'!V$6:V$3000))+ISNUMBER(SEARCH(B76,'Data - HSQE Events'!H$6:H$3000)))&gt;0))*('Data - HSQE Events'!F$6:F$3000&gt;=$AG$3)*('Data - HSQE Events'!F$6:F$3000&lt;=$AJ$3)*('Data - HSQE Events'!R$6:R$3000="Opportunity")),0)</f>
        <v>0</v>
      </c>
      <c r="K76" s="31">
        <f>IFERROR(SUMPRODUCT((((ISNUMBER(SEARCH(B76,'Data - HSQE Events'!V$6:V$3000))+ISNUMBER(SEARCH(B76,'Data - HSQE Events'!H$6:H$3000)))&gt;0))*('Data - HSQE Events'!F$6:F$3000&gt;=$AG$3)*('Data - HSQE Events'!F$6:F$3000&lt;=$AJ$3)*('Data - HSQE Events'!R$6:R$3000="Minor")),0)</f>
        <v>0</v>
      </c>
      <c r="L76" s="31">
        <f>IFERROR(SUMPRODUCT((((ISNUMBER(SEARCH(B76,'Data - HSQE Events'!V$6:V$3000))+ISNUMBER(SEARCH(B76,'Data - HSQE Events'!H$6:H$3000)))&gt;0))*('Data - HSQE Events'!F$6:F$3000&gt;=$AG$3)*('Data - HSQE Events'!F$6:F$3000&lt;=$AJ$3)*(('Data - HSQE Events'!R$6:R$3000="Moderate")+('Data - HSQE Events'!R$6:R$3000="Major"))),0)</f>
        <v>0</v>
      </c>
      <c r="M76" s="31" t="str">
        <f>IF(IFERROR(SUMPRODUCT((((ISNUMBER(SEARCH(B76,'Data - HSQE Events'!V$6:V$3000))+ISNUMBER(SEARCH(B76,'Data - HSQE Events'!H$6:H$3000)))&gt;0))*('Data - HSQE Events'!F$6:F$3000&gt;=$AG$3)*('Data - HSQE Events'!F$6:F$3000&lt;=$AJ$3)*('Data - HSQE Events'!R$6:R$3000="Major")),0)&gt;0,"YES","NO")</f>
        <v>NO</v>
      </c>
      <c r="N76" s="31">
        <f>IFERROR(SUMPRODUCT(('Data - Skillko'!B$6:B$3000=B76)*('Data - Skillko'!C$6:C$3000="Total")*('Data - Skillko'!E$6:E$3000))*100,0)</f>
        <v>99</v>
      </c>
      <c r="O76" s="31">
        <f t="shared" si="11"/>
        <v>5</v>
      </c>
      <c r="P76" s="31">
        <f>IFERROR(SUMPRODUCT(ISNUMBER(SEARCH(B76,'Pole Results'!$A$13:$A$2000))*('Pole Results'!$B$13:$B$2000&gt;=$AG$3)*('Pole Results'!$B$13:$B$2000&lt;=$AE$3)*('Pole Results'!$E$13:$E$2000="Non-Compliant")),0)</f>
        <v>0</v>
      </c>
      <c r="Q76" s="31">
        <f t="shared" si="12"/>
        <v>1</v>
      </c>
      <c r="R76" s="31">
        <f t="shared" si="13"/>
        <v>5</v>
      </c>
      <c r="S76" s="49">
        <f t="shared" si="14"/>
        <v>5</v>
      </c>
      <c r="T76" s="31">
        <f>IF('Field Teams'!$I$77="Inactive","",ROUND((Q76*Settings!$D$6+R76*Settings!$D$7+O76*Settings!$D$10+S76*Settings!$D$12+AO76*Settings!$D$13)/Settings!$D$14,1))</f>
        <v>3.1</v>
      </c>
      <c r="U76" s="115" t="str">
        <f>IF('Field Teams'!$I$77="Inactive","",IF(Q76="","",IF(Q76&gt;=4.5,"★★★★★",IF(Q76&gt;=3.5,"★★★★☆",IF(Q76&gt;=2.5,"★★★☆☆",IF(Q76&gt;=1.5,"★★☆☆☆","★☆☆☆☆"))))))</f>
        <v>★☆☆☆☆</v>
      </c>
      <c r="V76" s="115" t="str">
        <f>IF('Field Teams'!$I$77="Inactive","",IF(R76="","",IF(R76&gt;=4.5,"★★★★★",IF(R76&gt;=3.5,"★★★★☆",IF(R76&gt;=2.5,"★★★☆☆",IF(R76&gt;=1.5,"★★☆☆☆","★☆☆☆☆"))))))</f>
        <v>★★★★★</v>
      </c>
      <c r="W76" s="115" t="str">
        <f>IF('Field Teams'!$I$77="Inactive","",IF(O76="","",IF(O76&gt;=4.5,"★★★★★",IF(O76&gt;=3.5,"★★★★☆",IF(O76&gt;=2.5,"★★★☆☆",IF(O76&gt;=1.5,"★★☆☆☆","★☆☆☆☆"))))))</f>
        <v>★★★★★</v>
      </c>
      <c r="X76" s="115" t="str">
        <f>IF('Field Teams'!$I$77="Inactive","",IF(S76="","",IF(S76&gt;=4.5,"★★★★★",IF(S76&gt;=3.5,"★★★★☆",IF(S76&gt;=2.5,"★★★☆☆",IF(S76&gt;=1.5,"★★☆☆☆","★☆☆☆☆"))))))</f>
        <v>★★★★★</v>
      </c>
      <c r="Y76" s="115" t="str">
        <f>IF('Field Teams'!$I$77="Inactive","",IF(AO76="","",IF(AO76&gt;=4.5,"★★★★★",IF(AO76&gt;=3.5,"★★★★☆",IF(AO76&gt;=2.5,"★★★☆☆",IF(AO76&gt;=1.5,"★★☆☆☆","★☆☆☆☆"))))))</f>
        <v>★★★☆☆</v>
      </c>
      <c r="Z76" s="115" t="str">
        <f>IF('Field Teams'!$I$5="Inactive","",IF(T76="","",IF(T76&gt;=4.5,"★★★★★",IF(T76&gt;=3.5,"★★★★☆",IF(T76&gt;=2.5,"★★★☆☆",IF(T76&gt;=1.5,"★★☆☆☆","★☆☆☆☆"))))))</f>
        <v>★★★☆☆</v>
      </c>
      <c r="AA76" s="31" t="str">
        <f>IF('Field Teams'!$I$77="Inactive","",IF(M76="YES","HIGH",IF(Q76&lt;=Settings!$D$26,"HIGH",IF(T76&lt;=Settings!$D$23,"HIGH",IF(T76&lt;=Settings!$D$24,"MEDIUM","LOW")))))</f>
        <v>HIGH</v>
      </c>
      <c r="AB76" s="31">
        <f>IF('Field Teams'!$I$5="Inactive",-1,IFERROR((6-T76)+(77-ROW())*0.0001,0))</f>
        <v>2.9001000000000001</v>
      </c>
      <c r="AC76" s="35">
        <f>IF('Field Teams'!$I$5="Inactive",999,IFERROR((6-T76)+(ROW()-3)*0.0001,99))</f>
        <v>2.9072999999999998</v>
      </c>
      <c r="AD76" s="31">
        <f>IF('Field Teams'!$I$77="Inactive",999,IFERROR(AB76+(ROW()-3)*0.0001,99))</f>
        <v>2.9074</v>
      </c>
      <c r="AE76" s="29">
        <v>0</v>
      </c>
      <c r="AF76" s="31" t="str">
        <f>IF('Field Teams'!$I$77="Inactive","",IF(AA76="HIGH","YES - within 5 working days",""))</f>
        <v>YES - within 5 working days</v>
      </c>
      <c r="AG76" s="105"/>
      <c r="AH76" s="49">
        <f>IFERROR(SUMPRODUCT(ISNUMBER(SEARCH(B76,'Pole Results'!$A$13:$A$2000))*('Pole Results'!$B$13:$B$2000&gt;=$AG$3)*('Pole Results'!$B$13:$B$2000&lt;=$AE$3)),0)</f>
        <v>0</v>
      </c>
      <c r="AI76" s="49">
        <f>IFERROR(SUMPRODUCT(ISNUMBER(SEARCH(B76,'Pole Results'!$A$13:$A$2000))*('Pole Results'!$B$13:$B$2000&gt;=$AG$3)*('Pole Results'!$B$13:$B$2000&lt;=$AE$3)*('Pole Results'!$E$13:$E$2000="Compliant")),0)</f>
        <v>0</v>
      </c>
      <c r="AJ76" s="105"/>
      <c r="AK76" s="106">
        <f>IF('Field Teams'!$I$77="Inactive",-1,IF(AA76="HIGH",AB76,-1))</f>
        <v>2.9001000000000001</v>
      </c>
      <c r="AL76" s="106">
        <f>IF('Field Teams'!$I$77="Inactive",-1,IF(OR(AA76="HIGH",AA76="MEDIUM"),AB76,-1))</f>
        <v>2.9001000000000001</v>
      </c>
      <c r="AM76" t="str">
        <f>IF('Field Teams'!$I$77="Inactive","",IF(IFERROR(LOOKUP(2,1/('Historical Scores'!C77:N77&lt;&gt;""),'Historical Scores'!C77:N77),"")="","New",IF(T76=""," ",IF(T76&gt;IFERROR(LOOKUP(2,1/('Historical Scores'!C77:N77&lt;&gt;""),'Historical Scores'!C77:N77),""),"▲ Worsening",IF(T76&lt;IFERROR(LOOKUP(2,1/('Historical Scores'!C77:N77&lt;&gt;""),'Historical Scores'!C77:N77),""),"▼ Improving","► Stable")))))</f>
        <v>New</v>
      </c>
      <c r="AN76">
        <f>IFERROR(SUMPRODUCT((ISNUMBER(SEARCH(B76,'Data - SSV'!AE$6:AE$3000)))*('Data - SSV'!AF$6:AF$3000&gt;=(AJ$3-90))*('Data - SSV'!AF$6:AF$3000&lt;=AJ$3)*('Data - SSV'!AH$6:AH$3000&lt;&gt;"")),0)</f>
        <v>0</v>
      </c>
      <c r="AO76">
        <f>IF('Field Teams'!$I$77="Inactive","",IF(AN76=0,3,IF(AN76=1,IF(IFERROR(SUMPRODUCT((ISNUMBER(SEARCH(B76,'Data - SSV'!AE$6:AE$3000)))*('Data - SSV'!AF$6:AF$3000&gt;=(AJ$3-90))*('Data - SSV'!AF$6:AF$3000&lt;=AJ$3)*('Data - SSV'!AH$6:AH$3000&lt;&gt;"")*IF('Data - SSV'!AH$6:AH$3000="",0,'Data - SSV'!AH$6:AH$3000))/AN76,3)=4,4,IF(IFERROR(SUMPRODUCT((ISNUMBER(SEARCH(B76,'Data - SSV'!AE$6:AE$3000)))*('Data - SSV'!AF$6:AF$3000&gt;=(AJ$3-90))*('Data - SSV'!AF$6:AF$3000&lt;=AJ$3)*('Data - SSV'!AH$6:AH$3000&lt;&gt;"")*IF('Data - SSV'!AH$6:AH$3000="",0,'Data - SSV'!AH$6:AH$3000))/AN76,3)&gt;=3,3,IF(IFERROR(SUMPRODUCT((ISNUMBER(SEARCH(B76,'Data - SSV'!AE$6:AE$3000)))*('Data - SSV'!AF$6:AF$3000&gt;=(AJ$3-90))*('Data - SSV'!AF$6:AF$3000&lt;=AJ$3)*('Data - SSV'!AH$6:AH$3000&lt;&gt;"")*IF('Data - SSV'!AH$6:AH$3000="",0,'Data - SSV'!AH$6:AH$3000))/AN76,3)&gt;=2,2,1))),IF(IFERROR(SUMPRODUCT((ISNUMBER(SEARCH(B76,'Data - SSV'!AE$6:AE$3000)))*('Data - SSV'!AF$6:AF$3000&gt;=(AJ$3-90))*('Data - SSV'!AF$6:AF$3000&lt;=AJ$3)*('Data - SSV'!AH$6:AH$3000&lt;&gt;"")*IF('Data - SSV'!AH$6:AH$3000="",0,'Data - SSV'!AH$6:AH$3000))/AN76,3)=4,5,IF(IFERROR(SUMPRODUCT((ISNUMBER(SEARCH(B76,'Data - SSV'!AE$6:AE$3000)))*('Data - SSV'!AF$6:AF$3000&gt;=(AJ$3-90))*('Data - SSV'!AF$6:AF$3000&lt;=AJ$3)*('Data - SSV'!AH$6:AH$3000&lt;&gt;"")*IF('Data - SSV'!AH$6:AH$3000="",0,'Data - SSV'!AH$6:AH$3000))/AN76,3)&gt;=3.5,4,IF(IFERROR(SUMPRODUCT((ISNUMBER(SEARCH(B76,'Data - SSV'!AE$6:AE$3000)))*('Data - SSV'!AF$6:AF$3000&gt;=(AJ$3-90))*('Data - SSV'!AF$6:AF$3000&lt;=AJ$3)*('Data - SSV'!AH$6:AH$3000&lt;&gt;"")*IF('Data - SSV'!AH$6:AH$3000="",0,'Data - SSV'!AH$6:AH$3000))/AN76,3)&gt;=3,3,IF(IFERROR(SUMPRODUCT((ISNUMBER(SEARCH(B76,'Data - SSV'!AE$6:AE$3000)))*('Data - SSV'!AF$6:AF$3000&gt;=(AJ$3-90))*('Data - SSV'!AF$6:AF$3000&lt;=AJ$3)*('Data - SSV'!AH$6:AH$3000&lt;&gt;"")*IF('Data - SSV'!AH$6:AH$3000="",0,'Data - SSV'!AH$6:AH$3000))/AN76,3)&gt;=2,2,1)))))))</f>
        <v>3</v>
      </c>
    </row>
    <row r="77" spans="1:41" ht="15" customHeight="1" x14ac:dyDescent="0.2">
      <c r="A77" s="124" t="str">
        <f>COUNTA('Field Teams'!B5:B204)-COUNTIF('Field Teams'!I5:I204,"Inactive")&amp;" active teams  |  "&amp;SUM('Field Teams'!H5:H77)&amp;" operatives in scope"</f>
        <v>73 active teams  |  337 operatives in scope</v>
      </c>
      <c r="B77" s="122"/>
      <c r="C77" s="122"/>
      <c r="D77" s="122"/>
      <c r="E77" s="146"/>
      <c r="F77" s="122"/>
      <c r="G77" s="146"/>
      <c r="O77">
        <f t="shared" si="11"/>
        <v>1</v>
      </c>
      <c r="Q77">
        <f t="shared" si="12"/>
        <v>1</v>
      </c>
      <c r="R77">
        <f t="shared" si="13"/>
        <v>5</v>
      </c>
      <c r="S77">
        <f t="shared" si="14"/>
        <v>5</v>
      </c>
      <c r="T77">
        <f>IF('Field Teams'!$I$78="Inactive","",ROUND((Q77*Settings!$D$6+R77*Settings!$D$7+O77*Settings!$D$10+S77*Settings!$D$12+AO77*Settings!$D$13)/Settings!$D$14,1))</f>
        <v>2.5</v>
      </c>
      <c r="U77" s="115" t="str">
        <f>IF('Field Teams'!$I$78="Inactive","",IF(Q77="","",IF(Q77&gt;=4.5,"★★★★★",IF(Q77&gt;=3.5,"★★★★☆",IF(Q77&gt;=2.5,"★★★☆☆",IF(Q77&gt;=1.5,"★★☆☆☆","★☆☆☆☆"))))))</f>
        <v>★☆☆☆☆</v>
      </c>
      <c r="V77" s="115" t="str">
        <f>IF('Field Teams'!$I$78="Inactive","",IF(R77="","",IF(R77&gt;=4.5,"★★★★★",IF(R77&gt;=3.5,"★★★★☆",IF(R77&gt;=2.5,"★★★☆☆",IF(R77&gt;=1.5,"★★☆☆☆","★☆☆☆☆"))))))</f>
        <v>★★★★★</v>
      </c>
      <c r="W77" s="115" t="str">
        <f>IF('Field Teams'!$I$78="Inactive","",IF(O77="","",IF(O77&gt;=4.5,"★★★★★",IF(O77&gt;=3.5,"★★★★☆",IF(O77&gt;=2.5,"★★★☆☆",IF(O77&gt;=1.5,"★★☆☆☆","★☆☆☆☆"))))))</f>
        <v>★☆☆☆☆</v>
      </c>
      <c r="X77" s="115" t="str">
        <f>IF('Field Teams'!$I$78="Inactive","",IF(S77="","",IF(S77&gt;=4.5,"★★★★★",IF(S77&gt;=3.5,"★★★★☆",IF(S77&gt;=2.5,"★★★☆☆",IF(S77&gt;=1.5,"★★☆☆☆","★☆☆☆☆"))))))</f>
        <v>★★★★★</v>
      </c>
      <c r="Y77" s="115" t="str">
        <f>IF('Field Teams'!$I$78="Inactive","",IF(AO77="","",IF(AO77&gt;=4.5,"★★★★★",IF(AO77&gt;=3.5,"★★★★☆",IF(AO77&gt;=2.5,"★★★☆☆",IF(AO77&gt;=1.5,"★★☆☆☆","★☆☆☆☆"))))))</f>
        <v>★★★☆☆</v>
      </c>
      <c r="Z77" s="115" t="str">
        <f>IF('Field Teams'!$I$5="Inactive","",IF(T77="","",IF(T77&gt;=4.5,"★★★★★",IF(T77&gt;=3.5,"★★★★☆",IF(T77&gt;=2.5,"★★★☆☆",IF(T77&gt;=1.5,"★★☆☆☆","★☆☆☆☆"))))))</f>
        <v>★★★☆☆</v>
      </c>
      <c r="AA77" s="116" t="str">
        <f>IF('Field Teams'!$I$78="Inactive","",IF(M77="YES","HIGH",IF(Q77&lt;=Settings!$D$26,"HIGH",IF(T77&lt;=Settings!$D$23,"HIGH",IF(T77&lt;=Settings!$D$24,"MEDIUM","LOW")))))</f>
        <v>HIGH</v>
      </c>
      <c r="AB77">
        <f>IF('Field Teams'!$I$5="Inactive",-1,IFERROR((6-T77)+(77-ROW())*0.0001,0))</f>
        <v>3.5</v>
      </c>
      <c r="AC77" s="50">
        <f>IF('Field Teams'!$I$5="Inactive",999,IFERROR((6-T77)+(ROW()-3)*0.0001,99))</f>
        <v>3.5074000000000001</v>
      </c>
      <c r="AD77" s="51">
        <f>COUNTIF(X4:X76,"LOW")</f>
        <v>0</v>
      </c>
      <c r="AG77" s="105"/>
      <c r="AJ77" s="105"/>
      <c r="AK77" s="105"/>
      <c r="AL77" s="105"/>
      <c r="AN77">
        <f>IFERROR(SUMPRODUCT((ISNUMBER(SEARCH(B77,'Data - SSV'!AE$6:AE$3000)))*('Data - SSV'!AF$6:AF$3000&gt;=(AJ$3-90))*('Data - SSV'!AF$6:AF$3000&lt;=AJ$3)*('Data - SSV'!AH$6:AH$3000&lt;&gt;"")),0)</f>
        <v>0</v>
      </c>
      <c r="AO77">
        <f>IF('Field Teams'!$I$78="Inactive","",IF(AN77=0,3,IF(AN77=1,IF(IFERROR(SUMPRODUCT((ISNUMBER(SEARCH(B77,'Data - SSV'!AE$6:AE$3000)))*('Data - SSV'!AF$6:AF$3000&gt;=(AJ$3-90))*('Data - SSV'!AF$6:AF$3000&lt;=AJ$3)*('Data - SSV'!AH$6:AH$3000&lt;&gt;"")*IF('Data - SSV'!AH$6:AH$3000="",0,'Data - SSV'!AH$6:AH$3000))/AN77,3)=4,4,IF(IFERROR(SUMPRODUCT((ISNUMBER(SEARCH(B77,'Data - SSV'!AE$6:AE$3000)))*('Data - SSV'!AF$6:AF$3000&gt;=(AJ$3-90))*('Data - SSV'!AF$6:AF$3000&lt;=AJ$3)*('Data - SSV'!AH$6:AH$3000&lt;&gt;"")*IF('Data - SSV'!AH$6:AH$3000="",0,'Data - SSV'!AH$6:AH$3000))/AN77,3)&gt;=3,3,IF(IFERROR(SUMPRODUCT((ISNUMBER(SEARCH(B77,'Data - SSV'!AE$6:AE$3000)))*('Data - SSV'!AF$6:AF$3000&gt;=(AJ$3-90))*('Data - SSV'!AF$6:AF$3000&lt;=AJ$3)*('Data - SSV'!AH$6:AH$3000&lt;&gt;"")*IF('Data - SSV'!AH$6:AH$3000="",0,'Data - SSV'!AH$6:AH$3000))/AN77,3)&gt;=2,2,1))),IF(IFERROR(SUMPRODUCT((ISNUMBER(SEARCH(B77,'Data - SSV'!AE$6:AE$3000)))*('Data - SSV'!AF$6:AF$3000&gt;=(AJ$3-90))*('Data - SSV'!AF$6:AF$3000&lt;=AJ$3)*('Data - SSV'!AH$6:AH$3000&lt;&gt;"")*IF('Data - SSV'!AH$6:AH$3000="",0,'Data - SSV'!AH$6:AH$3000))/AN77,3)=4,5,IF(IFERROR(SUMPRODUCT((ISNUMBER(SEARCH(B77,'Data - SSV'!AE$6:AE$3000)))*('Data - SSV'!AF$6:AF$3000&gt;=(AJ$3-90))*('Data - SSV'!AF$6:AF$3000&lt;=AJ$3)*('Data - SSV'!AH$6:AH$3000&lt;&gt;"")*IF('Data - SSV'!AH$6:AH$3000="",0,'Data - SSV'!AH$6:AH$3000))/AN77,3)&gt;=3.5,4,IF(IFERROR(SUMPRODUCT((ISNUMBER(SEARCH(B77,'Data - SSV'!AE$6:AE$3000)))*('Data - SSV'!AF$6:AF$3000&gt;=(AJ$3-90))*('Data - SSV'!AF$6:AF$3000&lt;=AJ$3)*('Data - SSV'!AH$6:AH$3000&lt;&gt;"")*IF('Data - SSV'!AH$6:AH$3000="",0,'Data - SSV'!AH$6:AH$3000))/AN77,3)&gt;=3,3,IF(IFERROR(SUMPRODUCT((ISNUMBER(SEARCH(B77,'Data - SSV'!AE$6:AE$3000)))*('Data - SSV'!AF$6:AF$3000&gt;=(AJ$3-90))*('Data - SSV'!AF$6:AF$3000&lt;=AJ$3)*('Data - SSV'!AH$6:AH$3000&lt;&gt;"")*IF('Data - SSV'!AH$6:AH$3000="",0,'Data - SSV'!AH$6:AH$3000))/AN77,3)&gt;=2,2,1)))))))</f>
        <v>3</v>
      </c>
    </row>
  </sheetData>
  <mergeCells count="3">
    <mergeCell ref="A2:AD2"/>
    <mergeCell ref="A77:G77"/>
    <mergeCell ref="A1:AD1"/>
  </mergeCells>
  <conditionalFormatting sqref="M4:M76">
    <cfRule type="containsText" dxfId="22" priority="6" operator="containsText" text="YES">
      <formula>NOT(ISERROR(SEARCH("YES",M4)))</formula>
    </cfRule>
  </conditionalFormatting>
  <conditionalFormatting sqref="W4:W76">
    <cfRule type="colorScale" priority="5">
      <colorScale>
        <cfvo type="num" val="0"/>
        <cfvo type="num" val="5"/>
        <cfvo type="num" val="10"/>
        <color rgb="FF00B050"/>
        <color rgb="FFFFC000"/>
        <color rgb="FFFF0000"/>
      </colorScale>
    </cfRule>
  </conditionalFormatting>
  <conditionalFormatting sqref="X4:X76">
    <cfRule type="containsText" dxfId="21" priority="2" operator="containsText" text="HIGH">
      <formula>NOT(ISERROR(SEARCH("HIGH",X4)))</formula>
    </cfRule>
    <cfRule type="containsText" dxfId="20" priority="3" operator="containsText" text="MEDIUM">
      <formula>NOT(ISERROR(SEARCH("MEDIUM",X4)))</formula>
    </cfRule>
    <cfRule type="containsText" dxfId="19" priority="4" operator="containsText" text="LOW">
      <formula>NOT(ISERROR(SEARCH("LOW",X4)))</formula>
    </cfRule>
  </conditionalFormatting>
  <conditionalFormatting sqref="AB4:AB76">
    <cfRule type="containsText" dxfId="18" priority="7" operator="containsText" text="YES">
      <formula>NOT(ISERROR(SEARCH("YES",AB4)))</formula>
    </cfRule>
  </conditionalFormatting>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D6A4F"/>
  </sheetPr>
  <dimension ref="A1:I2004"/>
  <sheetViews>
    <sheetView showGridLines="0" zoomScaleNormal="100" workbookViewId="0"/>
  </sheetViews>
  <sheetFormatPr baseColWidth="10" defaultColWidth="8.6640625" defaultRowHeight="15" customHeight="1" x14ac:dyDescent="0.2"/>
  <cols>
    <col min="1" max="1" width="22" style="1" customWidth="1"/>
    <col min="2" max="2" width="36" style="1" customWidth="1"/>
    <col min="3" max="3" width="32" style="1" customWidth="1"/>
    <col min="4" max="4" width="20" style="1" customWidth="1"/>
    <col min="5" max="5" width="12" style="1" customWidth="1"/>
    <col min="6" max="7" width="10" style="1" customWidth="1"/>
    <col min="8" max="8" width="14" style="1" customWidth="1"/>
    <col min="9" max="9" width="30" style="1" customWidth="1"/>
  </cols>
  <sheetData>
    <row r="1" spans="1:9" ht="36" customHeight="1" x14ac:dyDescent="0.2">
      <c r="A1" s="147" t="s">
        <v>323</v>
      </c>
      <c r="B1" s="122"/>
      <c r="C1" s="122"/>
      <c r="D1" s="122"/>
      <c r="E1" s="122"/>
      <c r="F1" s="122"/>
      <c r="G1" s="122"/>
      <c r="H1" s="122"/>
    </row>
    <row r="2" spans="1:9" ht="30" customHeight="1" x14ac:dyDescent="0.2">
      <c r="A2" s="140" t="s">
        <v>324</v>
      </c>
      <c r="B2" s="122"/>
      <c r="C2" s="122"/>
      <c r="D2" s="122"/>
      <c r="E2" s="122"/>
      <c r="F2" s="122"/>
      <c r="G2" s="122"/>
      <c r="H2" s="122"/>
    </row>
    <row r="3" spans="1:9" ht="30" customHeight="1" x14ac:dyDescent="0.2">
      <c r="A3" s="142" t="s">
        <v>325</v>
      </c>
      <c r="B3" s="122"/>
      <c r="C3" s="122"/>
      <c r="D3" s="122"/>
      <c r="E3" s="122"/>
      <c r="F3" s="122"/>
      <c r="G3" s="122"/>
      <c r="H3" s="122"/>
    </row>
    <row r="4" spans="1:9" ht="30" customHeight="1" x14ac:dyDescent="0.2">
      <c r="A4" s="5" t="s">
        <v>326</v>
      </c>
      <c r="B4" s="5" t="s">
        <v>45</v>
      </c>
      <c r="C4" s="5" t="s">
        <v>327</v>
      </c>
      <c r="D4" s="5" t="s">
        <v>328</v>
      </c>
      <c r="E4" s="5" t="s">
        <v>329</v>
      </c>
      <c r="F4" s="5" t="s">
        <v>330</v>
      </c>
      <c r="G4" s="5" t="s">
        <v>331</v>
      </c>
      <c r="H4" s="5" t="s">
        <v>332</v>
      </c>
      <c r="I4" s="52" t="s">
        <v>333</v>
      </c>
    </row>
    <row r="5" spans="1:9" ht="21.75" customHeight="1" x14ac:dyDescent="0.2">
      <c r="A5" s="53" t="s">
        <v>62</v>
      </c>
      <c r="B5" s="53" t="s">
        <v>334</v>
      </c>
      <c r="C5" s="53"/>
      <c r="D5" s="53"/>
      <c r="E5" s="54">
        <v>0.68</v>
      </c>
      <c r="F5" s="55">
        <v>5761</v>
      </c>
      <c r="G5" s="55">
        <v>3890</v>
      </c>
      <c r="H5" s="56"/>
      <c r="I5" s="1" t="str">
        <f>IF(B5&lt;&gt;"",B5,"")</f>
        <v>Total</v>
      </c>
    </row>
    <row r="6" spans="1:9" ht="15.75" customHeight="1" x14ac:dyDescent="0.2">
      <c r="B6" s="1" t="s">
        <v>207</v>
      </c>
      <c r="C6" s="1" t="s">
        <v>334</v>
      </c>
      <c r="E6" s="1">
        <v>0.04</v>
      </c>
      <c r="F6" s="1">
        <v>53</v>
      </c>
      <c r="G6" s="1">
        <v>2</v>
      </c>
      <c r="H6" s="57">
        <v>45902</v>
      </c>
      <c r="I6" s="58" t="str">
        <f t="shared" ref="I6:I69" si="0">IF(B6&lt;&gt;"",B6,I5)</f>
        <v>MJP Tree Services Ltd</v>
      </c>
    </row>
    <row r="7" spans="1:9" ht="15.75" customHeight="1" x14ac:dyDescent="0.2">
      <c r="C7" s="1" t="s">
        <v>335</v>
      </c>
      <c r="D7" s="1" t="s">
        <v>334</v>
      </c>
      <c r="E7" s="1">
        <v>0</v>
      </c>
      <c r="F7" s="1">
        <v>15</v>
      </c>
      <c r="G7" s="1">
        <v>0</v>
      </c>
      <c r="I7" s="58" t="str">
        <f t="shared" si="0"/>
        <v>MJP Tree Services Ltd</v>
      </c>
    </row>
    <row r="8" spans="1:9" ht="15.75" customHeight="1" x14ac:dyDescent="0.2">
      <c r="D8" s="1" t="s">
        <v>336</v>
      </c>
      <c r="E8" s="1">
        <v>0</v>
      </c>
      <c r="F8" s="1">
        <v>6</v>
      </c>
      <c r="G8" s="1">
        <v>0</v>
      </c>
      <c r="I8" s="58" t="str">
        <f t="shared" si="0"/>
        <v>MJP Tree Services Ltd</v>
      </c>
    </row>
    <row r="9" spans="1:9" ht="15.75" customHeight="1" x14ac:dyDescent="0.2">
      <c r="D9" s="1" t="s">
        <v>337</v>
      </c>
      <c r="E9" s="1">
        <v>0</v>
      </c>
      <c r="F9" s="1">
        <v>4</v>
      </c>
      <c r="G9" s="1">
        <v>0</v>
      </c>
      <c r="I9" s="58" t="str">
        <f t="shared" si="0"/>
        <v>MJP Tree Services Ltd</v>
      </c>
    </row>
    <row r="10" spans="1:9" ht="15.75" customHeight="1" x14ac:dyDescent="0.2">
      <c r="D10" s="1" t="s">
        <v>338</v>
      </c>
      <c r="E10" s="1">
        <v>0</v>
      </c>
      <c r="F10" s="1">
        <v>5</v>
      </c>
      <c r="G10" s="1">
        <v>0</v>
      </c>
      <c r="I10" s="58" t="str">
        <f t="shared" si="0"/>
        <v>MJP Tree Services Ltd</v>
      </c>
    </row>
    <row r="11" spans="1:9" ht="15.75" customHeight="1" x14ac:dyDescent="0.2">
      <c r="C11" s="1" t="s">
        <v>339</v>
      </c>
      <c r="D11" s="1" t="s">
        <v>334</v>
      </c>
      <c r="E11" s="1">
        <v>0</v>
      </c>
      <c r="F11" s="1">
        <v>17</v>
      </c>
      <c r="G11" s="1">
        <v>0</v>
      </c>
      <c r="I11" s="58" t="str">
        <f t="shared" si="0"/>
        <v>MJP Tree Services Ltd</v>
      </c>
    </row>
    <row r="12" spans="1:9" ht="15.75" customHeight="1" x14ac:dyDescent="0.2">
      <c r="D12" s="1" t="s">
        <v>340</v>
      </c>
      <c r="E12" s="1">
        <v>0</v>
      </c>
      <c r="F12" s="1">
        <v>7</v>
      </c>
      <c r="G12" s="1">
        <v>0</v>
      </c>
      <c r="I12" s="58" t="str">
        <f t="shared" si="0"/>
        <v>MJP Tree Services Ltd</v>
      </c>
    </row>
    <row r="13" spans="1:9" ht="15.75" customHeight="1" x14ac:dyDescent="0.2">
      <c r="D13" s="1" t="s">
        <v>336</v>
      </c>
      <c r="E13" s="1">
        <v>0</v>
      </c>
      <c r="F13" s="1">
        <v>6</v>
      </c>
      <c r="G13" s="1">
        <v>0</v>
      </c>
      <c r="I13" s="58" t="str">
        <f t="shared" si="0"/>
        <v>MJP Tree Services Ltd</v>
      </c>
    </row>
    <row r="14" spans="1:9" ht="15.75" customHeight="1" x14ac:dyDescent="0.2">
      <c r="D14" s="1" t="s">
        <v>337</v>
      </c>
      <c r="E14" s="1">
        <v>0</v>
      </c>
      <c r="F14" s="1">
        <v>4</v>
      </c>
      <c r="G14" s="1">
        <v>0</v>
      </c>
      <c r="I14" s="58" t="str">
        <f t="shared" si="0"/>
        <v>MJP Tree Services Ltd</v>
      </c>
    </row>
    <row r="15" spans="1:9" ht="15.75" customHeight="1" x14ac:dyDescent="0.2">
      <c r="C15" s="1" t="s">
        <v>341</v>
      </c>
      <c r="D15" s="1" t="s">
        <v>334</v>
      </c>
      <c r="E15" s="1">
        <v>0.06</v>
      </c>
      <c r="F15" s="1">
        <v>17</v>
      </c>
      <c r="G15" s="1">
        <v>1</v>
      </c>
      <c r="I15" s="58" t="str">
        <f t="shared" si="0"/>
        <v>MJP Tree Services Ltd</v>
      </c>
    </row>
    <row r="16" spans="1:9" ht="15.75" customHeight="1" x14ac:dyDescent="0.2">
      <c r="D16" s="1" t="s">
        <v>336</v>
      </c>
      <c r="E16" s="1">
        <v>0</v>
      </c>
      <c r="F16" s="1">
        <v>6</v>
      </c>
      <c r="G16" s="1">
        <v>0</v>
      </c>
      <c r="I16" s="58" t="str">
        <f t="shared" si="0"/>
        <v>MJP Tree Services Ltd</v>
      </c>
    </row>
    <row r="17" spans="2:9" ht="15.75" customHeight="1" x14ac:dyDescent="0.2">
      <c r="D17" s="1" t="s">
        <v>337</v>
      </c>
      <c r="E17" s="1">
        <v>0</v>
      </c>
      <c r="F17" s="1">
        <v>4</v>
      </c>
      <c r="G17" s="1">
        <v>0</v>
      </c>
      <c r="I17" s="58" t="str">
        <f t="shared" si="0"/>
        <v>MJP Tree Services Ltd</v>
      </c>
    </row>
    <row r="18" spans="2:9" ht="15.75" customHeight="1" x14ac:dyDescent="0.2">
      <c r="D18" s="1" t="s">
        <v>340</v>
      </c>
      <c r="E18" s="1">
        <v>0.15</v>
      </c>
      <c r="F18" s="1">
        <v>7</v>
      </c>
      <c r="G18" s="1">
        <v>1</v>
      </c>
      <c r="I18" s="58" t="str">
        <f t="shared" si="0"/>
        <v>MJP Tree Services Ltd</v>
      </c>
    </row>
    <row r="19" spans="2:9" ht="15.75" customHeight="1" x14ac:dyDescent="0.2">
      <c r="C19" s="1" t="s">
        <v>342</v>
      </c>
      <c r="D19" s="1" t="s">
        <v>334</v>
      </c>
      <c r="E19" s="1">
        <v>0.25</v>
      </c>
      <c r="F19" s="1">
        <v>4</v>
      </c>
      <c r="G19" s="1">
        <v>1</v>
      </c>
      <c r="I19" s="58" t="str">
        <f t="shared" si="0"/>
        <v>MJP Tree Services Ltd</v>
      </c>
    </row>
    <row r="20" spans="2:9" ht="15.75" customHeight="1" x14ac:dyDescent="0.2">
      <c r="D20" s="1" t="s">
        <v>343</v>
      </c>
      <c r="E20" s="1">
        <v>0.25</v>
      </c>
      <c r="F20" s="1">
        <v>4</v>
      </c>
      <c r="G20" s="1">
        <v>1</v>
      </c>
      <c r="I20" s="58" t="str">
        <f t="shared" si="0"/>
        <v>MJP Tree Services Ltd</v>
      </c>
    </row>
    <row r="21" spans="2:9" ht="15.75" customHeight="1" x14ac:dyDescent="0.2">
      <c r="B21" s="1" t="s">
        <v>186</v>
      </c>
      <c r="C21" s="1" t="s">
        <v>334</v>
      </c>
      <c r="E21" s="1">
        <v>0.32</v>
      </c>
      <c r="F21" s="1">
        <v>61</v>
      </c>
      <c r="G21" s="1">
        <v>19</v>
      </c>
      <c r="H21" s="57">
        <v>44229</v>
      </c>
      <c r="I21" s="58" t="str">
        <f t="shared" si="0"/>
        <v>Integrated Arb Solutions</v>
      </c>
    </row>
    <row r="22" spans="2:9" ht="15.75" customHeight="1" x14ac:dyDescent="0.2">
      <c r="C22" s="1" t="s">
        <v>344</v>
      </c>
      <c r="D22" s="1" t="s">
        <v>334</v>
      </c>
      <c r="E22" s="1">
        <v>0.2</v>
      </c>
      <c r="F22" s="1">
        <v>15</v>
      </c>
      <c r="G22" s="1">
        <v>3</v>
      </c>
      <c r="I22" s="58" t="str">
        <f t="shared" si="0"/>
        <v>Integrated Arb Solutions</v>
      </c>
    </row>
    <row r="23" spans="2:9" ht="15.75" customHeight="1" x14ac:dyDescent="0.2">
      <c r="D23" s="1" t="s">
        <v>337</v>
      </c>
      <c r="E23" s="1">
        <v>0</v>
      </c>
      <c r="F23" s="1">
        <v>4</v>
      </c>
      <c r="G23" s="1">
        <v>0</v>
      </c>
      <c r="I23" s="58" t="str">
        <f t="shared" si="0"/>
        <v>Integrated Arb Solutions</v>
      </c>
    </row>
    <row r="24" spans="2:9" ht="15.75" customHeight="1" x14ac:dyDescent="0.2">
      <c r="D24" s="1" t="s">
        <v>338</v>
      </c>
      <c r="E24" s="1">
        <v>0</v>
      </c>
      <c r="F24" s="1">
        <v>5</v>
      </c>
      <c r="G24" s="1">
        <v>0</v>
      </c>
      <c r="I24" s="58" t="str">
        <f t="shared" si="0"/>
        <v>Integrated Arb Solutions</v>
      </c>
    </row>
    <row r="25" spans="2:9" ht="15.75" customHeight="1" x14ac:dyDescent="0.2">
      <c r="D25" s="1" t="s">
        <v>336</v>
      </c>
      <c r="E25" s="1">
        <v>0.5</v>
      </c>
      <c r="F25" s="1">
        <v>6</v>
      </c>
      <c r="G25" s="1">
        <v>3</v>
      </c>
      <c r="I25" s="58" t="str">
        <f t="shared" si="0"/>
        <v>Integrated Arb Solutions</v>
      </c>
    </row>
    <row r="26" spans="2:9" ht="15.75" customHeight="1" x14ac:dyDescent="0.2">
      <c r="C26" s="1" t="s">
        <v>345</v>
      </c>
      <c r="D26" s="1" t="s">
        <v>334</v>
      </c>
      <c r="E26" s="1">
        <v>0.27</v>
      </c>
      <c r="F26" s="1">
        <v>15</v>
      </c>
      <c r="G26" s="1">
        <v>4</v>
      </c>
      <c r="I26" s="58" t="str">
        <f t="shared" si="0"/>
        <v>Integrated Arb Solutions</v>
      </c>
    </row>
    <row r="27" spans="2:9" ht="15.75" customHeight="1" x14ac:dyDescent="0.2">
      <c r="D27" s="1" t="s">
        <v>337</v>
      </c>
      <c r="E27" s="1">
        <v>0</v>
      </c>
      <c r="F27" s="1">
        <v>4</v>
      </c>
      <c r="G27" s="1">
        <v>0</v>
      </c>
      <c r="I27" s="58" t="str">
        <f t="shared" si="0"/>
        <v>Integrated Arb Solutions</v>
      </c>
    </row>
    <row r="28" spans="2:9" ht="15.75" customHeight="1" x14ac:dyDescent="0.2">
      <c r="D28" s="1" t="s">
        <v>338</v>
      </c>
      <c r="E28" s="1">
        <v>0.2</v>
      </c>
      <c r="F28" s="1">
        <v>5</v>
      </c>
      <c r="G28" s="1">
        <v>1</v>
      </c>
      <c r="I28" s="58" t="str">
        <f t="shared" si="0"/>
        <v>Integrated Arb Solutions</v>
      </c>
    </row>
    <row r="29" spans="2:9" ht="15.75" customHeight="1" x14ac:dyDescent="0.2">
      <c r="D29" s="1" t="s">
        <v>336</v>
      </c>
      <c r="E29" s="1">
        <v>0.5</v>
      </c>
      <c r="F29" s="1">
        <v>6</v>
      </c>
      <c r="G29" s="1">
        <v>3</v>
      </c>
      <c r="I29" s="58" t="str">
        <f t="shared" si="0"/>
        <v>Integrated Arb Solutions</v>
      </c>
    </row>
    <row r="30" spans="2:9" ht="15.75" customHeight="1" x14ac:dyDescent="0.2">
      <c r="C30" s="1" t="s">
        <v>346</v>
      </c>
      <c r="D30" s="1" t="s">
        <v>334</v>
      </c>
      <c r="E30" s="1">
        <v>0.3</v>
      </c>
      <c r="F30" s="1">
        <v>10</v>
      </c>
      <c r="G30" s="1">
        <v>3</v>
      </c>
      <c r="I30" s="58" t="str">
        <f t="shared" si="0"/>
        <v>Integrated Arb Solutions</v>
      </c>
    </row>
    <row r="31" spans="2:9" ht="15.75" customHeight="1" x14ac:dyDescent="0.2">
      <c r="D31" s="1" t="s">
        <v>337</v>
      </c>
      <c r="E31" s="1">
        <v>0</v>
      </c>
      <c r="F31" s="1">
        <v>4</v>
      </c>
      <c r="G31" s="1">
        <v>0</v>
      </c>
      <c r="I31" s="58" t="str">
        <f t="shared" si="0"/>
        <v>Integrated Arb Solutions</v>
      </c>
    </row>
    <row r="32" spans="2:9" ht="15.75" customHeight="1" x14ac:dyDescent="0.2">
      <c r="D32" s="1" t="s">
        <v>336</v>
      </c>
      <c r="E32" s="1">
        <v>0.5</v>
      </c>
      <c r="F32" s="1">
        <v>6</v>
      </c>
      <c r="G32" s="1">
        <v>3</v>
      </c>
      <c r="I32" s="58" t="str">
        <f t="shared" si="0"/>
        <v>Integrated Arb Solutions</v>
      </c>
    </row>
    <row r="33" spans="2:9" ht="15.75" customHeight="1" x14ac:dyDescent="0.2">
      <c r="C33" s="1" t="s">
        <v>347</v>
      </c>
      <c r="D33" s="1" t="s">
        <v>334</v>
      </c>
      <c r="E33" s="1">
        <v>0.42</v>
      </c>
      <c r="F33" s="1">
        <v>17</v>
      </c>
      <c r="G33" s="1">
        <v>7</v>
      </c>
      <c r="I33" s="58" t="str">
        <f t="shared" si="0"/>
        <v>Integrated Arb Solutions</v>
      </c>
    </row>
    <row r="34" spans="2:9" ht="15.75" customHeight="1" x14ac:dyDescent="0.2">
      <c r="D34" s="1" t="s">
        <v>337</v>
      </c>
      <c r="E34" s="1">
        <v>0</v>
      </c>
      <c r="F34" s="1">
        <v>4</v>
      </c>
      <c r="G34" s="1">
        <v>0</v>
      </c>
      <c r="I34" s="58" t="str">
        <f t="shared" si="0"/>
        <v>Integrated Arb Solutions</v>
      </c>
    </row>
    <row r="35" spans="2:9" ht="15.75" customHeight="1" x14ac:dyDescent="0.2">
      <c r="D35" s="1" t="s">
        <v>336</v>
      </c>
      <c r="E35" s="1">
        <v>0.5</v>
      </c>
      <c r="F35" s="1">
        <v>6</v>
      </c>
      <c r="G35" s="1">
        <v>3</v>
      </c>
      <c r="I35" s="58" t="str">
        <f t="shared" si="0"/>
        <v>Integrated Arb Solutions</v>
      </c>
    </row>
    <row r="36" spans="2:9" ht="15.75" customHeight="1" x14ac:dyDescent="0.2">
      <c r="D36" s="1" t="s">
        <v>340</v>
      </c>
      <c r="E36" s="1">
        <v>0.57999999999999996</v>
      </c>
      <c r="F36" s="1">
        <v>7</v>
      </c>
      <c r="G36" s="1">
        <v>4</v>
      </c>
      <c r="I36" s="58" t="str">
        <f t="shared" si="0"/>
        <v>Integrated Arb Solutions</v>
      </c>
    </row>
    <row r="37" spans="2:9" ht="15.75" customHeight="1" x14ac:dyDescent="0.2">
      <c r="C37" s="1" t="s">
        <v>186</v>
      </c>
      <c r="D37" s="1" t="s">
        <v>334</v>
      </c>
      <c r="E37" s="1">
        <v>0.5</v>
      </c>
      <c r="F37" s="1">
        <v>4</v>
      </c>
      <c r="G37" s="1">
        <v>2</v>
      </c>
      <c r="I37" s="58" t="str">
        <f t="shared" si="0"/>
        <v>Integrated Arb Solutions</v>
      </c>
    </row>
    <row r="38" spans="2:9" ht="15.75" customHeight="1" x14ac:dyDescent="0.2">
      <c r="D38" s="1" t="s">
        <v>343</v>
      </c>
      <c r="E38" s="1">
        <v>0.5</v>
      </c>
      <c r="F38" s="1">
        <v>4</v>
      </c>
      <c r="G38" s="1">
        <v>2</v>
      </c>
      <c r="I38" s="58" t="str">
        <f t="shared" si="0"/>
        <v>Integrated Arb Solutions</v>
      </c>
    </row>
    <row r="39" spans="2:9" ht="15.75" customHeight="1" x14ac:dyDescent="0.2">
      <c r="B39" s="1" t="s">
        <v>205</v>
      </c>
      <c r="C39" s="1" t="s">
        <v>334</v>
      </c>
      <c r="E39" s="1">
        <v>0.32</v>
      </c>
      <c r="F39" s="1">
        <v>72</v>
      </c>
      <c r="G39" s="1">
        <v>23</v>
      </c>
      <c r="H39" s="57">
        <v>46059</v>
      </c>
      <c r="I39" s="58" t="str">
        <f t="shared" si="0"/>
        <v>Keighley Tree Services</v>
      </c>
    </row>
    <row r="40" spans="2:9" ht="15.75" customHeight="1" x14ac:dyDescent="0.2">
      <c r="C40" s="1" t="s">
        <v>348</v>
      </c>
      <c r="D40" s="1" t="s">
        <v>334</v>
      </c>
      <c r="E40" s="1">
        <v>0.18</v>
      </c>
      <c r="F40" s="1">
        <v>17</v>
      </c>
      <c r="G40" s="1">
        <v>3</v>
      </c>
      <c r="I40" s="58" t="str">
        <f t="shared" si="0"/>
        <v>Keighley Tree Services</v>
      </c>
    </row>
    <row r="41" spans="2:9" ht="15.75" customHeight="1" x14ac:dyDescent="0.2">
      <c r="D41" s="1" t="s">
        <v>336</v>
      </c>
      <c r="E41" s="1">
        <v>0</v>
      </c>
      <c r="F41" s="1">
        <v>6</v>
      </c>
      <c r="G41" s="1">
        <v>0</v>
      </c>
      <c r="I41" s="58" t="str">
        <f t="shared" si="0"/>
        <v>Keighley Tree Services</v>
      </c>
    </row>
    <row r="42" spans="2:9" ht="15.75" customHeight="1" x14ac:dyDescent="0.2">
      <c r="D42" s="1" t="s">
        <v>337</v>
      </c>
      <c r="E42" s="1">
        <v>0</v>
      </c>
      <c r="F42" s="1">
        <v>4</v>
      </c>
      <c r="G42" s="1">
        <v>0</v>
      </c>
      <c r="I42" s="58" t="str">
        <f t="shared" si="0"/>
        <v>Keighley Tree Services</v>
      </c>
    </row>
    <row r="43" spans="2:9" ht="15.75" customHeight="1" x14ac:dyDescent="0.2">
      <c r="D43" s="1" t="s">
        <v>340</v>
      </c>
      <c r="E43" s="1">
        <v>0.43</v>
      </c>
      <c r="F43" s="1">
        <v>7</v>
      </c>
      <c r="G43" s="1">
        <v>3</v>
      </c>
      <c r="I43" s="58" t="str">
        <f t="shared" si="0"/>
        <v>Keighley Tree Services</v>
      </c>
    </row>
    <row r="44" spans="2:9" ht="15.75" customHeight="1" x14ac:dyDescent="0.2">
      <c r="C44" s="1" t="s">
        <v>349</v>
      </c>
      <c r="D44" s="1" t="s">
        <v>334</v>
      </c>
      <c r="E44" s="1">
        <v>0.24</v>
      </c>
      <c r="F44" s="1">
        <v>17</v>
      </c>
      <c r="G44" s="1">
        <v>4</v>
      </c>
      <c r="I44" s="58" t="str">
        <f t="shared" si="0"/>
        <v>Keighley Tree Services</v>
      </c>
    </row>
    <row r="45" spans="2:9" ht="15.75" customHeight="1" x14ac:dyDescent="0.2">
      <c r="D45" s="1" t="s">
        <v>336</v>
      </c>
      <c r="E45" s="1">
        <v>0</v>
      </c>
      <c r="F45" s="1">
        <v>6</v>
      </c>
      <c r="G45" s="1">
        <v>0</v>
      </c>
      <c r="I45" s="58" t="str">
        <f t="shared" si="0"/>
        <v>Keighley Tree Services</v>
      </c>
    </row>
    <row r="46" spans="2:9" ht="15.75" customHeight="1" x14ac:dyDescent="0.2">
      <c r="D46" s="1" t="s">
        <v>337</v>
      </c>
      <c r="E46" s="1">
        <v>0</v>
      </c>
      <c r="F46" s="1">
        <v>4</v>
      </c>
      <c r="G46" s="1">
        <v>0</v>
      </c>
      <c r="I46" s="58" t="str">
        <f t="shared" si="0"/>
        <v>Keighley Tree Services</v>
      </c>
    </row>
    <row r="47" spans="2:9" ht="15.75" customHeight="1" x14ac:dyDescent="0.2">
      <c r="D47" s="1" t="s">
        <v>340</v>
      </c>
      <c r="E47" s="1">
        <v>0.57999999999999996</v>
      </c>
      <c r="F47" s="1">
        <v>7</v>
      </c>
      <c r="G47" s="1">
        <v>4</v>
      </c>
      <c r="I47" s="58" t="str">
        <f t="shared" si="0"/>
        <v>Keighley Tree Services</v>
      </c>
    </row>
    <row r="48" spans="2:9" ht="15.75" customHeight="1" x14ac:dyDescent="0.2">
      <c r="C48" s="1" t="s">
        <v>350</v>
      </c>
      <c r="D48" s="1" t="s">
        <v>334</v>
      </c>
      <c r="E48" s="1">
        <v>0.36</v>
      </c>
      <c r="F48" s="1">
        <v>17</v>
      </c>
      <c r="G48" s="1">
        <v>6</v>
      </c>
      <c r="I48" s="58" t="str">
        <f t="shared" si="0"/>
        <v>Keighley Tree Services</v>
      </c>
    </row>
    <row r="49" spans="2:9" ht="15.75" customHeight="1" x14ac:dyDescent="0.2">
      <c r="D49" s="1" t="s">
        <v>336</v>
      </c>
      <c r="E49" s="1">
        <v>0</v>
      </c>
      <c r="F49" s="1">
        <v>6</v>
      </c>
      <c r="G49" s="1">
        <v>0</v>
      </c>
      <c r="I49" s="58" t="str">
        <f t="shared" si="0"/>
        <v>Keighley Tree Services</v>
      </c>
    </row>
    <row r="50" spans="2:9" ht="15.75" customHeight="1" x14ac:dyDescent="0.2">
      <c r="D50" s="1" t="s">
        <v>337</v>
      </c>
      <c r="E50" s="1">
        <v>0.25</v>
      </c>
      <c r="F50" s="1">
        <v>4</v>
      </c>
      <c r="G50" s="1">
        <v>1</v>
      </c>
      <c r="I50" s="58" t="str">
        <f t="shared" si="0"/>
        <v>Keighley Tree Services</v>
      </c>
    </row>
    <row r="51" spans="2:9" ht="15.75" customHeight="1" x14ac:dyDescent="0.2">
      <c r="D51" s="1" t="s">
        <v>340</v>
      </c>
      <c r="E51" s="1">
        <v>0.72</v>
      </c>
      <c r="F51" s="1">
        <v>7</v>
      </c>
      <c r="G51" s="1">
        <v>5</v>
      </c>
      <c r="I51" s="58" t="str">
        <f t="shared" si="0"/>
        <v>Keighley Tree Services</v>
      </c>
    </row>
    <row r="52" spans="2:9" ht="15.75" customHeight="1" x14ac:dyDescent="0.2">
      <c r="C52" s="1" t="s">
        <v>351</v>
      </c>
      <c r="D52" s="1" t="s">
        <v>334</v>
      </c>
      <c r="E52" s="1">
        <v>0.36</v>
      </c>
      <c r="F52" s="1">
        <v>17</v>
      </c>
      <c r="G52" s="1">
        <v>6</v>
      </c>
      <c r="I52" s="58" t="str">
        <f t="shared" si="0"/>
        <v>Keighley Tree Services</v>
      </c>
    </row>
    <row r="53" spans="2:9" ht="15.75" customHeight="1" x14ac:dyDescent="0.2">
      <c r="D53" s="1" t="s">
        <v>336</v>
      </c>
      <c r="E53" s="1">
        <v>0</v>
      </c>
      <c r="F53" s="1">
        <v>6</v>
      </c>
      <c r="G53" s="1">
        <v>0</v>
      </c>
      <c r="I53" s="58" t="str">
        <f t="shared" si="0"/>
        <v>Keighley Tree Services</v>
      </c>
    </row>
    <row r="54" spans="2:9" ht="15.75" customHeight="1" x14ac:dyDescent="0.2">
      <c r="D54" s="1" t="s">
        <v>337</v>
      </c>
      <c r="E54" s="1">
        <v>0.25</v>
      </c>
      <c r="F54" s="1">
        <v>4</v>
      </c>
      <c r="G54" s="1">
        <v>1</v>
      </c>
      <c r="I54" s="58" t="str">
        <f t="shared" si="0"/>
        <v>Keighley Tree Services</v>
      </c>
    </row>
    <row r="55" spans="2:9" ht="15.75" customHeight="1" x14ac:dyDescent="0.2">
      <c r="D55" s="1" t="s">
        <v>340</v>
      </c>
      <c r="E55" s="1">
        <v>0.72</v>
      </c>
      <c r="F55" s="1">
        <v>7</v>
      </c>
      <c r="G55" s="1">
        <v>5</v>
      </c>
      <c r="I55" s="58" t="str">
        <f t="shared" si="0"/>
        <v>Keighley Tree Services</v>
      </c>
    </row>
    <row r="56" spans="2:9" ht="15.75" customHeight="1" x14ac:dyDescent="0.2">
      <c r="C56" s="1" t="s">
        <v>352</v>
      </c>
      <c r="D56" s="1" t="s">
        <v>334</v>
      </c>
      <c r="E56" s="1">
        <v>1</v>
      </c>
      <c r="F56" s="1">
        <v>4</v>
      </c>
      <c r="G56" s="1">
        <v>4</v>
      </c>
      <c r="I56" s="58" t="str">
        <f t="shared" si="0"/>
        <v>Keighley Tree Services</v>
      </c>
    </row>
    <row r="57" spans="2:9" ht="15.75" customHeight="1" x14ac:dyDescent="0.2">
      <c r="D57" s="1" t="s">
        <v>343</v>
      </c>
      <c r="E57" s="1">
        <v>1</v>
      </c>
      <c r="F57" s="1">
        <v>4</v>
      </c>
      <c r="G57" s="1">
        <v>4</v>
      </c>
      <c r="I57" s="58" t="str">
        <f t="shared" si="0"/>
        <v>Keighley Tree Services</v>
      </c>
    </row>
    <row r="58" spans="2:9" ht="15.75" customHeight="1" x14ac:dyDescent="0.2">
      <c r="B58" s="1" t="s">
        <v>128</v>
      </c>
      <c r="C58" s="1" t="s">
        <v>334</v>
      </c>
      <c r="E58" s="1">
        <v>0.35</v>
      </c>
      <c r="F58" s="1">
        <v>106</v>
      </c>
      <c r="G58" s="1">
        <v>37</v>
      </c>
      <c r="H58" s="57">
        <v>41767</v>
      </c>
      <c r="I58" s="58" t="str">
        <f t="shared" si="0"/>
        <v>TRACCS South West LTD</v>
      </c>
    </row>
    <row r="59" spans="2:9" ht="15.75" customHeight="1" x14ac:dyDescent="0.2">
      <c r="C59" s="1" t="s">
        <v>353</v>
      </c>
      <c r="D59" s="1" t="s">
        <v>334</v>
      </c>
      <c r="E59" s="1">
        <v>0.18</v>
      </c>
      <c r="F59" s="1">
        <v>17</v>
      </c>
      <c r="G59" s="1">
        <v>3</v>
      </c>
      <c r="I59" s="58" t="str">
        <f t="shared" si="0"/>
        <v>TRACCS South West LTD</v>
      </c>
    </row>
    <row r="60" spans="2:9" ht="15.75" customHeight="1" x14ac:dyDescent="0.2">
      <c r="D60" s="1" t="s">
        <v>340</v>
      </c>
      <c r="E60" s="1">
        <v>0</v>
      </c>
      <c r="F60" s="1">
        <v>7</v>
      </c>
      <c r="G60" s="1">
        <v>0</v>
      </c>
      <c r="I60" s="58" t="str">
        <f t="shared" si="0"/>
        <v>TRACCS South West LTD</v>
      </c>
    </row>
    <row r="61" spans="2:9" ht="15.75" customHeight="1" x14ac:dyDescent="0.2">
      <c r="D61" s="1" t="s">
        <v>336</v>
      </c>
      <c r="E61" s="1">
        <v>0</v>
      </c>
      <c r="F61" s="1">
        <v>6</v>
      </c>
      <c r="G61" s="1">
        <v>0</v>
      </c>
      <c r="I61" s="58" t="str">
        <f t="shared" si="0"/>
        <v>TRACCS South West LTD</v>
      </c>
    </row>
    <row r="62" spans="2:9" ht="15.75" customHeight="1" x14ac:dyDescent="0.2">
      <c r="D62" s="1" t="s">
        <v>337</v>
      </c>
      <c r="E62" s="1">
        <v>0.75</v>
      </c>
      <c r="F62" s="1">
        <v>4</v>
      </c>
      <c r="G62" s="1">
        <v>3</v>
      </c>
      <c r="I62" s="58" t="str">
        <f t="shared" si="0"/>
        <v>TRACCS South West LTD</v>
      </c>
    </row>
    <row r="63" spans="2:9" ht="15.75" customHeight="1" x14ac:dyDescent="0.2">
      <c r="C63" s="1" t="s">
        <v>354</v>
      </c>
      <c r="D63" s="1" t="s">
        <v>334</v>
      </c>
      <c r="E63" s="1">
        <v>0.18</v>
      </c>
      <c r="F63" s="1">
        <v>17</v>
      </c>
      <c r="G63" s="1">
        <v>3</v>
      </c>
      <c r="I63" s="58" t="str">
        <f t="shared" si="0"/>
        <v>TRACCS South West LTD</v>
      </c>
    </row>
    <row r="64" spans="2:9" ht="15.75" customHeight="1" x14ac:dyDescent="0.2">
      <c r="D64" s="1" t="s">
        <v>336</v>
      </c>
      <c r="E64" s="1">
        <v>0</v>
      </c>
      <c r="F64" s="1">
        <v>6</v>
      </c>
      <c r="G64" s="1">
        <v>0</v>
      </c>
      <c r="I64" s="58" t="str">
        <f t="shared" si="0"/>
        <v>TRACCS South West LTD</v>
      </c>
    </row>
    <row r="65" spans="3:9" ht="15.75" customHeight="1" x14ac:dyDescent="0.2">
      <c r="D65" s="1" t="s">
        <v>340</v>
      </c>
      <c r="E65" s="1">
        <v>0.15</v>
      </c>
      <c r="F65" s="1">
        <v>7</v>
      </c>
      <c r="G65" s="1">
        <v>1</v>
      </c>
      <c r="I65" s="58" t="str">
        <f t="shared" si="0"/>
        <v>TRACCS South West LTD</v>
      </c>
    </row>
    <row r="66" spans="3:9" ht="15.75" customHeight="1" x14ac:dyDescent="0.2">
      <c r="D66" s="1" t="s">
        <v>337</v>
      </c>
      <c r="E66" s="1">
        <v>0.5</v>
      </c>
      <c r="F66" s="1">
        <v>4</v>
      </c>
      <c r="G66" s="1">
        <v>2</v>
      </c>
      <c r="I66" s="58" t="str">
        <f t="shared" si="0"/>
        <v>TRACCS South West LTD</v>
      </c>
    </row>
    <row r="67" spans="3:9" ht="15.75" customHeight="1" x14ac:dyDescent="0.2">
      <c r="C67" s="1" t="s">
        <v>355</v>
      </c>
      <c r="D67" s="1" t="s">
        <v>334</v>
      </c>
      <c r="E67" s="1">
        <v>0.3</v>
      </c>
      <c r="F67" s="1">
        <v>17</v>
      </c>
      <c r="G67" s="1">
        <v>5</v>
      </c>
      <c r="I67" s="58" t="str">
        <f t="shared" si="0"/>
        <v>TRACCS South West LTD</v>
      </c>
    </row>
    <row r="68" spans="3:9" ht="15.75" customHeight="1" x14ac:dyDescent="0.2">
      <c r="D68" s="1" t="s">
        <v>336</v>
      </c>
      <c r="E68" s="1">
        <v>0</v>
      </c>
      <c r="F68" s="1">
        <v>6</v>
      </c>
      <c r="G68" s="1">
        <v>0</v>
      </c>
      <c r="I68" s="58" t="str">
        <f t="shared" si="0"/>
        <v>TRACCS South West LTD</v>
      </c>
    </row>
    <row r="69" spans="3:9" ht="15.75" customHeight="1" x14ac:dyDescent="0.2">
      <c r="D69" s="1" t="s">
        <v>340</v>
      </c>
      <c r="E69" s="1">
        <v>0.15</v>
      </c>
      <c r="F69" s="1">
        <v>7</v>
      </c>
      <c r="G69" s="1">
        <v>1</v>
      </c>
      <c r="I69" s="58" t="str">
        <f t="shared" si="0"/>
        <v>TRACCS South West LTD</v>
      </c>
    </row>
    <row r="70" spans="3:9" ht="15.75" customHeight="1" x14ac:dyDescent="0.2">
      <c r="D70" s="1" t="s">
        <v>337</v>
      </c>
      <c r="E70" s="1">
        <v>1</v>
      </c>
      <c r="F70" s="1">
        <v>4</v>
      </c>
      <c r="G70" s="1">
        <v>4</v>
      </c>
      <c r="I70" s="58" t="str">
        <f t="shared" ref="I70:I133" si="1">IF(B70&lt;&gt;"",B70,I69)</f>
        <v>TRACCS South West LTD</v>
      </c>
    </row>
    <row r="71" spans="3:9" ht="15.75" customHeight="1" x14ac:dyDescent="0.2">
      <c r="C71" s="1" t="s">
        <v>356</v>
      </c>
      <c r="D71" s="1" t="s">
        <v>334</v>
      </c>
      <c r="E71" s="1">
        <v>0.36</v>
      </c>
      <c r="F71" s="1">
        <v>17</v>
      </c>
      <c r="G71" s="1">
        <v>6</v>
      </c>
      <c r="I71" s="58" t="str">
        <f t="shared" si="1"/>
        <v>TRACCS South West LTD</v>
      </c>
    </row>
    <row r="72" spans="3:9" ht="15.75" customHeight="1" x14ac:dyDescent="0.2">
      <c r="D72" s="1" t="s">
        <v>336</v>
      </c>
      <c r="E72" s="1">
        <v>0</v>
      </c>
      <c r="F72" s="1">
        <v>6</v>
      </c>
      <c r="G72" s="1">
        <v>0</v>
      </c>
      <c r="I72" s="58" t="str">
        <f t="shared" si="1"/>
        <v>TRACCS South West LTD</v>
      </c>
    </row>
    <row r="73" spans="3:9" ht="15.75" customHeight="1" x14ac:dyDescent="0.2">
      <c r="D73" s="1" t="s">
        <v>337</v>
      </c>
      <c r="E73" s="1">
        <v>0.5</v>
      </c>
      <c r="F73" s="1">
        <v>4</v>
      </c>
      <c r="G73" s="1">
        <v>2</v>
      </c>
      <c r="I73" s="58" t="str">
        <f t="shared" si="1"/>
        <v>TRACCS South West LTD</v>
      </c>
    </row>
    <row r="74" spans="3:9" ht="15.75" customHeight="1" x14ac:dyDescent="0.2">
      <c r="D74" s="1" t="s">
        <v>340</v>
      </c>
      <c r="E74" s="1">
        <v>0.57999999999999996</v>
      </c>
      <c r="F74" s="1">
        <v>7</v>
      </c>
      <c r="G74" s="1">
        <v>4</v>
      </c>
      <c r="I74" s="58" t="str">
        <f t="shared" si="1"/>
        <v>TRACCS South West LTD</v>
      </c>
    </row>
    <row r="75" spans="3:9" ht="15.75" customHeight="1" x14ac:dyDescent="0.2">
      <c r="C75" s="1" t="s">
        <v>357</v>
      </c>
      <c r="D75" s="1" t="s">
        <v>334</v>
      </c>
      <c r="E75" s="1">
        <v>0.42</v>
      </c>
      <c r="F75" s="1">
        <v>17</v>
      </c>
      <c r="G75" s="1">
        <v>7</v>
      </c>
      <c r="I75" s="58" t="str">
        <f t="shared" si="1"/>
        <v>TRACCS South West LTD</v>
      </c>
    </row>
    <row r="76" spans="3:9" ht="15.75" customHeight="1" x14ac:dyDescent="0.2">
      <c r="D76" s="1" t="s">
        <v>337</v>
      </c>
      <c r="E76" s="1">
        <v>0</v>
      </c>
      <c r="F76" s="1">
        <v>4</v>
      </c>
      <c r="G76" s="1">
        <v>0</v>
      </c>
      <c r="I76" s="58" t="str">
        <f t="shared" si="1"/>
        <v>TRACCS South West LTD</v>
      </c>
    </row>
    <row r="77" spans="3:9" ht="15.75" customHeight="1" x14ac:dyDescent="0.2">
      <c r="D77" s="1" t="s">
        <v>336</v>
      </c>
      <c r="E77" s="1">
        <v>0.5</v>
      </c>
      <c r="F77" s="1">
        <v>6</v>
      </c>
      <c r="G77" s="1">
        <v>3</v>
      </c>
      <c r="I77" s="58" t="str">
        <f t="shared" si="1"/>
        <v>TRACCS South West LTD</v>
      </c>
    </row>
    <row r="78" spans="3:9" ht="15.75" customHeight="1" x14ac:dyDescent="0.2">
      <c r="D78" s="1" t="s">
        <v>340</v>
      </c>
      <c r="E78" s="1">
        <v>0.57999999999999996</v>
      </c>
      <c r="F78" s="1">
        <v>7</v>
      </c>
      <c r="G78" s="1">
        <v>4</v>
      </c>
      <c r="I78" s="58" t="str">
        <f t="shared" si="1"/>
        <v>TRACCS South West LTD</v>
      </c>
    </row>
    <row r="79" spans="3:9" ht="15.75" customHeight="1" x14ac:dyDescent="0.2">
      <c r="C79" s="1" t="s">
        <v>358</v>
      </c>
      <c r="D79" s="1" t="s">
        <v>334</v>
      </c>
      <c r="E79" s="1">
        <v>0.53</v>
      </c>
      <c r="F79" s="1">
        <v>17</v>
      </c>
      <c r="G79" s="1">
        <v>9</v>
      </c>
      <c r="I79" s="58" t="str">
        <f t="shared" si="1"/>
        <v>TRACCS South West LTD</v>
      </c>
    </row>
    <row r="80" spans="3:9" ht="15.75" customHeight="1" x14ac:dyDescent="0.2">
      <c r="D80" s="1" t="s">
        <v>336</v>
      </c>
      <c r="E80" s="1">
        <v>0</v>
      </c>
      <c r="F80" s="1">
        <v>6</v>
      </c>
      <c r="G80" s="1">
        <v>0</v>
      </c>
      <c r="I80" s="58" t="str">
        <f t="shared" si="1"/>
        <v>TRACCS South West LTD</v>
      </c>
    </row>
    <row r="81" spans="2:9" ht="15.75" customHeight="1" x14ac:dyDescent="0.2">
      <c r="D81" s="1" t="s">
        <v>340</v>
      </c>
      <c r="E81" s="1">
        <v>0.72</v>
      </c>
      <c r="F81" s="1">
        <v>7</v>
      </c>
      <c r="G81" s="1">
        <v>5</v>
      </c>
      <c r="I81" s="58" t="str">
        <f t="shared" si="1"/>
        <v>TRACCS South West LTD</v>
      </c>
    </row>
    <row r="82" spans="2:9" ht="15.75" customHeight="1" x14ac:dyDescent="0.2">
      <c r="D82" s="1" t="s">
        <v>337</v>
      </c>
      <c r="E82" s="1">
        <v>1</v>
      </c>
      <c r="F82" s="1">
        <v>4</v>
      </c>
      <c r="G82" s="1">
        <v>4</v>
      </c>
      <c r="I82" s="58" t="str">
        <f t="shared" si="1"/>
        <v>TRACCS South West LTD</v>
      </c>
    </row>
    <row r="83" spans="2:9" ht="15.75" customHeight="1" x14ac:dyDescent="0.2">
      <c r="C83" s="1" t="s">
        <v>128</v>
      </c>
      <c r="D83" s="1" t="s">
        <v>334</v>
      </c>
      <c r="E83" s="1">
        <v>1</v>
      </c>
      <c r="F83" s="1">
        <v>4</v>
      </c>
      <c r="G83" s="1">
        <v>4</v>
      </c>
      <c r="I83" s="58" t="str">
        <f t="shared" si="1"/>
        <v>TRACCS South West LTD</v>
      </c>
    </row>
    <row r="84" spans="2:9" ht="15.75" customHeight="1" x14ac:dyDescent="0.2">
      <c r="D84" s="1" t="s">
        <v>343</v>
      </c>
      <c r="E84" s="1">
        <v>1</v>
      </c>
      <c r="F84" s="1">
        <v>4</v>
      </c>
      <c r="G84" s="1">
        <v>4</v>
      </c>
      <c r="I84" s="58" t="str">
        <f t="shared" si="1"/>
        <v>TRACCS South West LTD</v>
      </c>
    </row>
    <row r="85" spans="2:9" ht="15.75" customHeight="1" x14ac:dyDescent="0.2">
      <c r="B85" s="1" t="s">
        <v>108</v>
      </c>
      <c r="C85" s="1" t="s">
        <v>334</v>
      </c>
      <c r="E85" s="1">
        <v>0.36</v>
      </c>
      <c r="F85" s="1">
        <v>87</v>
      </c>
      <c r="G85" s="1">
        <v>31</v>
      </c>
      <c r="H85" s="57">
        <v>45664</v>
      </c>
      <c r="I85" s="58" t="str">
        <f t="shared" si="1"/>
        <v>George Harris Tree Services</v>
      </c>
    </row>
    <row r="86" spans="2:9" ht="15.75" customHeight="1" x14ac:dyDescent="0.2">
      <c r="C86" s="1" t="s">
        <v>359</v>
      </c>
      <c r="D86" s="1" t="s">
        <v>334</v>
      </c>
      <c r="E86" s="1">
        <v>0</v>
      </c>
      <c r="F86" s="1">
        <v>17</v>
      </c>
      <c r="G86" s="1">
        <v>0</v>
      </c>
      <c r="I86" s="58" t="str">
        <f t="shared" si="1"/>
        <v>George Harris Tree Services</v>
      </c>
    </row>
    <row r="87" spans="2:9" ht="15.75" customHeight="1" x14ac:dyDescent="0.2">
      <c r="D87" s="1" t="s">
        <v>340</v>
      </c>
      <c r="E87" s="1">
        <v>0</v>
      </c>
      <c r="F87" s="1">
        <v>7</v>
      </c>
      <c r="G87" s="1">
        <v>0</v>
      </c>
      <c r="I87" s="58" t="str">
        <f t="shared" si="1"/>
        <v>George Harris Tree Services</v>
      </c>
    </row>
    <row r="88" spans="2:9" ht="15.75" customHeight="1" x14ac:dyDescent="0.2">
      <c r="D88" s="1" t="s">
        <v>336</v>
      </c>
      <c r="E88" s="1">
        <v>0</v>
      </c>
      <c r="F88" s="1">
        <v>6</v>
      </c>
      <c r="G88" s="1">
        <v>0</v>
      </c>
      <c r="I88" s="58" t="str">
        <f t="shared" si="1"/>
        <v>George Harris Tree Services</v>
      </c>
    </row>
    <row r="89" spans="2:9" ht="15.75" customHeight="1" x14ac:dyDescent="0.2">
      <c r="D89" s="1" t="s">
        <v>337</v>
      </c>
      <c r="E89" s="1">
        <v>0</v>
      </c>
      <c r="F89" s="1">
        <v>4</v>
      </c>
      <c r="G89" s="1">
        <v>0</v>
      </c>
      <c r="I89" s="58" t="str">
        <f t="shared" si="1"/>
        <v>George Harris Tree Services</v>
      </c>
    </row>
    <row r="90" spans="2:9" ht="15.75" customHeight="1" x14ac:dyDescent="0.2">
      <c r="C90" s="1" t="s">
        <v>360</v>
      </c>
      <c r="D90" s="1" t="s">
        <v>334</v>
      </c>
      <c r="E90" s="1">
        <v>0</v>
      </c>
      <c r="F90" s="1">
        <v>17</v>
      </c>
      <c r="G90" s="1">
        <v>0</v>
      </c>
      <c r="I90" s="58" t="str">
        <f t="shared" si="1"/>
        <v>George Harris Tree Services</v>
      </c>
    </row>
    <row r="91" spans="2:9" ht="15.75" customHeight="1" x14ac:dyDescent="0.2">
      <c r="D91" s="1" t="s">
        <v>340</v>
      </c>
      <c r="E91" s="1">
        <v>0</v>
      </c>
      <c r="F91" s="1">
        <v>7</v>
      </c>
      <c r="G91" s="1">
        <v>0</v>
      </c>
      <c r="I91" s="58" t="str">
        <f t="shared" si="1"/>
        <v>George Harris Tree Services</v>
      </c>
    </row>
    <row r="92" spans="2:9" ht="15.75" customHeight="1" x14ac:dyDescent="0.2">
      <c r="D92" s="1" t="s">
        <v>336</v>
      </c>
      <c r="E92" s="1">
        <v>0</v>
      </c>
      <c r="F92" s="1">
        <v>6</v>
      </c>
      <c r="G92" s="1">
        <v>0</v>
      </c>
      <c r="I92" s="58" t="str">
        <f t="shared" si="1"/>
        <v>George Harris Tree Services</v>
      </c>
    </row>
    <row r="93" spans="2:9" ht="15.75" customHeight="1" x14ac:dyDescent="0.2">
      <c r="D93" s="1" t="s">
        <v>337</v>
      </c>
      <c r="E93" s="1">
        <v>0</v>
      </c>
      <c r="F93" s="1">
        <v>4</v>
      </c>
      <c r="G93" s="1">
        <v>0</v>
      </c>
      <c r="I93" s="58" t="str">
        <f t="shared" si="1"/>
        <v>George Harris Tree Services</v>
      </c>
    </row>
    <row r="94" spans="2:9" ht="15.75" customHeight="1" x14ac:dyDescent="0.2">
      <c r="C94" s="1" t="s">
        <v>361</v>
      </c>
      <c r="D94" s="1" t="s">
        <v>334</v>
      </c>
      <c r="E94" s="1">
        <v>0.36</v>
      </c>
      <c r="F94" s="1">
        <v>17</v>
      </c>
      <c r="G94" s="1">
        <v>6</v>
      </c>
      <c r="I94" s="58" t="str">
        <f t="shared" si="1"/>
        <v>George Harris Tree Services</v>
      </c>
    </row>
    <row r="95" spans="2:9" ht="15.75" customHeight="1" x14ac:dyDescent="0.2">
      <c r="D95" s="1" t="s">
        <v>336</v>
      </c>
      <c r="E95" s="1">
        <v>0</v>
      </c>
      <c r="F95" s="1">
        <v>6</v>
      </c>
      <c r="G95" s="1">
        <v>0</v>
      </c>
      <c r="I95" s="58" t="str">
        <f t="shared" si="1"/>
        <v>George Harris Tree Services</v>
      </c>
    </row>
    <row r="96" spans="2:9" ht="15.75" customHeight="1" x14ac:dyDescent="0.2">
      <c r="D96" s="1" t="s">
        <v>340</v>
      </c>
      <c r="E96" s="1">
        <v>0.43</v>
      </c>
      <c r="F96" s="1">
        <v>7</v>
      </c>
      <c r="G96" s="1">
        <v>3</v>
      </c>
      <c r="I96" s="58" t="str">
        <f t="shared" si="1"/>
        <v>George Harris Tree Services</v>
      </c>
    </row>
    <row r="97" spans="2:9" ht="15.75" customHeight="1" x14ac:dyDescent="0.2">
      <c r="D97" s="1" t="s">
        <v>337</v>
      </c>
      <c r="E97" s="1">
        <v>0.75</v>
      </c>
      <c r="F97" s="1">
        <v>4</v>
      </c>
      <c r="G97" s="1">
        <v>3</v>
      </c>
      <c r="I97" s="58" t="str">
        <f t="shared" si="1"/>
        <v>George Harris Tree Services</v>
      </c>
    </row>
    <row r="98" spans="2:9" ht="15.75" customHeight="1" x14ac:dyDescent="0.2">
      <c r="C98" s="1" t="s">
        <v>362</v>
      </c>
      <c r="D98" s="1" t="s">
        <v>334</v>
      </c>
      <c r="E98" s="1">
        <v>0.54</v>
      </c>
      <c r="F98" s="1">
        <v>15</v>
      </c>
      <c r="G98" s="1">
        <v>8</v>
      </c>
      <c r="I98" s="58" t="str">
        <f t="shared" si="1"/>
        <v>George Harris Tree Services</v>
      </c>
    </row>
    <row r="99" spans="2:9" ht="15.75" customHeight="1" x14ac:dyDescent="0.2">
      <c r="D99" s="1" t="s">
        <v>336</v>
      </c>
      <c r="E99" s="1">
        <v>0.34</v>
      </c>
      <c r="F99" s="1">
        <v>6</v>
      </c>
      <c r="G99" s="1">
        <v>2</v>
      </c>
      <c r="I99" s="58" t="str">
        <f t="shared" si="1"/>
        <v>George Harris Tree Services</v>
      </c>
    </row>
    <row r="100" spans="2:9" ht="15.75" customHeight="1" x14ac:dyDescent="0.2">
      <c r="D100" s="1" t="s">
        <v>337</v>
      </c>
      <c r="E100" s="1">
        <v>0.5</v>
      </c>
      <c r="F100" s="1">
        <v>4</v>
      </c>
      <c r="G100" s="1">
        <v>2</v>
      </c>
      <c r="I100" s="58" t="str">
        <f t="shared" si="1"/>
        <v>George Harris Tree Services</v>
      </c>
    </row>
    <row r="101" spans="2:9" ht="15.75" customHeight="1" x14ac:dyDescent="0.2">
      <c r="D101" s="1" t="s">
        <v>338</v>
      </c>
      <c r="E101" s="1">
        <v>0.8</v>
      </c>
      <c r="F101" s="1">
        <v>5</v>
      </c>
      <c r="G101" s="1">
        <v>4</v>
      </c>
      <c r="I101" s="58" t="str">
        <f t="shared" si="1"/>
        <v>George Harris Tree Services</v>
      </c>
    </row>
    <row r="102" spans="2:9" ht="15.75" customHeight="1" x14ac:dyDescent="0.2">
      <c r="C102" s="1" t="s">
        <v>363</v>
      </c>
      <c r="D102" s="1" t="s">
        <v>334</v>
      </c>
      <c r="E102" s="1">
        <v>0.75</v>
      </c>
      <c r="F102" s="1">
        <v>4</v>
      </c>
      <c r="G102" s="1">
        <v>3</v>
      </c>
      <c r="I102" s="58" t="str">
        <f t="shared" si="1"/>
        <v>George Harris Tree Services</v>
      </c>
    </row>
    <row r="103" spans="2:9" ht="15.75" customHeight="1" x14ac:dyDescent="0.2">
      <c r="D103" s="1" t="s">
        <v>343</v>
      </c>
      <c r="E103" s="1">
        <v>0.75</v>
      </c>
      <c r="F103" s="1">
        <v>4</v>
      </c>
      <c r="G103" s="1">
        <v>3</v>
      </c>
      <c r="I103" s="58" t="str">
        <f t="shared" si="1"/>
        <v>George Harris Tree Services</v>
      </c>
    </row>
    <row r="104" spans="2:9" ht="15.75" customHeight="1" x14ac:dyDescent="0.2">
      <c r="C104" s="1" t="s">
        <v>364</v>
      </c>
      <c r="D104" s="1" t="s">
        <v>334</v>
      </c>
      <c r="E104" s="1">
        <v>0.83</v>
      </c>
      <c r="F104" s="1">
        <v>17</v>
      </c>
      <c r="G104" s="1">
        <v>14</v>
      </c>
      <c r="I104" s="58" t="str">
        <f t="shared" si="1"/>
        <v>George Harris Tree Services</v>
      </c>
    </row>
    <row r="105" spans="2:9" ht="15.75" customHeight="1" x14ac:dyDescent="0.2">
      <c r="D105" s="1" t="s">
        <v>336</v>
      </c>
      <c r="E105" s="1">
        <v>0.67</v>
      </c>
      <c r="F105" s="1">
        <v>6</v>
      </c>
      <c r="G105" s="1">
        <v>4</v>
      </c>
      <c r="I105" s="58" t="str">
        <f t="shared" si="1"/>
        <v>George Harris Tree Services</v>
      </c>
    </row>
    <row r="106" spans="2:9" ht="15.75" customHeight="1" x14ac:dyDescent="0.2">
      <c r="D106" s="1" t="s">
        <v>340</v>
      </c>
      <c r="E106" s="1">
        <v>0.86</v>
      </c>
      <c r="F106" s="1">
        <v>7</v>
      </c>
      <c r="G106" s="1">
        <v>6</v>
      </c>
      <c r="I106" s="58" t="str">
        <f t="shared" si="1"/>
        <v>George Harris Tree Services</v>
      </c>
    </row>
    <row r="107" spans="2:9" ht="15.75" customHeight="1" x14ac:dyDescent="0.2">
      <c r="D107" s="1" t="s">
        <v>337</v>
      </c>
      <c r="E107" s="1">
        <v>1</v>
      </c>
      <c r="F107" s="1">
        <v>4</v>
      </c>
      <c r="G107" s="1">
        <v>4</v>
      </c>
      <c r="I107" s="58" t="str">
        <f t="shared" si="1"/>
        <v>George Harris Tree Services</v>
      </c>
    </row>
    <row r="108" spans="2:9" ht="15.75" customHeight="1" x14ac:dyDescent="0.2">
      <c r="B108" s="1" t="s">
        <v>196</v>
      </c>
      <c r="C108" s="1" t="s">
        <v>334</v>
      </c>
      <c r="E108" s="1">
        <v>0.37</v>
      </c>
      <c r="F108" s="1">
        <v>312</v>
      </c>
      <c r="G108" s="1">
        <v>114</v>
      </c>
      <c r="H108" s="57">
        <v>44252</v>
      </c>
      <c r="I108" s="58" t="str">
        <f t="shared" si="1"/>
        <v>Rother Valley Tree Services Ltd</v>
      </c>
    </row>
    <row r="109" spans="2:9" ht="15.75" customHeight="1" x14ac:dyDescent="0.2">
      <c r="C109" s="1" t="s">
        <v>365</v>
      </c>
      <c r="D109" s="1" t="s">
        <v>334</v>
      </c>
      <c r="E109" s="1">
        <v>0.06</v>
      </c>
      <c r="F109" s="1">
        <v>17</v>
      </c>
      <c r="G109" s="1">
        <v>1</v>
      </c>
      <c r="I109" s="58" t="str">
        <f t="shared" si="1"/>
        <v>Rother Valley Tree Services Ltd</v>
      </c>
    </row>
    <row r="110" spans="2:9" ht="15.75" customHeight="1" x14ac:dyDescent="0.2">
      <c r="D110" s="1" t="s">
        <v>336</v>
      </c>
      <c r="E110" s="1">
        <v>0</v>
      </c>
      <c r="F110" s="1">
        <v>6</v>
      </c>
      <c r="G110" s="1">
        <v>0</v>
      </c>
      <c r="I110" s="58" t="str">
        <f t="shared" si="1"/>
        <v>Rother Valley Tree Services Ltd</v>
      </c>
    </row>
    <row r="111" spans="2:9" ht="15.75" customHeight="1" x14ac:dyDescent="0.2">
      <c r="D111" s="1" t="s">
        <v>337</v>
      </c>
      <c r="E111" s="1">
        <v>0</v>
      </c>
      <c r="F111" s="1">
        <v>4</v>
      </c>
      <c r="G111" s="1">
        <v>0</v>
      </c>
      <c r="I111" s="58" t="str">
        <f t="shared" si="1"/>
        <v>Rother Valley Tree Services Ltd</v>
      </c>
    </row>
    <row r="112" spans="2:9" ht="15.75" customHeight="1" x14ac:dyDescent="0.2">
      <c r="D112" s="1" t="s">
        <v>340</v>
      </c>
      <c r="E112" s="1">
        <v>0.15</v>
      </c>
      <c r="F112" s="1">
        <v>7</v>
      </c>
      <c r="G112" s="1">
        <v>1</v>
      </c>
      <c r="I112" s="58" t="str">
        <f t="shared" si="1"/>
        <v>Rother Valley Tree Services Ltd</v>
      </c>
    </row>
    <row r="113" spans="3:9" ht="15.75" customHeight="1" x14ac:dyDescent="0.2">
      <c r="C113" s="1" t="s">
        <v>366</v>
      </c>
      <c r="D113" s="1" t="s">
        <v>334</v>
      </c>
      <c r="E113" s="1">
        <v>0.06</v>
      </c>
      <c r="F113" s="1">
        <v>17</v>
      </c>
      <c r="G113" s="1">
        <v>1</v>
      </c>
      <c r="I113" s="58" t="str">
        <f t="shared" si="1"/>
        <v>Rother Valley Tree Services Ltd</v>
      </c>
    </row>
    <row r="114" spans="3:9" ht="15.75" customHeight="1" x14ac:dyDescent="0.2">
      <c r="D114" s="1" t="s">
        <v>340</v>
      </c>
      <c r="E114" s="1">
        <v>0</v>
      </c>
      <c r="F114" s="1">
        <v>7</v>
      </c>
      <c r="G114" s="1">
        <v>0</v>
      </c>
      <c r="I114" s="58" t="str">
        <f t="shared" si="1"/>
        <v>Rother Valley Tree Services Ltd</v>
      </c>
    </row>
    <row r="115" spans="3:9" ht="15.75" customHeight="1" x14ac:dyDescent="0.2">
      <c r="D115" s="1" t="s">
        <v>337</v>
      </c>
      <c r="E115" s="1">
        <v>0</v>
      </c>
      <c r="F115" s="1">
        <v>4</v>
      </c>
      <c r="G115" s="1">
        <v>0</v>
      </c>
      <c r="I115" s="58" t="str">
        <f t="shared" si="1"/>
        <v>Rother Valley Tree Services Ltd</v>
      </c>
    </row>
    <row r="116" spans="3:9" ht="15.75" customHeight="1" x14ac:dyDescent="0.2">
      <c r="D116" s="1" t="s">
        <v>336</v>
      </c>
      <c r="E116" s="1">
        <v>0.17</v>
      </c>
      <c r="F116" s="1">
        <v>6</v>
      </c>
      <c r="G116" s="1">
        <v>1</v>
      </c>
      <c r="I116" s="58" t="str">
        <f t="shared" si="1"/>
        <v>Rother Valley Tree Services Ltd</v>
      </c>
    </row>
    <row r="117" spans="3:9" ht="15.75" customHeight="1" x14ac:dyDescent="0.2">
      <c r="C117" s="1" t="s">
        <v>367</v>
      </c>
      <c r="D117" s="1" t="s">
        <v>334</v>
      </c>
      <c r="E117" s="1">
        <v>0.06</v>
      </c>
      <c r="F117" s="1">
        <v>17</v>
      </c>
      <c r="G117" s="1">
        <v>1</v>
      </c>
      <c r="I117" s="58" t="str">
        <f t="shared" si="1"/>
        <v>Rother Valley Tree Services Ltd</v>
      </c>
    </row>
    <row r="118" spans="3:9" ht="15.75" customHeight="1" x14ac:dyDescent="0.2">
      <c r="D118" s="1" t="s">
        <v>340</v>
      </c>
      <c r="E118" s="1">
        <v>0</v>
      </c>
      <c r="F118" s="1">
        <v>7</v>
      </c>
      <c r="G118" s="1">
        <v>0</v>
      </c>
      <c r="I118" s="58" t="str">
        <f t="shared" si="1"/>
        <v>Rother Valley Tree Services Ltd</v>
      </c>
    </row>
    <row r="119" spans="3:9" ht="15.75" customHeight="1" x14ac:dyDescent="0.2">
      <c r="D119" s="1" t="s">
        <v>337</v>
      </c>
      <c r="E119" s="1">
        <v>0</v>
      </c>
      <c r="F119" s="1">
        <v>4</v>
      </c>
      <c r="G119" s="1">
        <v>0</v>
      </c>
      <c r="I119" s="58" t="str">
        <f t="shared" si="1"/>
        <v>Rother Valley Tree Services Ltd</v>
      </c>
    </row>
    <row r="120" spans="3:9" ht="15.75" customHeight="1" x14ac:dyDescent="0.2">
      <c r="D120" s="1" t="s">
        <v>336</v>
      </c>
      <c r="E120" s="1">
        <v>0.17</v>
      </c>
      <c r="F120" s="1">
        <v>6</v>
      </c>
      <c r="G120" s="1">
        <v>1</v>
      </c>
      <c r="I120" s="58" t="str">
        <f t="shared" si="1"/>
        <v>Rother Valley Tree Services Ltd</v>
      </c>
    </row>
    <row r="121" spans="3:9" ht="15.75" customHeight="1" x14ac:dyDescent="0.2">
      <c r="C121" s="1" t="s">
        <v>368</v>
      </c>
      <c r="D121" s="1" t="s">
        <v>334</v>
      </c>
      <c r="E121" s="1">
        <v>0.18</v>
      </c>
      <c r="F121" s="1">
        <v>17</v>
      </c>
      <c r="G121" s="1">
        <v>3</v>
      </c>
      <c r="I121" s="58" t="str">
        <f t="shared" si="1"/>
        <v>Rother Valley Tree Services Ltd</v>
      </c>
    </row>
    <row r="122" spans="3:9" ht="15.75" customHeight="1" x14ac:dyDescent="0.2">
      <c r="D122" s="1" t="s">
        <v>336</v>
      </c>
      <c r="E122" s="1">
        <v>0</v>
      </c>
      <c r="F122" s="1">
        <v>6</v>
      </c>
      <c r="G122" s="1">
        <v>0</v>
      </c>
      <c r="I122" s="58" t="str">
        <f t="shared" si="1"/>
        <v>Rother Valley Tree Services Ltd</v>
      </c>
    </row>
    <row r="123" spans="3:9" ht="15.75" customHeight="1" x14ac:dyDescent="0.2">
      <c r="D123" s="1" t="s">
        <v>340</v>
      </c>
      <c r="E123" s="1">
        <v>0.15</v>
      </c>
      <c r="F123" s="1">
        <v>7</v>
      </c>
      <c r="G123" s="1">
        <v>1</v>
      </c>
      <c r="I123" s="58" t="str">
        <f t="shared" si="1"/>
        <v>Rother Valley Tree Services Ltd</v>
      </c>
    </row>
    <row r="124" spans="3:9" ht="15.75" customHeight="1" x14ac:dyDescent="0.2">
      <c r="D124" s="1" t="s">
        <v>337</v>
      </c>
      <c r="E124" s="1">
        <v>0.5</v>
      </c>
      <c r="F124" s="1">
        <v>4</v>
      </c>
      <c r="G124" s="1">
        <v>2</v>
      </c>
      <c r="I124" s="58" t="str">
        <f t="shared" si="1"/>
        <v>Rother Valley Tree Services Ltd</v>
      </c>
    </row>
    <row r="125" spans="3:9" ht="15.75" customHeight="1" x14ac:dyDescent="0.2">
      <c r="C125" s="1" t="s">
        <v>369</v>
      </c>
      <c r="D125" s="1" t="s">
        <v>334</v>
      </c>
      <c r="E125" s="1">
        <v>0.24</v>
      </c>
      <c r="F125" s="1">
        <v>17</v>
      </c>
      <c r="G125" s="1">
        <v>4</v>
      </c>
      <c r="I125" s="58" t="str">
        <f t="shared" si="1"/>
        <v>Rother Valley Tree Services Ltd</v>
      </c>
    </row>
    <row r="126" spans="3:9" ht="15.75" customHeight="1" x14ac:dyDescent="0.2">
      <c r="D126" s="1" t="s">
        <v>336</v>
      </c>
      <c r="E126" s="1">
        <v>0</v>
      </c>
      <c r="F126" s="1">
        <v>6</v>
      </c>
      <c r="G126" s="1">
        <v>0</v>
      </c>
      <c r="I126" s="58" t="str">
        <f t="shared" si="1"/>
        <v>Rother Valley Tree Services Ltd</v>
      </c>
    </row>
    <row r="127" spans="3:9" ht="15.75" customHeight="1" x14ac:dyDescent="0.2">
      <c r="D127" s="1" t="s">
        <v>340</v>
      </c>
      <c r="E127" s="1">
        <v>0.28999999999999998</v>
      </c>
      <c r="F127" s="1">
        <v>7</v>
      </c>
      <c r="G127" s="1">
        <v>2</v>
      </c>
      <c r="I127" s="58" t="str">
        <f t="shared" si="1"/>
        <v>Rother Valley Tree Services Ltd</v>
      </c>
    </row>
    <row r="128" spans="3:9" ht="15.75" customHeight="1" x14ac:dyDescent="0.2">
      <c r="D128" s="1" t="s">
        <v>337</v>
      </c>
      <c r="E128" s="1">
        <v>0.5</v>
      </c>
      <c r="F128" s="1">
        <v>4</v>
      </c>
      <c r="G128" s="1">
        <v>2</v>
      </c>
      <c r="I128" s="58" t="str">
        <f t="shared" si="1"/>
        <v>Rother Valley Tree Services Ltd</v>
      </c>
    </row>
    <row r="129" spans="3:9" ht="15.75" customHeight="1" x14ac:dyDescent="0.2">
      <c r="C129" s="1" t="s">
        <v>370</v>
      </c>
      <c r="D129" s="1" t="s">
        <v>334</v>
      </c>
      <c r="E129" s="1">
        <v>0.24</v>
      </c>
      <c r="F129" s="1">
        <v>17</v>
      </c>
      <c r="G129" s="1">
        <v>4</v>
      </c>
      <c r="I129" s="58" t="str">
        <f t="shared" si="1"/>
        <v>Rother Valley Tree Services Ltd</v>
      </c>
    </row>
    <row r="130" spans="3:9" ht="15.75" customHeight="1" x14ac:dyDescent="0.2">
      <c r="D130" s="1" t="s">
        <v>336</v>
      </c>
      <c r="E130" s="1">
        <v>0</v>
      </c>
      <c r="F130" s="1">
        <v>6</v>
      </c>
      <c r="G130" s="1">
        <v>0</v>
      </c>
      <c r="I130" s="58" t="str">
        <f t="shared" si="1"/>
        <v>Rother Valley Tree Services Ltd</v>
      </c>
    </row>
    <row r="131" spans="3:9" ht="15.75" customHeight="1" x14ac:dyDescent="0.2">
      <c r="D131" s="1" t="s">
        <v>340</v>
      </c>
      <c r="E131" s="1">
        <v>0.28999999999999998</v>
      </c>
      <c r="F131" s="1">
        <v>7</v>
      </c>
      <c r="G131" s="1">
        <v>2</v>
      </c>
      <c r="I131" s="58" t="str">
        <f t="shared" si="1"/>
        <v>Rother Valley Tree Services Ltd</v>
      </c>
    </row>
    <row r="132" spans="3:9" ht="15.75" customHeight="1" x14ac:dyDescent="0.2">
      <c r="D132" s="1" t="s">
        <v>337</v>
      </c>
      <c r="E132" s="1">
        <v>0.5</v>
      </c>
      <c r="F132" s="1">
        <v>4</v>
      </c>
      <c r="G132" s="1">
        <v>2</v>
      </c>
      <c r="I132" s="58" t="str">
        <f t="shared" si="1"/>
        <v>Rother Valley Tree Services Ltd</v>
      </c>
    </row>
    <row r="133" spans="3:9" ht="15.75" customHeight="1" x14ac:dyDescent="0.2">
      <c r="C133" s="1" t="s">
        <v>371</v>
      </c>
      <c r="D133" s="1" t="s">
        <v>334</v>
      </c>
      <c r="E133" s="1">
        <v>0.3</v>
      </c>
      <c r="F133" s="1">
        <v>17</v>
      </c>
      <c r="G133" s="1">
        <v>5</v>
      </c>
      <c r="I133" s="58" t="str">
        <f t="shared" si="1"/>
        <v>Rother Valley Tree Services Ltd</v>
      </c>
    </row>
    <row r="134" spans="3:9" ht="15.75" customHeight="1" x14ac:dyDescent="0.2">
      <c r="D134" s="1" t="s">
        <v>336</v>
      </c>
      <c r="E134" s="1">
        <v>0</v>
      </c>
      <c r="F134" s="1">
        <v>6</v>
      </c>
      <c r="G134" s="1">
        <v>0</v>
      </c>
      <c r="I134" s="58" t="str">
        <f t="shared" ref="I134:I197" si="2">IF(B134&lt;&gt;"",B134,I133)</f>
        <v>Rother Valley Tree Services Ltd</v>
      </c>
    </row>
    <row r="135" spans="3:9" ht="15.75" customHeight="1" x14ac:dyDescent="0.2">
      <c r="D135" s="1" t="s">
        <v>340</v>
      </c>
      <c r="E135" s="1">
        <v>0.43</v>
      </c>
      <c r="F135" s="1">
        <v>7</v>
      </c>
      <c r="G135" s="1">
        <v>3</v>
      </c>
      <c r="I135" s="58" t="str">
        <f t="shared" si="2"/>
        <v>Rother Valley Tree Services Ltd</v>
      </c>
    </row>
    <row r="136" spans="3:9" ht="15.75" customHeight="1" x14ac:dyDescent="0.2">
      <c r="D136" s="1" t="s">
        <v>337</v>
      </c>
      <c r="E136" s="1">
        <v>0.5</v>
      </c>
      <c r="F136" s="1">
        <v>4</v>
      </c>
      <c r="G136" s="1">
        <v>2</v>
      </c>
      <c r="I136" s="58" t="str">
        <f t="shared" si="2"/>
        <v>Rother Valley Tree Services Ltd</v>
      </c>
    </row>
    <row r="137" spans="3:9" ht="15.75" customHeight="1" x14ac:dyDescent="0.2">
      <c r="C137" s="1" t="s">
        <v>372</v>
      </c>
      <c r="D137" s="1" t="s">
        <v>334</v>
      </c>
      <c r="E137" s="1">
        <v>0.36</v>
      </c>
      <c r="F137" s="1">
        <v>17</v>
      </c>
      <c r="G137" s="1">
        <v>6</v>
      </c>
      <c r="I137" s="58" t="str">
        <f t="shared" si="2"/>
        <v>Rother Valley Tree Services Ltd</v>
      </c>
    </row>
    <row r="138" spans="3:9" ht="15.75" customHeight="1" x14ac:dyDescent="0.2">
      <c r="D138" s="1" t="s">
        <v>337</v>
      </c>
      <c r="E138" s="1">
        <v>0</v>
      </c>
      <c r="F138" s="1">
        <v>4</v>
      </c>
      <c r="G138" s="1">
        <v>0</v>
      </c>
      <c r="I138" s="58" t="str">
        <f t="shared" si="2"/>
        <v>Rother Valley Tree Services Ltd</v>
      </c>
    </row>
    <row r="139" spans="3:9" ht="15.75" customHeight="1" x14ac:dyDescent="0.2">
      <c r="D139" s="1" t="s">
        <v>340</v>
      </c>
      <c r="E139" s="1">
        <v>0.15</v>
      </c>
      <c r="F139" s="1">
        <v>7</v>
      </c>
      <c r="G139" s="1">
        <v>1</v>
      </c>
      <c r="I139" s="58" t="str">
        <f t="shared" si="2"/>
        <v>Rother Valley Tree Services Ltd</v>
      </c>
    </row>
    <row r="140" spans="3:9" ht="15.75" customHeight="1" x14ac:dyDescent="0.2">
      <c r="D140" s="1" t="s">
        <v>336</v>
      </c>
      <c r="E140" s="1">
        <v>0.84</v>
      </c>
      <c r="F140" s="1">
        <v>6</v>
      </c>
      <c r="G140" s="1">
        <v>5</v>
      </c>
      <c r="I140" s="58" t="str">
        <f t="shared" si="2"/>
        <v>Rother Valley Tree Services Ltd</v>
      </c>
    </row>
    <row r="141" spans="3:9" ht="15.75" customHeight="1" x14ac:dyDescent="0.2">
      <c r="C141" s="1" t="s">
        <v>373</v>
      </c>
      <c r="D141" s="1" t="s">
        <v>334</v>
      </c>
      <c r="E141" s="1">
        <v>0.36</v>
      </c>
      <c r="F141" s="1">
        <v>17</v>
      </c>
      <c r="G141" s="1">
        <v>6</v>
      </c>
      <c r="I141" s="58" t="str">
        <f t="shared" si="2"/>
        <v>Rother Valley Tree Services Ltd</v>
      </c>
    </row>
    <row r="142" spans="3:9" ht="15.75" customHeight="1" x14ac:dyDescent="0.2">
      <c r="D142" s="1" t="s">
        <v>340</v>
      </c>
      <c r="E142" s="1">
        <v>0.15</v>
      </c>
      <c r="F142" s="1">
        <v>7</v>
      </c>
      <c r="G142" s="1">
        <v>1</v>
      </c>
      <c r="I142" s="58" t="str">
        <f t="shared" si="2"/>
        <v>Rother Valley Tree Services Ltd</v>
      </c>
    </row>
    <row r="143" spans="3:9" ht="15.75" customHeight="1" x14ac:dyDescent="0.2">
      <c r="D143" s="1" t="s">
        <v>337</v>
      </c>
      <c r="E143" s="1">
        <v>0.25</v>
      </c>
      <c r="F143" s="1">
        <v>4</v>
      </c>
      <c r="G143" s="1">
        <v>1</v>
      </c>
      <c r="I143" s="58" t="str">
        <f t="shared" si="2"/>
        <v>Rother Valley Tree Services Ltd</v>
      </c>
    </row>
    <row r="144" spans="3:9" ht="15.75" customHeight="1" x14ac:dyDescent="0.2">
      <c r="D144" s="1" t="s">
        <v>336</v>
      </c>
      <c r="E144" s="1">
        <v>0.67</v>
      </c>
      <c r="F144" s="1">
        <v>6</v>
      </c>
      <c r="G144" s="1">
        <v>4</v>
      </c>
      <c r="I144" s="58" t="str">
        <f t="shared" si="2"/>
        <v>Rother Valley Tree Services Ltd</v>
      </c>
    </row>
    <row r="145" spans="3:9" ht="15.75" customHeight="1" x14ac:dyDescent="0.2">
      <c r="C145" s="1" t="s">
        <v>374</v>
      </c>
      <c r="D145" s="1" t="s">
        <v>334</v>
      </c>
      <c r="E145" s="1">
        <v>0.37</v>
      </c>
      <c r="F145" s="1">
        <v>11</v>
      </c>
      <c r="G145" s="1">
        <v>4</v>
      </c>
      <c r="I145" s="58" t="str">
        <f t="shared" si="2"/>
        <v>Rother Valley Tree Services Ltd</v>
      </c>
    </row>
    <row r="146" spans="3:9" ht="15.75" customHeight="1" x14ac:dyDescent="0.2">
      <c r="D146" s="1" t="s">
        <v>338</v>
      </c>
      <c r="E146" s="1">
        <v>0</v>
      </c>
      <c r="F146" s="1">
        <v>5</v>
      </c>
      <c r="G146" s="1">
        <v>0</v>
      </c>
      <c r="I146" s="58" t="str">
        <f t="shared" si="2"/>
        <v>Rother Valley Tree Services Ltd</v>
      </c>
    </row>
    <row r="147" spans="3:9" ht="15.75" customHeight="1" x14ac:dyDescent="0.2">
      <c r="D147" s="1" t="s">
        <v>336</v>
      </c>
      <c r="E147" s="1">
        <v>0.67</v>
      </c>
      <c r="F147" s="1">
        <v>6</v>
      </c>
      <c r="G147" s="1">
        <v>4</v>
      </c>
      <c r="I147" s="58" t="str">
        <f t="shared" si="2"/>
        <v>Rother Valley Tree Services Ltd</v>
      </c>
    </row>
    <row r="148" spans="3:9" ht="15.75" customHeight="1" x14ac:dyDescent="0.2">
      <c r="C148" s="1" t="s">
        <v>375</v>
      </c>
      <c r="D148" s="1" t="s">
        <v>334</v>
      </c>
      <c r="E148" s="1">
        <v>0.4</v>
      </c>
      <c r="F148" s="1">
        <v>15</v>
      </c>
      <c r="G148" s="1">
        <v>6</v>
      </c>
      <c r="I148" s="58" t="str">
        <f t="shared" si="2"/>
        <v>Rother Valley Tree Services Ltd</v>
      </c>
    </row>
    <row r="149" spans="3:9" ht="15.75" customHeight="1" x14ac:dyDescent="0.2">
      <c r="D149" s="1" t="s">
        <v>338</v>
      </c>
      <c r="E149" s="1">
        <v>0.2</v>
      </c>
      <c r="F149" s="1">
        <v>5</v>
      </c>
      <c r="G149" s="1">
        <v>1</v>
      </c>
      <c r="I149" s="58" t="str">
        <f t="shared" si="2"/>
        <v>Rother Valley Tree Services Ltd</v>
      </c>
    </row>
    <row r="150" spans="3:9" ht="15.75" customHeight="1" x14ac:dyDescent="0.2">
      <c r="D150" s="1" t="s">
        <v>337</v>
      </c>
      <c r="E150" s="1">
        <v>0.25</v>
      </c>
      <c r="F150" s="1">
        <v>4</v>
      </c>
      <c r="G150" s="1">
        <v>1</v>
      </c>
      <c r="I150" s="58" t="str">
        <f t="shared" si="2"/>
        <v>Rother Valley Tree Services Ltd</v>
      </c>
    </row>
    <row r="151" spans="3:9" ht="15.75" customHeight="1" x14ac:dyDescent="0.2">
      <c r="D151" s="1" t="s">
        <v>336</v>
      </c>
      <c r="E151" s="1">
        <v>0.67</v>
      </c>
      <c r="F151" s="1">
        <v>6</v>
      </c>
      <c r="G151" s="1">
        <v>4</v>
      </c>
      <c r="I151" s="58" t="str">
        <f t="shared" si="2"/>
        <v>Rother Valley Tree Services Ltd</v>
      </c>
    </row>
    <row r="152" spans="3:9" ht="15.75" customHeight="1" x14ac:dyDescent="0.2">
      <c r="C152" s="1" t="s">
        <v>376</v>
      </c>
      <c r="D152" s="1" t="s">
        <v>334</v>
      </c>
      <c r="E152" s="1">
        <v>0.42</v>
      </c>
      <c r="F152" s="1">
        <v>17</v>
      </c>
      <c r="G152" s="1">
        <v>7</v>
      </c>
      <c r="I152" s="58" t="str">
        <f t="shared" si="2"/>
        <v>Rother Valley Tree Services Ltd</v>
      </c>
    </row>
    <row r="153" spans="3:9" ht="15.75" customHeight="1" x14ac:dyDescent="0.2">
      <c r="D153" s="1" t="s">
        <v>336</v>
      </c>
      <c r="E153" s="1">
        <v>0</v>
      </c>
      <c r="F153" s="1">
        <v>6</v>
      </c>
      <c r="G153" s="1">
        <v>0</v>
      </c>
      <c r="I153" s="58" t="str">
        <f t="shared" si="2"/>
        <v>Rother Valley Tree Services Ltd</v>
      </c>
    </row>
    <row r="154" spans="3:9" ht="15.75" customHeight="1" x14ac:dyDescent="0.2">
      <c r="D154" s="1" t="s">
        <v>340</v>
      </c>
      <c r="E154" s="1">
        <v>0.43</v>
      </c>
      <c r="F154" s="1">
        <v>7</v>
      </c>
      <c r="G154" s="1">
        <v>3</v>
      </c>
      <c r="I154" s="58" t="str">
        <f t="shared" si="2"/>
        <v>Rother Valley Tree Services Ltd</v>
      </c>
    </row>
    <row r="155" spans="3:9" ht="15.75" customHeight="1" x14ac:dyDescent="0.2">
      <c r="D155" s="1" t="s">
        <v>337</v>
      </c>
      <c r="E155" s="1">
        <v>1</v>
      </c>
      <c r="F155" s="1">
        <v>4</v>
      </c>
      <c r="G155" s="1">
        <v>4</v>
      </c>
      <c r="I155" s="58" t="str">
        <f t="shared" si="2"/>
        <v>Rother Valley Tree Services Ltd</v>
      </c>
    </row>
    <row r="156" spans="3:9" ht="15.75" customHeight="1" x14ac:dyDescent="0.2">
      <c r="C156" s="1" t="s">
        <v>377</v>
      </c>
      <c r="D156" s="1" t="s">
        <v>334</v>
      </c>
      <c r="E156" s="1">
        <v>0.42</v>
      </c>
      <c r="F156" s="1">
        <v>17</v>
      </c>
      <c r="G156" s="1">
        <v>7</v>
      </c>
      <c r="I156" s="58" t="str">
        <f t="shared" si="2"/>
        <v>Rother Valley Tree Services Ltd</v>
      </c>
    </row>
    <row r="157" spans="3:9" ht="15.75" customHeight="1" x14ac:dyDescent="0.2">
      <c r="D157" s="1" t="s">
        <v>336</v>
      </c>
      <c r="E157" s="1">
        <v>0</v>
      </c>
      <c r="F157" s="1">
        <v>6</v>
      </c>
      <c r="G157" s="1">
        <v>0</v>
      </c>
      <c r="I157" s="58" t="str">
        <f t="shared" si="2"/>
        <v>Rother Valley Tree Services Ltd</v>
      </c>
    </row>
    <row r="158" spans="3:9" ht="15.75" customHeight="1" x14ac:dyDescent="0.2">
      <c r="D158" s="1" t="s">
        <v>340</v>
      </c>
      <c r="E158" s="1">
        <v>0.43</v>
      </c>
      <c r="F158" s="1">
        <v>7</v>
      </c>
      <c r="G158" s="1">
        <v>3</v>
      </c>
      <c r="I158" s="58" t="str">
        <f t="shared" si="2"/>
        <v>Rother Valley Tree Services Ltd</v>
      </c>
    </row>
    <row r="159" spans="3:9" ht="15.75" customHeight="1" x14ac:dyDescent="0.2">
      <c r="D159" s="1" t="s">
        <v>337</v>
      </c>
      <c r="E159" s="1">
        <v>1</v>
      </c>
      <c r="F159" s="1">
        <v>4</v>
      </c>
      <c r="G159" s="1">
        <v>4</v>
      </c>
      <c r="I159" s="58" t="str">
        <f t="shared" si="2"/>
        <v>Rother Valley Tree Services Ltd</v>
      </c>
    </row>
    <row r="160" spans="3:9" ht="15.75" customHeight="1" x14ac:dyDescent="0.2">
      <c r="C160" s="1" t="s">
        <v>378</v>
      </c>
      <c r="D160" s="1" t="s">
        <v>334</v>
      </c>
      <c r="E160" s="1">
        <v>0.46</v>
      </c>
      <c r="F160" s="1">
        <v>22</v>
      </c>
      <c r="G160" s="1">
        <v>10</v>
      </c>
      <c r="I160" s="58" t="str">
        <f t="shared" si="2"/>
        <v>Rother Valley Tree Services Ltd</v>
      </c>
    </row>
    <row r="161" spans="3:9" ht="15.75" customHeight="1" x14ac:dyDescent="0.2">
      <c r="D161" s="1" t="s">
        <v>337</v>
      </c>
      <c r="E161" s="1">
        <v>0</v>
      </c>
      <c r="F161" s="1">
        <v>4</v>
      </c>
      <c r="G161" s="1">
        <v>0</v>
      </c>
      <c r="I161" s="58" t="str">
        <f t="shared" si="2"/>
        <v>Rother Valley Tree Services Ltd</v>
      </c>
    </row>
    <row r="162" spans="3:9" ht="15.75" customHeight="1" x14ac:dyDescent="0.2">
      <c r="D162" s="1" t="s">
        <v>338</v>
      </c>
      <c r="E162" s="1">
        <v>0.4</v>
      </c>
      <c r="F162" s="1">
        <v>5</v>
      </c>
      <c r="G162" s="1">
        <v>2</v>
      </c>
      <c r="I162" s="58" t="str">
        <f t="shared" si="2"/>
        <v>Rother Valley Tree Services Ltd</v>
      </c>
    </row>
    <row r="163" spans="3:9" ht="15.75" customHeight="1" x14ac:dyDescent="0.2">
      <c r="D163" s="1" t="s">
        <v>340</v>
      </c>
      <c r="E163" s="1">
        <v>0.57999999999999996</v>
      </c>
      <c r="F163" s="1">
        <v>7</v>
      </c>
      <c r="G163" s="1">
        <v>4</v>
      </c>
      <c r="I163" s="58" t="str">
        <f t="shared" si="2"/>
        <v>Rother Valley Tree Services Ltd</v>
      </c>
    </row>
    <row r="164" spans="3:9" ht="15.75" customHeight="1" x14ac:dyDescent="0.2">
      <c r="D164" s="1" t="s">
        <v>336</v>
      </c>
      <c r="E164" s="1">
        <v>0.67</v>
      </c>
      <c r="F164" s="1">
        <v>6</v>
      </c>
      <c r="G164" s="1">
        <v>4</v>
      </c>
      <c r="I164" s="58" t="str">
        <f t="shared" si="2"/>
        <v>Rother Valley Tree Services Ltd</v>
      </c>
    </row>
    <row r="165" spans="3:9" ht="15.75" customHeight="1" x14ac:dyDescent="0.2">
      <c r="C165" s="1" t="s">
        <v>379</v>
      </c>
      <c r="D165" s="1" t="s">
        <v>334</v>
      </c>
      <c r="E165" s="1">
        <v>0.47</v>
      </c>
      <c r="F165" s="1">
        <v>15</v>
      </c>
      <c r="G165" s="1">
        <v>7</v>
      </c>
      <c r="I165" s="58" t="str">
        <f t="shared" si="2"/>
        <v>Rother Valley Tree Services Ltd</v>
      </c>
    </row>
    <row r="166" spans="3:9" ht="15.75" customHeight="1" x14ac:dyDescent="0.2">
      <c r="D166" s="1" t="s">
        <v>337</v>
      </c>
      <c r="E166" s="1">
        <v>0.25</v>
      </c>
      <c r="F166" s="1">
        <v>4</v>
      </c>
      <c r="G166" s="1">
        <v>1</v>
      </c>
      <c r="I166" s="58" t="str">
        <f t="shared" si="2"/>
        <v>Rother Valley Tree Services Ltd</v>
      </c>
    </row>
    <row r="167" spans="3:9" ht="15.75" customHeight="1" x14ac:dyDescent="0.2">
      <c r="D167" s="1" t="s">
        <v>338</v>
      </c>
      <c r="E167" s="1">
        <v>0.4</v>
      </c>
      <c r="F167" s="1">
        <v>5</v>
      </c>
      <c r="G167" s="1">
        <v>2</v>
      </c>
      <c r="I167" s="58" t="str">
        <f t="shared" si="2"/>
        <v>Rother Valley Tree Services Ltd</v>
      </c>
    </row>
    <row r="168" spans="3:9" ht="15.75" customHeight="1" x14ac:dyDescent="0.2">
      <c r="D168" s="1" t="s">
        <v>336</v>
      </c>
      <c r="E168" s="1">
        <v>0.67</v>
      </c>
      <c r="F168" s="1">
        <v>6</v>
      </c>
      <c r="G168" s="1">
        <v>4</v>
      </c>
      <c r="I168" s="58" t="str">
        <f t="shared" si="2"/>
        <v>Rother Valley Tree Services Ltd</v>
      </c>
    </row>
    <row r="169" spans="3:9" ht="15.75" customHeight="1" x14ac:dyDescent="0.2">
      <c r="C169" s="1" t="s">
        <v>380</v>
      </c>
      <c r="D169" s="1" t="s">
        <v>334</v>
      </c>
      <c r="E169" s="1">
        <v>0.48</v>
      </c>
      <c r="F169" s="1">
        <v>17</v>
      </c>
      <c r="G169" s="1">
        <v>8</v>
      </c>
      <c r="I169" s="58" t="str">
        <f t="shared" si="2"/>
        <v>Rother Valley Tree Services Ltd</v>
      </c>
    </row>
    <row r="170" spans="3:9" ht="15.75" customHeight="1" x14ac:dyDescent="0.2">
      <c r="D170" s="1" t="s">
        <v>337</v>
      </c>
      <c r="E170" s="1">
        <v>0</v>
      </c>
      <c r="F170" s="1">
        <v>4</v>
      </c>
      <c r="G170" s="1">
        <v>0</v>
      </c>
      <c r="I170" s="58" t="str">
        <f t="shared" si="2"/>
        <v>Rother Valley Tree Services Ltd</v>
      </c>
    </row>
    <row r="171" spans="3:9" ht="15.75" customHeight="1" x14ac:dyDescent="0.2">
      <c r="D171" s="1" t="s">
        <v>340</v>
      </c>
      <c r="E171" s="1">
        <v>0.57999999999999996</v>
      </c>
      <c r="F171" s="1">
        <v>7</v>
      </c>
      <c r="G171" s="1">
        <v>4</v>
      </c>
      <c r="I171" s="58" t="str">
        <f t="shared" si="2"/>
        <v>Rother Valley Tree Services Ltd</v>
      </c>
    </row>
    <row r="172" spans="3:9" ht="15.75" customHeight="1" x14ac:dyDescent="0.2">
      <c r="D172" s="1" t="s">
        <v>336</v>
      </c>
      <c r="E172" s="1">
        <v>0.67</v>
      </c>
      <c r="F172" s="1">
        <v>6</v>
      </c>
      <c r="G172" s="1">
        <v>4</v>
      </c>
      <c r="I172" s="58" t="str">
        <f t="shared" si="2"/>
        <v>Rother Valley Tree Services Ltd</v>
      </c>
    </row>
    <row r="173" spans="3:9" ht="15.75" customHeight="1" x14ac:dyDescent="0.2">
      <c r="C173" s="1" t="s">
        <v>381</v>
      </c>
      <c r="D173" s="1" t="s">
        <v>334</v>
      </c>
      <c r="E173" s="1">
        <v>0.7</v>
      </c>
      <c r="F173" s="1">
        <v>13</v>
      </c>
      <c r="G173" s="1">
        <v>9</v>
      </c>
      <c r="I173" s="58" t="str">
        <f t="shared" si="2"/>
        <v>Rother Valley Tree Services Ltd</v>
      </c>
    </row>
    <row r="174" spans="3:9" ht="15.75" customHeight="1" x14ac:dyDescent="0.2">
      <c r="D174" s="1" t="s">
        <v>336</v>
      </c>
      <c r="E174" s="1">
        <v>0.67</v>
      </c>
      <c r="F174" s="1">
        <v>6</v>
      </c>
      <c r="G174" s="1">
        <v>4</v>
      </c>
      <c r="I174" s="58" t="str">
        <f t="shared" si="2"/>
        <v>Rother Valley Tree Services Ltd</v>
      </c>
    </row>
    <row r="175" spans="3:9" ht="15.75" customHeight="1" x14ac:dyDescent="0.2">
      <c r="D175" s="1" t="s">
        <v>340</v>
      </c>
      <c r="E175" s="1">
        <v>0.72</v>
      </c>
      <c r="F175" s="1">
        <v>7</v>
      </c>
      <c r="G175" s="1">
        <v>5</v>
      </c>
      <c r="I175" s="58" t="str">
        <f t="shared" si="2"/>
        <v>Rother Valley Tree Services Ltd</v>
      </c>
    </row>
    <row r="176" spans="3:9" ht="15.75" customHeight="1" x14ac:dyDescent="0.2">
      <c r="C176" s="1" t="s">
        <v>382</v>
      </c>
      <c r="D176" s="1" t="s">
        <v>334</v>
      </c>
      <c r="E176" s="1">
        <v>0.73</v>
      </c>
      <c r="F176" s="1">
        <v>11</v>
      </c>
      <c r="G176" s="1">
        <v>8</v>
      </c>
      <c r="I176" s="58" t="str">
        <f t="shared" si="2"/>
        <v>Rother Valley Tree Services Ltd</v>
      </c>
    </row>
    <row r="177" spans="2:9" ht="15.75" customHeight="1" x14ac:dyDescent="0.2">
      <c r="D177" s="1" t="s">
        <v>336</v>
      </c>
      <c r="E177" s="1">
        <v>0.67</v>
      </c>
      <c r="F177" s="1">
        <v>6</v>
      </c>
      <c r="G177" s="1">
        <v>4</v>
      </c>
      <c r="I177" s="58" t="str">
        <f t="shared" si="2"/>
        <v>Rother Valley Tree Services Ltd</v>
      </c>
    </row>
    <row r="178" spans="2:9" ht="15.75" customHeight="1" x14ac:dyDescent="0.2">
      <c r="D178" s="1" t="s">
        <v>338</v>
      </c>
      <c r="E178" s="1">
        <v>0.8</v>
      </c>
      <c r="F178" s="1">
        <v>5</v>
      </c>
      <c r="G178" s="1">
        <v>4</v>
      </c>
      <c r="I178" s="58" t="str">
        <f t="shared" si="2"/>
        <v>Rother Valley Tree Services Ltd</v>
      </c>
    </row>
    <row r="179" spans="2:9" ht="15.75" customHeight="1" x14ac:dyDescent="0.2">
      <c r="C179" s="1" t="s">
        <v>383</v>
      </c>
      <c r="D179" s="1" t="s">
        <v>334</v>
      </c>
      <c r="E179" s="1">
        <v>0.77</v>
      </c>
      <c r="F179" s="1">
        <v>17</v>
      </c>
      <c r="G179" s="1">
        <v>13</v>
      </c>
      <c r="I179" s="58" t="str">
        <f t="shared" si="2"/>
        <v>Rother Valley Tree Services Ltd</v>
      </c>
    </row>
    <row r="180" spans="2:9" ht="15.75" customHeight="1" x14ac:dyDescent="0.2">
      <c r="D180" s="1" t="s">
        <v>336</v>
      </c>
      <c r="E180" s="1">
        <v>0.67</v>
      </c>
      <c r="F180" s="1">
        <v>6</v>
      </c>
      <c r="G180" s="1">
        <v>4</v>
      </c>
      <c r="I180" s="58" t="str">
        <f t="shared" si="2"/>
        <v>Rother Valley Tree Services Ltd</v>
      </c>
    </row>
    <row r="181" spans="2:9" ht="15.75" customHeight="1" x14ac:dyDescent="0.2">
      <c r="D181" s="1" t="s">
        <v>340</v>
      </c>
      <c r="E181" s="1">
        <v>0.72</v>
      </c>
      <c r="F181" s="1">
        <v>7</v>
      </c>
      <c r="G181" s="1">
        <v>5</v>
      </c>
      <c r="I181" s="58" t="str">
        <f t="shared" si="2"/>
        <v>Rother Valley Tree Services Ltd</v>
      </c>
    </row>
    <row r="182" spans="2:9" ht="15.75" customHeight="1" x14ac:dyDescent="0.2">
      <c r="D182" s="1" t="s">
        <v>337</v>
      </c>
      <c r="E182" s="1">
        <v>1</v>
      </c>
      <c r="F182" s="1">
        <v>4</v>
      </c>
      <c r="G182" s="1">
        <v>4</v>
      </c>
      <c r="I182" s="58" t="str">
        <f t="shared" si="2"/>
        <v>Rother Valley Tree Services Ltd</v>
      </c>
    </row>
    <row r="183" spans="2:9" ht="15.75" customHeight="1" x14ac:dyDescent="0.2">
      <c r="C183" s="1" t="s">
        <v>196</v>
      </c>
      <c r="D183" s="1" t="s">
        <v>334</v>
      </c>
      <c r="E183" s="1">
        <v>1</v>
      </c>
      <c r="F183" s="1">
        <v>4</v>
      </c>
      <c r="G183" s="1">
        <v>4</v>
      </c>
      <c r="I183" s="58" t="str">
        <f t="shared" si="2"/>
        <v>Rother Valley Tree Services Ltd</v>
      </c>
    </row>
    <row r="184" spans="2:9" ht="15.75" customHeight="1" x14ac:dyDescent="0.2">
      <c r="D184" s="1" t="s">
        <v>343</v>
      </c>
      <c r="E184" s="1">
        <v>1</v>
      </c>
      <c r="F184" s="1">
        <v>4</v>
      </c>
      <c r="G184" s="1">
        <v>4</v>
      </c>
      <c r="I184" s="58" t="str">
        <f t="shared" si="2"/>
        <v>Rother Valley Tree Services Ltd</v>
      </c>
    </row>
    <row r="185" spans="2:9" ht="15.75" customHeight="1" x14ac:dyDescent="0.2">
      <c r="B185" s="1" t="s">
        <v>120</v>
      </c>
      <c r="C185" s="1" t="s">
        <v>334</v>
      </c>
      <c r="E185" s="1">
        <v>0.38</v>
      </c>
      <c r="F185" s="1">
        <v>85</v>
      </c>
      <c r="G185" s="1">
        <v>32</v>
      </c>
      <c r="H185" s="57">
        <v>44238</v>
      </c>
      <c r="I185" s="58" t="str">
        <f t="shared" si="2"/>
        <v>Mon &amp; Brec Tree Services Ltd</v>
      </c>
    </row>
    <row r="186" spans="2:9" ht="15.75" customHeight="1" x14ac:dyDescent="0.2">
      <c r="C186" s="1" t="s">
        <v>384</v>
      </c>
      <c r="D186" s="1" t="s">
        <v>334</v>
      </c>
      <c r="E186" s="1">
        <v>0.06</v>
      </c>
      <c r="F186" s="1">
        <v>17</v>
      </c>
      <c r="G186" s="1">
        <v>1</v>
      </c>
      <c r="I186" s="58" t="str">
        <f t="shared" si="2"/>
        <v>Mon &amp; Brec Tree Services Ltd</v>
      </c>
    </row>
    <row r="187" spans="2:9" ht="15.75" customHeight="1" x14ac:dyDescent="0.2">
      <c r="D187" s="1" t="s">
        <v>340</v>
      </c>
      <c r="E187" s="1">
        <v>0</v>
      </c>
      <c r="F187" s="1">
        <v>7</v>
      </c>
      <c r="G187" s="1">
        <v>0</v>
      </c>
      <c r="I187" s="58" t="str">
        <f t="shared" si="2"/>
        <v>Mon &amp; Brec Tree Services Ltd</v>
      </c>
    </row>
    <row r="188" spans="2:9" ht="15.75" customHeight="1" x14ac:dyDescent="0.2">
      <c r="D188" s="1" t="s">
        <v>337</v>
      </c>
      <c r="E188" s="1">
        <v>0</v>
      </c>
      <c r="F188" s="1">
        <v>4</v>
      </c>
      <c r="G188" s="1">
        <v>0</v>
      </c>
      <c r="I188" s="58" t="str">
        <f t="shared" si="2"/>
        <v>Mon &amp; Brec Tree Services Ltd</v>
      </c>
    </row>
    <row r="189" spans="2:9" ht="15.75" customHeight="1" x14ac:dyDescent="0.2">
      <c r="D189" s="1" t="s">
        <v>336</v>
      </c>
      <c r="E189" s="1">
        <v>0.17</v>
      </c>
      <c r="F189" s="1">
        <v>6</v>
      </c>
      <c r="G189" s="1">
        <v>1</v>
      </c>
      <c r="I189" s="58" t="str">
        <f t="shared" si="2"/>
        <v>Mon &amp; Brec Tree Services Ltd</v>
      </c>
    </row>
    <row r="190" spans="2:9" ht="15.75" customHeight="1" x14ac:dyDescent="0.2">
      <c r="C190" s="1" t="s">
        <v>385</v>
      </c>
      <c r="D190" s="1" t="s">
        <v>334</v>
      </c>
      <c r="E190" s="1">
        <v>0.24</v>
      </c>
      <c r="F190" s="1">
        <v>17</v>
      </c>
      <c r="G190" s="1">
        <v>4</v>
      </c>
      <c r="I190" s="58" t="str">
        <f t="shared" si="2"/>
        <v>Mon &amp; Brec Tree Services Ltd</v>
      </c>
    </row>
    <row r="191" spans="2:9" ht="15.75" customHeight="1" x14ac:dyDescent="0.2">
      <c r="D191" s="1" t="s">
        <v>336</v>
      </c>
      <c r="E191" s="1">
        <v>0</v>
      </c>
      <c r="F191" s="1">
        <v>6</v>
      </c>
      <c r="G191" s="1">
        <v>0</v>
      </c>
      <c r="I191" s="58" t="str">
        <f t="shared" si="2"/>
        <v>Mon &amp; Brec Tree Services Ltd</v>
      </c>
    </row>
    <row r="192" spans="2:9" ht="15.75" customHeight="1" x14ac:dyDescent="0.2">
      <c r="D192" s="1" t="s">
        <v>337</v>
      </c>
      <c r="E192" s="1">
        <v>0</v>
      </c>
      <c r="F192" s="1">
        <v>4</v>
      </c>
      <c r="G192" s="1">
        <v>0</v>
      </c>
      <c r="I192" s="58" t="str">
        <f t="shared" si="2"/>
        <v>Mon &amp; Brec Tree Services Ltd</v>
      </c>
    </row>
    <row r="193" spans="2:9" ht="15.75" customHeight="1" x14ac:dyDescent="0.2">
      <c r="D193" s="1" t="s">
        <v>340</v>
      </c>
      <c r="E193" s="1">
        <v>0.57999999999999996</v>
      </c>
      <c r="F193" s="1">
        <v>7</v>
      </c>
      <c r="G193" s="1">
        <v>4</v>
      </c>
      <c r="I193" s="58" t="str">
        <f t="shared" si="2"/>
        <v>Mon &amp; Brec Tree Services Ltd</v>
      </c>
    </row>
    <row r="194" spans="2:9" ht="15.75" customHeight="1" x14ac:dyDescent="0.2">
      <c r="C194" s="1" t="s">
        <v>386</v>
      </c>
      <c r="D194" s="1" t="s">
        <v>334</v>
      </c>
      <c r="E194" s="1">
        <v>0.47</v>
      </c>
      <c r="F194" s="1">
        <v>15</v>
      </c>
      <c r="G194" s="1">
        <v>7</v>
      </c>
      <c r="I194" s="58" t="str">
        <f t="shared" si="2"/>
        <v>Mon &amp; Brec Tree Services Ltd</v>
      </c>
    </row>
    <row r="195" spans="2:9" ht="15.75" customHeight="1" x14ac:dyDescent="0.2">
      <c r="D195" s="1" t="s">
        <v>338</v>
      </c>
      <c r="E195" s="1">
        <v>0.2</v>
      </c>
      <c r="F195" s="1">
        <v>5</v>
      </c>
      <c r="G195" s="1">
        <v>1</v>
      </c>
      <c r="I195" s="58" t="str">
        <f t="shared" si="2"/>
        <v>Mon &amp; Brec Tree Services Ltd</v>
      </c>
    </row>
    <row r="196" spans="2:9" ht="15.75" customHeight="1" x14ac:dyDescent="0.2">
      <c r="D196" s="1" t="s">
        <v>337</v>
      </c>
      <c r="E196" s="1">
        <v>0.25</v>
      </c>
      <c r="F196" s="1">
        <v>4</v>
      </c>
      <c r="G196" s="1">
        <v>1</v>
      </c>
      <c r="I196" s="58" t="str">
        <f t="shared" si="2"/>
        <v>Mon &amp; Brec Tree Services Ltd</v>
      </c>
    </row>
    <row r="197" spans="2:9" ht="15.75" customHeight="1" x14ac:dyDescent="0.2">
      <c r="D197" s="1" t="s">
        <v>336</v>
      </c>
      <c r="E197" s="1">
        <v>0.84</v>
      </c>
      <c r="F197" s="1">
        <v>6</v>
      </c>
      <c r="G197" s="1">
        <v>5</v>
      </c>
      <c r="I197" s="58" t="str">
        <f t="shared" si="2"/>
        <v>Mon &amp; Brec Tree Services Ltd</v>
      </c>
    </row>
    <row r="198" spans="2:9" ht="15.75" customHeight="1" x14ac:dyDescent="0.2">
      <c r="C198" s="1" t="s">
        <v>387</v>
      </c>
      <c r="D198" s="1" t="s">
        <v>334</v>
      </c>
      <c r="E198" s="1">
        <v>0.5</v>
      </c>
      <c r="F198" s="1">
        <v>4</v>
      </c>
      <c r="G198" s="1">
        <v>2</v>
      </c>
      <c r="I198" s="58" t="str">
        <f t="shared" ref="I198:I261" si="3">IF(B198&lt;&gt;"",B198,I197)</f>
        <v>Mon &amp; Brec Tree Services Ltd</v>
      </c>
    </row>
    <row r="199" spans="2:9" ht="15.75" customHeight="1" x14ac:dyDescent="0.2">
      <c r="D199" s="1" t="s">
        <v>343</v>
      </c>
      <c r="E199" s="1">
        <v>0.5</v>
      </c>
      <c r="F199" s="1">
        <v>4</v>
      </c>
      <c r="G199" s="1">
        <v>2</v>
      </c>
      <c r="I199" s="58" t="str">
        <f t="shared" si="3"/>
        <v>Mon &amp; Brec Tree Services Ltd</v>
      </c>
    </row>
    <row r="200" spans="2:9" ht="15.75" customHeight="1" x14ac:dyDescent="0.2">
      <c r="C200" s="1" t="s">
        <v>388</v>
      </c>
      <c r="D200" s="1" t="s">
        <v>334</v>
      </c>
      <c r="E200" s="1">
        <v>0.53</v>
      </c>
      <c r="F200" s="1">
        <v>17</v>
      </c>
      <c r="G200" s="1">
        <v>9</v>
      </c>
      <c r="I200" s="58" t="str">
        <f t="shared" si="3"/>
        <v>Mon &amp; Brec Tree Services Ltd</v>
      </c>
    </row>
    <row r="201" spans="2:9" ht="15.75" customHeight="1" x14ac:dyDescent="0.2">
      <c r="D201" s="1" t="s">
        <v>337</v>
      </c>
      <c r="E201" s="1">
        <v>0.25</v>
      </c>
      <c r="F201" s="1">
        <v>4</v>
      </c>
      <c r="G201" s="1">
        <v>1</v>
      </c>
      <c r="I201" s="58" t="str">
        <f t="shared" si="3"/>
        <v>Mon &amp; Brec Tree Services Ltd</v>
      </c>
    </row>
    <row r="202" spans="2:9" ht="15.75" customHeight="1" x14ac:dyDescent="0.2">
      <c r="D202" s="1" t="s">
        <v>340</v>
      </c>
      <c r="E202" s="1">
        <v>0.57999999999999996</v>
      </c>
      <c r="F202" s="1">
        <v>7</v>
      </c>
      <c r="G202" s="1">
        <v>4</v>
      </c>
      <c r="I202" s="58" t="str">
        <f t="shared" si="3"/>
        <v>Mon &amp; Brec Tree Services Ltd</v>
      </c>
    </row>
    <row r="203" spans="2:9" ht="15.75" customHeight="1" x14ac:dyDescent="0.2">
      <c r="D203" s="1" t="s">
        <v>336</v>
      </c>
      <c r="E203" s="1">
        <v>0.67</v>
      </c>
      <c r="F203" s="1">
        <v>6</v>
      </c>
      <c r="G203" s="1">
        <v>4</v>
      </c>
      <c r="I203" s="58" t="str">
        <f t="shared" si="3"/>
        <v>Mon &amp; Brec Tree Services Ltd</v>
      </c>
    </row>
    <row r="204" spans="2:9" ht="15.75" customHeight="1" x14ac:dyDescent="0.2">
      <c r="C204" s="1" t="s">
        <v>389</v>
      </c>
      <c r="D204" s="1" t="s">
        <v>334</v>
      </c>
      <c r="E204" s="1">
        <v>0.6</v>
      </c>
      <c r="F204" s="1">
        <v>15</v>
      </c>
      <c r="G204" s="1">
        <v>9</v>
      </c>
      <c r="I204" s="58" t="str">
        <f t="shared" si="3"/>
        <v>Mon &amp; Brec Tree Services Ltd</v>
      </c>
    </row>
    <row r="205" spans="2:9" ht="15.75" customHeight="1" x14ac:dyDescent="0.2">
      <c r="D205" s="1" t="s">
        <v>337</v>
      </c>
      <c r="E205" s="1">
        <v>0.25</v>
      </c>
      <c r="F205" s="1">
        <v>4</v>
      </c>
      <c r="G205" s="1">
        <v>1</v>
      </c>
      <c r="I205" s="58" t="str">
        <f t="shared" si="3"/>
        <v>Mon &amp; Brec Tree Services Ltd</v>
      </c>
    </row>
    <row r="206" spans="2:9" ht="15.75" customHeight="1" x14ac:dyDescent="0.2">
      <c r="D206" s="1" t="s">
        <v>338</v>
      </c>
      <c r="E206" s="1">
        <v>0.6</v>
      </c>
      <c r="F206" s="1">
        <v>5</v>
      </c>
      <c r="G206" s="1">
        <v>3</v>
      </c>
      <c r="I206" s="58" t="str">
        <f t="shared" si="3"/>
        <v>Mon &amp; Brec Tree Services Ltd</v>
      </c>
    </row>
    <row r="207" spans="2:9" ht="15.75" customHeight="1" x14ac:dyDescent="0.2">
      <c r="D207" s="1" t="s">
        <v>336</v>
      </c>
      <c r="E207" s="1">
        <v>0.84</v>
      </c>
      <c r="F207" s="1">
        <v>6</v>
      </c>
      <c r="G207" s="1">
        <v>5</v>
      </c>
      <c r="I207" s="58" t="str">
        <f t="shared" si="3"/>
        <v>Mon &amp; Brec Tree Services Ltd</v>
      </c>
    </row>
    <row r="208" spans="2:9" ht="15.75" customHeight="1" x14ac:dyDescent="0.2">
      <c r="B208" s="1" t="s">
        <v>162</v>
      </c>
      <c r="C208" s="1" t="s">
        <v>334</v>
      </c>
      <c r="E208" s="1">
        <v>0.42</v>
      </c>
      <c r="F208" s="1">
        <v>70</v>
      </c>
      <c r="G208" s="1">
        <v>29</v>
      </c>
      <c r="H208" s="57">
        <v>43385</v>
      </c>
      <c r="I208" s="58" t="str">
        <f t="shared" si="3"/>
        <v>GB Construction (Herts) Ltd</v>
      </c>
    </row>
    <row r="209" spans="3:9" ht="15.75" customHeight="1" x14ac:dyDescent="0.2">
      <c r="C209" s="1" t="s">
        <v>390</v>
      </c>
      <c r="D209" s="1" t="s">
        <v>334</v>
      </c>
      <c r="E209" s="1">
        <v>0</v>
      </c>
      <c r="F209" s="1">
        <v>17</v>
      </c>
      <c r="G209" s="1">
        <v>0</v>
      </c>
      <c r="I209" s="58" t="str">
        <f t="shared" si="3"/>
        <v>GB Construction (Herts) Ltd</v>
      </c>
    </row>
    <row r="210" spans="3:9" ht="15.75" customHeight="1" x14ac:dyDescent="0.2">
      <c r="D210" s="1" t="s">
        <v>340</v>
      </c>
      <c r="E210" s="1">
        <v>0</v>
      </c>
      <c r="F210" s="1">
        <v>7</v>
      </c>
      <c r="G210" s="1">
        <v>0</v>
      </c>
      <c r="I210" s="58" t="str">
        <f t="shared" si="3"/>
        <v>GB Construction (Herts) Ltd</v>
      </c>
    </row>
    <row r="211" spans="3:9" ht="15.75" customHeight="1" x14ac:dyDescent="0.2">
      <c r="D211" s="1" t="s">
        <v>336</v>
      </c>
      <c r="E211" s="1">
        <v>0</v>
      </c>
      <c r="F211" s="1">
        <v>6</v>
      </c>
      <c r="G211" s="1">
        <v>0</v>
      </c>
      <c r="I211" s="58" t="str">
        <f t="shared" si="3"/>
        <v>GB Construction (Herts) Ltd</v>
      </c>
    </row>
    <row r="212" spans="3:9" ht="15.75" customHeight="1" x14ac:dyDescent="0.2">
      <c r="D212" s="1" t="s">
        <v>337</v>
      </c>
      <c r="E212" s="1">
        <v>0</v>
      </c>
      <c r="F212" s="1">
        <v>4</v>
      </c>
      <c r="G212" s="1">
        <v>0</v>
      </c>
      <c r="I212" s="58" t="str">
        <f t="shared" si="3"/>
        <v>GB Construction (Herts) Ltd</v>
      </c>
    </row>
    <row r="213" spans="3:9" ht="15.75" customHeight="1" x14ac:dyDescent="0.2">
      <c r="C213" s="1" t="s">
        <v>162</v>
      </c>
      <c r="D213" s="1" t="s">
        <v>334</v>
      </c>
      <c r="E213" s="1">
        <v>0.25</v>
      </c>
      <c r="F213" s="1">
        <v>4</v>
      </c>
      <c r="G213" s="1">
        <v>1</v>
      </c>
      <c r="I213" s="58" t="str">
        <f t="shared" si="3"/>
        <v>GB Construction (Herts) Ltd</v>
      </c>
    </row>
    <row r="214" spans="3:9" ht="15.75" customHeight="1" x14ac:dyDescent="0.2">
      <c r="D214" s="1" t="s">
        <v>343</v>
      </c>
      <c r="E214" s="1">
        <v>0.25</v>
      </c>
      <c r="F214" s="1">
        <v>4</v>
      </c>
      <c r="G214" s="1">
        <v>1</v>
      </c>
      <c r="I214" s="58" t="str">
        <f t="shared" si="3"/>
        <v>GB Construction (Herts) Ltd</v>
      </c>
    </row>
    <row r="215" spans="3:9" ht="15.75" customHeight="1" x14ac:dyDescent="0.2">
      <c r="C215" s="1" t="s">
        <v>391</v>
      </c>
      <c r="D215" s="1" t="s">
        <v>334</v>
      </c>
      <c r="E215" s="1">
        <v>0.53</v>
      </c>
      <c r="F215" s="1">
        <v>17</v>
      </c>
      <c r="G215" s="1">
        <v>9</v>
      </c>
      <c r="I215" s="58" t="str">
        <f t="shared" si="3"/>
        <v>GB Construction (Herts) Ltd</v>
      </c>
    </row>
    <row r="216" spans="3:9" ht="15.75" customHeight="1" x14ac:dyDescent="0.2">
      <c r="D216" s="1" t="s">
        <v>337</v>
      </c>
      <c r="E216" s="1">
        <v>0</v>
      </c>
      <c r="F216" s="1">
        <v>4</v>
      </c>
      <c r="G216" s="1">
        <v>0</v>
      </c>
      <c r="I216" s="58" t="str">
        <f t="shared" si="3"/>
        <v>GB Construction (Herts) Ltd</v>
      </c>
    </row>
    <row r="217" spans="3:9" ht="15.75" customHeight="1" x14ac:dyDescent="0.2">
      <c r="D217" s="1" t="s">
        <v>336</v>
      </c>
      <c r="E217" s="1">
        <v>0.67</v>
      </c>
      <c r="F217" s="1">
        <v>6</v>
      </c>
      <c r="G217" s="1">
        <v>4</v>
      </c>
      <c r="I217" s="58" t="str">
        <f t="shared" si="3"/>
        <v>GB Construction (Herts) Ltd</v>
      </c>
    </row>
    <row r="218" spans="3:9" ht="15.75" customHeight="1" x14ac:dyDescent="0.2">
      <c r="D218" s="1" t="s">
        <v>340</v>
      </c>
      <c r="E218" s="1">
        <v>0.72</v>
      </c>
      <c r="F218" s="1">
        <v>7</v>
      </c>
      <c r="G218" s="1">
        <v>5</v>
      </c>
      <c r="I218" s="58" t="str">
        <f t="shared" si="3"/>
        <v>GB Construction (Herts) Ltd</v>
      </c>
    </row>
    <row r="219" spans="3:9" ht="15.75" customHeight="1" x14ac:dyDescent="0.2">
      <c r="C219" s="1" t="s">
        <v>392</v>
      </c>
      <c r="D219" s="1" t="s">
        <v>334</v>
      </c>
      <c r="E219" s="1">
        <v>0.54</v>
      </c>
      <c r="F219" s="1">
        <v>15</v>
      </c>
      <c r="G219" s="1">
        <v>8</v>
      </c>
      <c r="I219" s="58" t="str">
        <f t="shared" si="3"/>
        <v>GB Construction (Herts) Ltd</v>
      </c>
    </row>
    <row r="220" spans="3:9" ht="15.75" customHeight="1" x14ac:dyDescent="0.2">
      <c r="D220" s="1" t="s">
        <v>337</v>
      </c>
      <c r="E220" s="1">
        <v>0.25</v>
      </c>
      <c r="F220" s="1">
        <v>4</v>
      </c>
      <c r="G220" s="1">
        <v>1</v>
      </c>
      <c r="I220" s="58" t="str">
        <f t="shared" si="3"/>
        <v>GB Construction (Herts) Ltd</v>
      </c>
    </row>
    <row r="221" spans="3:9" ht="15.75" customHeight="1" x14ac:dyDescent="0.2">
      <c r="D221" s="1" t="s">
        <v>338</v>
      </c>
      <c r="E221" s="1">
        <v>0.6</v>
      </c>
      <c r="F221" s="1">
        <v>5</v>
      </c>
      <c r="G221" s="1">
        <v>3</v>
      </c>
      <c r="I221" s="58" t="str">
        <f t="shared" si="3"/>
        <v>GB Construction (Herts) Ltd</v>
      </c>
    </row>
    <row r="222" spans="3:9" ht="15.75" customHeight="1" x14ac:dyDescent="0.2">
      <c r="D222" s="1" t="s">
        <v>336</v>
      </c>
      <c r="E222" s="1">
        <v>0.67</v>
      </c>
      <c r="F222" s="1">
        <v>6</v>
      </c>
      <c r="G222" s="1">
        <v>4</v>
      </c>
      <c r="I222" s="58" t="str">
        <f t="shared" si="3"/>
        <v>GB Construction (Herts) Ltd</v>
      </c>
    </row>
    <row r="223" spans="3:9" ht="15.75" customHeight="1" x14ac:dyDescent="0.2">
      <c r="C223" s="1" t="s">
        <v>393</v>
      </c>
      <c r="D223" s="1" t="s">
        <v>334</v>
      </c>
      <c r="E223" s="1">
        <v>0.65</v>
      </c>
      <c r="F223" s="1">
        <v>17</v>
      </c>
      <c r="G223" s="1">
        <v>11</v>
      </c>
      <c r="I223" s="58" t="str">
        <f t="shared" si="3"/>
        <v>GB Construction (Herts) Ltd</v>
      </c>
    </row>
    <row r="224" spans="3:9" ht="15.75" customHeight="1" x14ac:dyDescent="0.2">
      <c r="D224" s="1" t="s">
        <v>337</v>
      </c>
      <c r="E224" s="1">
        <v>0.5</v>
      </c>
      <c r="F224" s="1">
        <v>4</v>
      </c>
      <c r="G224" s="1">
        <v>2</v>
      </c>
      <c r="I224" s="58" t="str">
        <f t="shared" si="3"/>
        <v>GB Construction (Herts) Ltd</v>
      </c>
    </row>
    <row r="225" spans="2:9" ht="15.75" customHeight="1" x14ac:dyDescent="0.2">
      <c r="D225" s="1" t="s">
        <v>336</v>
      </c>
      <c r="E225" s="1">
        <v>0.67</v>
      </c>
      <c r="F225" s="1">
        <v>6</v>
      </c>
      <c r="G225" s="1">
        <v>4</v>
      </c>
      <c r="I225" s="58" t="str">
        <f t="shared" si="3"/>
        <v>GB Construction (Herts) Ltd</v>
      </c>
    </row>
    <row r="226" spans="2:9" ht="15.75" customHeight="1" x14ac:dyDescent="0.2">
      <c r="D226" s="1" t="s">
        <v>340</v>
      </c>
      <c r="E226" s="1">
        <v>0.72</v>
      </c>
      <c r="F226" s="1">
        <v>7</v>
      </c>
      <c r="G226" s="1">
        <v>5</v>
      </c>
      <c r="I226" s="58" t="str">
        <f t="shared" si="3"/>
        <v>GB Construction (Herts) Ltd</v>
      </c>
    </row>
    <row r="227" spans="2:9" ht="15.75" customHeight="1" x14ac:dyDescent="0.2">
      <c r="B227" s="1" t="s">
        <v>102</v>
      </c>
      <c r="C227" s="1" t="s">
        <v>334</v>
      </c>
      <c r="E227" s="1">
        <v>0.45</v>
      </c>
      <c r="F227" s="1">
        <v>36</v>
      </c>
      <c r="G227" s="1">
        <v>16</v>
      </c>
      <c r="H227" s="57">
        <v>44236</v>
      </c>
      <c r="I227" s="58" t="str">
        <f t="shared" si="3"/>
        <v>C G Tree Cutting Services</v>
      </c>
    </row>
    <row r="228" spans="2:9" ht="15.75" customHeight="1" x14ac:dyDescent="0.2">
      <c r="C228" s="1" t="s">
        <v>394</v>
      </c>
      <c r="D228" s="1" t="s">
        <v>334</v>
      </c>
      <c r="E228" s="1">
        <v>0.42</v>
      </c>
      <c r="F228" s="1">
        <v>17</v>
      </c>
      <c r="G228" s="1">
        <v>7</v>
      </c>
      <c r="I228" s="58" t="str">
        <f t="shared" si="3"/>
        <v>C G Tree Cutting Services</v>
      </c>
    </row>
    <row r="229" spans="2:9" ht="15.75" customHeight="1" x14ac:dyDescent="0.2">
      <c r="D229" s="1" t="s">
        <v>337</v>
      </c>
      <c r="E229" s="1">
        <v>0</v>
      </c>
      <c r="F229" s="1">
        <v>4</v>
      </c>
      <c r="G229" s="1">
        <v>0</v>
      </c>
      <c r="I229" s="58" t="str">
        <f t="shared" si="3"/>
        <v>C G Tree Cutting Services</v>
      </c>
    </row>
    <row r="230" spans="2:9" ht="15.75" customHeight="1" x14ac:dyDescent="0.2">
      <c r="D230" s="1" t="s">
        <v>340</v>
      </c>
      <c r="E230" s="1">
        <v>0.28999999999999998</v>
      </c>
      <c r="F230" s="1">
        <v>7</v>
      </c>
      <c r="G230" s="1">
        <v>2</v>
      </c>
      <c r="I230" s="58" t="str">
        <f t="shared" si="3"/>
        <v>C G Tree Cutting Services</v>
      </c>
    </row>
    <row r="231" spans="2:9" ht="15.75" customHeight="1" x14ac:dyDescent="0.2">
      <c r="D231" s="1" t="s">
        <v>336</v>
      </c>
      <c r="E231" s="1">
        <v>0.84</v>
      </c>
      <c r="F231" s="1">
        <v>6</v>
      </c>
      <c r="G231" s="1">
        <v>5</v>
      </c>
      <c r="I231" s="58" t="str">
        <f t="shared" si="3"/>
        <v>C G Tree Cutting Services</v>
      </c>
    </row>
    <row r="232" spans="2:9" ht="15.75" customHeight="1" x14ac:dyDescent="0.2">
      <c r="C232" s="1" t="s">
        <v>395</v>
      </c>
      <c r="D232" s="1" t="s">
        <v>334</v>
      </c>
      <c r="E232" s="1">
        <v>0.47</v>
      </c>
      <c r="F232" s="1">
        <v>15</v>
      </c>
      <c r="G232" s="1">
        <v>7</v>
      </c>
      <c r="I232" s="58" t="str">
        <f t="shared" si="3"/>
        <v>C G Tree Cutting Services</v>
      </c>
    </row>
    <row r="233" spans="2:9" ht="15.75" customHeight="1" x14ac:dyDescent="0.2">
      <c r="D233" s="1" t="s">
        <v>337</v>
      </c>
      <c r="E233" s="1">
        <v>0</v>
      </c>
      <c r="F233" s="1">
        <v>4</v>
      </c>
      <c r="G233" s="1">
        <v>0</v>
      </c>
      <c r="I233" s="58" t="str">
        <f t="shared" si="3"/>
        <v>C G Tree Cutting Services</v>
      </c>
    </row>
    <row r="234" spans="2:9" ht="15.75" customHeight="1" x14ac:dyDescent="0.2">
      <c r="D234" s="1" t="s">
        <v>338</v>
      </c>
      <c r="E234" s="1">
        <v>0.4</v>
      </c>
      <c r="F234" s="1">
        <v>5</v>
      </c>
      <c r="G234" s="1">
        <v>2</v>
      </c>
      <c r="I234" s="58" t="str">
        <f t="shared" si="3"/>
        <v>C G Tree Cutting Services</v>
      </c>
    </row>
    <row r="235" spans="2:9" ht="15.75" customHeight="1" x14ac:dyDescent="0.2">
      <c r="D235" s="1" t="s">
        <v>336</v>
      </c>
      <c r="E235" s="1">
        <v>0.84</v>
      </c>
      <c r="F235" s="1">
        <v>6</v>
      </c>
      <c r="G235" s="1">
        <v>5</v>
      </c>
      <c r="I235" s="58" t="str">
        <f t="shared" si="3"/>
        <v>C G Tree Cutting Services</v>
      </c>
    </row>
    <row r="236" spans="2:9" ht="15.75" customHeight="1" x14ac:dyDescent="0.2">
      <c r="C236" s="1" t="s">
        <v>102</v>
      </c>
      <c r="D236" s="1" t="s">
        <v>334</v>
      </c>
      <c r="E236" s="1">
        <v>0.5</v>
      </c>
      <c r="F236" s="1">
        <v>4</v>
      </c>
      <c r="G236" s="1">
        <v>2</v>
      </c>
      <c r="I236" s="58" t="str">
        <f t="shared" si="3"/>
        <v>C G Tree Cutting Services</v>
      </c>
    </row>
    <row r="237" spans="2:9" ht="15.75" customHeight="1" x14ac:dyDescent="0.2">
      <c r="D237" s="1" t="s">
        <v>343</v>
      </c>
      <c r="E237" s="1">
        <v>0.5</v>
      </c>
      <c r="F237" s="1">
        <v>4</v>
      </c>
      <c r="G237" s="1">
        <v>2</v>
      </c>
      <c r="I237" s="58" t="str">
        <f t="shared" si="3"/>
        <v>C G Tree Cutting Services</v>
      </c>
    </row>
    <row r="238" spans="2:9" ht="15.75" customHeight="1" x14ac:dyDescent="0.2">
      <c r="B238" s="1" t="s">
        <v>152</v>
      </c>
      <c r="C238" s="1" t="s">
        <v>334</v>
      </c>
      <c r="E238" s="1">
        <v>0.45</v>
      </c>
      <c r="F238" s="1">
        <v>136</v>
      </c>
      <c r="G238" s="1">
        <v>60</v>
      </c>
      <c r="H238" s="57">
        <v>42559</v>
      </c>
      <c r="I238" s="58" t="str">
        <f t="shared" si="3"/>
        <v>Coxley Tree Care Ltd</v>
      </c>
    </row>
    <row r="239" spans="2:9" ht="15.75" customHeight="1" x14ac:dyDescent="0.2">
      <c r="C239" s="1" t="s">
        <v>396</v>
      </c>
      <c r="D239" s="1" t="s">
        <v>334</v>
      </c>
      <c r="E239" s="1">
        <v>0.18</v>
      </c>
      <c r="F239" s="1">
        <v>17</v>
      </c>
      <c r="G239" s="1">
        <v>3</v>
      </c>
      <c r="I239" s="58" t="str">
        <f t="shared" si="3"/>
        <v>Coxley Tree Care Ltd</v>
      </c>
    </row>
    <row r="240" spans="2:9" ht="15.75" customHeight="1" x14ac:dyDescent="0.2">
      <c r="D240" s="1" t="s">
        <v>336</v>
      </c>
      <c r="E240" s="1">
        <v>0</v>
      </c>
      <c r="F240" s="1">
        <v>6</v>
      </c>
      <c r="G240" s="1">
        <v>0</v>
      </c>
      <c r="I240" s="58" t="str">
        <f t="shared" si="3"/>
        <v>Coxley Tree Care Ltd</v>
      </c>
    </row>
    <row r="241" spans="3:9" ht="15.75" customHeight="1" x14ac:dyDescent="0.2">
      <c r="D241" s="1" t="s">
        <v>337</v>
      </c>
      <c r="E241" s="1">
        <v>0.25</v>
      </c>
      <c r="F241" s="1">
        <v>4</v>
      </c>
      <c r="G241" s="1">
        <v>1</v>
      </c>
      <c r="I241" s="58" t="str">
        <f t="shared" si="3"/>
        <v>Coxley Tree Care Ltd</v>
      </c>
    </row>
    <row r="242" spans="3:9" ht="15.75" customHeight="1" x14ac:dyDescent="0.2">
      <c r="D242" s="1" t="s">
        <v>340</v>
      </c>
      <c r="E242" s="1">
        <v>0.28999999999999998</v>
      </c>
      <c r="F242" s="1">
        <v>7</v>
      </c>
      <c r="G242" s="1">
        <v>2</v>
      </c>
      <c r="I242" s="58" t="str">
        <f t="shared" si="3"/>
        <v>Coxley Tree Care Ltd</v>
      </c>
    </row>
    <row r="243" spans="3:9" ht="15.75" customHeight="1" x14ac:dyDescent="0.2">
      <c r="C243" s="1" t="s">
        <v>397</v>
      </c>
      <c r="D243" s="1" t="s">
        <v>334</v>
      </c>
      <c r="E243" s="1">
        <v>0.36</v>
      </c>
      <c r="F243" s="1">
        <v>17</v>
      </c>
      <c r="G243" s="1">
        <v>6</v>
      </c>
      <c r="I243" s="58" t="str">
        <f t="shared" si="3"/>
        <v>Coxley Tree Care Ltd</v>
      </c>
    </row>
    <row r="244" spans="3:9" ht="15.75" customHeight="1" x14ac:dyDescent="0.2">
      <c r="D244" s="1" t="s">
        <v>337</v>
      </c>
      <c r="E244" s="1">
        <v>0</v>
      </c>
      <c r="F244" s="1">
        <v>4</v>
      </c>
      <c r="G244" s="1">
        <v>0</v>
      </c>
      <c r="I244" s="58" t="str">
        <f t="shared" si="3"/>
        <v>Coxley Tree Care Ltd</v>
      </c>
    </row>
    <row r="245" spans="3:9" ht="15.75" customHeight="1" x14ac:dyDescent="0.2">
      <c r="D245" s="1" t="s">
        <v>340</v>
      </c>
      <c r="E245" s="1">
        <v>0.43</v>
      </c>
      <c r="F245" s="1">
        <v>7</v>
      </c>
      <c r="G245" s="1">
        <v>3</v>
      </c>
      <c r="I245" s="58" t="str">
        <f t="shared" si="3"/>
        <v>Coxley Tree Care Ltd</v>
      </c>
    </row>
    <row r="246" spans="3:9" ht="15.75" customHeight="1" x14ac:dyDescent="0.2">
      <c r="D246" s="1" t="s">
        <v>336</v>
      </c>
      <c r="E246" s="1">
        <v>0.5</v>
      </c>
      <c r="F246" s="1">
        <v>6</v>
      </c>
      <c r="G246" s="1">
        <v>3</v>
      </c>
      <c r="I246" s="58" t="str">
        <f t="shared" si="3"/>
        <v>Coxley Tree Care Ltd</v>
      </c>
    </row>
    <row r="247" spans="3:9" ht="15.75" customHeight="1" x14ac:dyDescent="0.2">
      <c r="C247" s="1" t="s">
        <v>398</v>
      </c>
      <c r="D247" s="1" t="s">
        <v>334</v>
      </c>
      <c r="E247" s="1">
        <v>0.42</v>
      </c>
      <c r="F247" s="1">
        <v>17</v>
      </c>
      <c r="G247" s="1">
        <v>7</v>
      </c>
      <c r="I247" s="58" t="str">
        <f t="shared" si="3"/>
        <v>Coxley Tree Care Ltd</v>
      </c>
    </row>
    <row r="248" spans="3:9" ht="15.75" customHeight="1" x14ac:dyDescent="0.2">
      <c r="D248" s="1" t="s">
        <v>340</v>
      </c>
      <c r="E248" s="1">
        <v>0.28999999999999998</v>
      </c>
      <c r="F248" s="1">
        <v>7</v>
      </c>
      <c r="G248" s="1">
        <v>2</v>
      </c>
      <c r="I248" s="58" t="str">
        <f t="shared" si="3"/>
        <v>Coxley Tree Care Ltd</v>
      </c>
    </row>
    <row r="249" spans="3:9" ht="15.75" customHeight="1" x14ac:dyDescent="0.2">
      <c r="D249" s="1" t="s">
        <v>336</v>
      </c>
      <c r="E249" s="1">
        <v>0.5</v>
      </c>
      <c r="F249" s="1">
        <v>6</v>
      </c>
      <c r="G249" s="1">
        <v>3</v>
      </c>
      <c r="I249" s="58" t="str">
        <f t="shared" si="3"/>
        <v>Coxley Tree Care Ltd</v>
      </c>
    </row>
    <row r="250" spans="3:9" ht="15.75" customHeight="1" x14ac:dyDescent="0.2">
      <c r="D250" s="1" t="s">
        <v>337</v>
      </c>
      <c r="E250" s="1">
        <v>0.5</v>
      </c>
      <c r="F250" s="1">
        <v>4</v>
      </c>
      <c r="G250" s="1">
        <v>2</v>
      </c>
      <c r="I250" s="58" t="str">
        <f t="shared" si="3"/>
        <v>Coxley Tree Care Ltd</v>
      </c>
    </row>
    <row r="251" spans="3:9" ht="15.75" customHeight="1" x14ac:dyDescent="0.2">
      <c r="C251" s="1" t="s">
        <v>399</v>
      </c>
      <c r="D251" s="1" t="s">
        <v>334</v>
      </c>
      <c r="E251" s="1">
        <v>0.47</v>
      </c>
      <c r="F251" s="1">
        <v>15</v>
      </c>
      <c r="G251" s="1">
        <v>7</v>
      </c>
      <c r="I251" s="58" t="str">
        <f t="shared" si="3"/>
        <v>Coxley Tree Care Ltd</v>
      </c>
    </row>
    <row r="252" spans="3:9" ht="15.75" customHeight="1" x14ac:dyDescent="0.2">
      <c r="D252" s="1" t="s">
        <v>336</v>
      </c>
      <c r="E252" s="1">
        <v>0.34</v>
      </c>
      <c r="F252" s="1">
        <v>6</v>
      </c>
      <c r="G252" s="1">
        <v>2</v>
      </c>
      <c r="I252" s="58" t="str">
        <f t="shared" si="3"/>
        <v>Coxley Tree Care Ltd</v>
      </c>
    </row>
    <row r="253" spans="3:9" ht="15.75" customHeight="1" x14ac:dyDescent="0.2">
      <c r="D253" s="1" t="s">
        <v>338</v>
      </c>
      <c r="E253" s="1">
        <v>0.4</v>
      </c>
      <c r="F253" s="1">
        <v>5</v>
      </c>
      <c r="G253" s="1">
        <v>2</v>
      </c>
      <c r="I253" s="58" t="str">
        <f t="shared" si="3"/>
        <v>Coxley Tree Care Ltd</v>
      </c>
    </row>
    <row r="254" spans="3:9" ht="15.75" customHeight="1" x14ac:dyDescent="0.2">
      <c r="D254" s="1" t="s">
        <v>337</v>
      </c>
      <c r="E254" s="1">
        <v>0.75</v>
      </c>
      <c r="F254" s="1">
        <v>4</v>
      </c>
      <c r="G254" s="1">
        <v>3</v>
      </c>
      <c r="I254" s="58" t="str">
        <f t="shared" si="3"/>
        <v>Coxley Tree Care Ltd</v>
      </c>
    </row>
    <row r="255" spans="3:9" ht="15.75" customHeight="1" x14ac:dyDescent="0.2">
      <c r="C255" s="1" t="s">
        <v>400</v>
      </c>
      <c r="D255" s="1" t="s">
        <v>334</v>
      </c>
      <c r="E255" s="1">
        <v>0.48</v>
      </c>
      <c r="F255" s="1">
        <v>17</v>
      </c>
      <c r="G255" s="1">
        <v>8</v>
      </c>
      <c r="I255" s="58" t="str">
        <f t="shared" si="3"/>
        <v>Coxley Tree Care Ltd</v>
      </c>
    </row>
    <row r="256" spans="3:9" ht="15.75" customHeight="1" x14ac:dyDescent="0.2">
      <c r="D256" s="1" t="s">
        <v>340</v>
      </c>
      <c r="E256" s="1">
        <v>0.43</v>
      </c>
      <c r="F256" s="1">
        <v>7</v>
      </c>
      <c r="G256" s="1">
        <v>3</v>
      </c>
      <c r="I256" s="58" t="str">
        <f t="shared" si="3"/>
        <v>Coxley Tree Care Ltd</v>
      </c>
    </row>
    <row r="257" spans="3:9" ht="15.75" customHeight="1" x14ac:dyDescent="0.2">
      <c r="D257" s="1" t="s">
        <v>336</v>
      </c>
      <c r="E257" s="1">
        <v>0.5</v>
      </c>
      <c r="F257" s="1">
        <v>6</v>
      </c>
      <c r="G257" s="1">
        <v>3</v>
      </c>
      <c r="I257" s="58" t="str">
        <f t="shared" si="3"/>
        <v>Coxley Tree Care Ltd</v>
      </c>
    </row>
    <row r="258" spans="3:9" ht="15.75" customHeight="1" x14ac:dyDescent="0.2">
      <c r="D258" s="1" t="s">
        <v>337</v>
      </c>
      <c r="E258" s="1">
        <v>0.5</v>
      </c>
      <c r="F258" s="1">
        <v>4</v>
      </c>
      <c r="G258" s="1">
        <v>2</v>
      </c>
      <c r="I258" s="58" t="str">
        <f t="shared" si="3"/>
        <v>Coxley Tree Care Ltd</v>
      </c>
    </row>
    <row r="259" spans="3:9" ht="15.75" customHeight="1" x14ac:dyDescent="0.2">
      <c r="C259" s="1" t="s">
        <v>401</v>
      </c>
      <c r="D259" s="1" t="s">
        <v>334</v>
      </c>
      <c r="E259" s="1">
        <v>0.48</v>
      </c>
      <c r="F259" s="1">
        <v>17</v>
      </c>
      <c r="G259" s="1">
        <v>8</v>
      </c>
      <c r="I259" s="58" t="str">
        <f t="shared" si="3"/>
        <v>Coxley Tree Care Ltd</v>
      </c>
    </row>
    <row r="260" spans="3:9" ht="15.75" customHeight="1" x14ac:dyDescent="0.2">
      <c r="D260" s="1" t="s">
        <v>337</v>
      </c>
      <c r="E260" s="1">
        <v>0.25</v>
      </c>
      <c r="F260" s="1">
        <v>4</v>
      </c>
      <c r="G260" s="1">
        <v>1</v>
      </c>
      <c r="I260" s="58" t="str">
        <f t="shared" si="3"/>
        <v>Coxley Tree Care Ltd</v>
      </c>
    </row>
    <row r="261" spans="3:9" ht="15.75" customHeight="1" x14ac:dyDescent="0.2">
      <c r="D261" s="1" t="s">
        <v>336</v>
      </c>
      <c r="E261" s="1">
        <v>0.5</v>
      </c>
      <c r="F261" s="1">
        <v>6</v>
      </c>
      <c r="G261" s="1">
        <v>3</v>
      </c>
      <c r="I261" s="58" t="str">
        <f t="shared" si="3"/>
        <v>Coxley Tree Care Ltd</v>
      </c>
    </row>
    <row r="262" spans="3:9" ht="15.75" customHeight="1" x14ac:dyDescent="0.2">
      <c r="D262" s="1" t="s">
        <v>340</v>
      </c>
      <c r="E262" s="1">
        <v>0.57999999999999996</v>
      </c>
      <c r="F262" s="1">
        <v>7</v>
      </c>
      <c r="G262" s="1">
        <v>4</v>
      </c>
      <c r="I262" s="58" t="str">
        <f t="shared" ref="I262:I325" si="4">IF(B262&lt;&gt;"",B262,I261)</f>
        <v>Coxley Tree Care Ltd</v>
      </c>
    </row>
    <row r="263" spans="3:9" ht="15.75" customHeight="1" x14ac:dyDescent="0.2">
      <c r="C263" s="1" t="s">
        <v>402</v>
      </c>
      <c r="D263" s="1" t="s">
        <v>334</v>
      </c>
      <c r="E263" s="1">
        <v>0.53</v>
      </c>
      <c r="F263" s="1">
        <v>17</v>
      </c>
      <c r="G263" s="1">
        <v>9</v>
      </c>
      <c r="I263" s="58" t="str">
        <f t="shared" si="4"/>
        <v>Coxley Tree Care Ltd</v>
      </c>
    </row>
    <row r="264" spans="3:9" ht="15.75" customHeight="1" x14ac:dyDescent="0.2">
      <c r="D264" s="1" t="s">
        <v>340</v>
      </c>
      <c r="E264" s="1">
        <v>0.43</v>
      </c>
      <c r="F264" s="1">
        <v>7</v>
      </c>
      <c r="G264" s="1">
        <v>3</v>
      </c>
      <c r="I264" s="58" t="str">
        <f t="shared" si="4"/>
        <v>Coxley Tree Care Ltd</v>
      </c>
    </row>
    <row r="265" spans="3:9" ht="15.75" customHeight="1" x14ac:dyDescent="0.2">
      <c r="D265" s="1" t="s">
        <v>336</v>
      </c>
      <c r="E265" s="1">
        <v>0.5</v>
      </c>
      <c r="F265" s="1">
        <v>6</v>
      </c>
      <c r="G265" s="1">
        <v>3</v>
      </c>
      <c r="I265" s="58" t="str">
        <f t="shared" si="4"/>
        <v>Coxley Tree Care Ltd</v>
      </c>
    </row>
    <row r="266" spans="3:9" ht="15.75" customHeight="1" x14ac:dyDescent="0.2">
      <c r="D266" s="1" t="s">
        <v>337</v>
      </c>
      <c r="E266" s="1">
        <v>0.75</v>
      </c>
      <c r="F266" s="1">
        <v>4</v>
      </c>
      <c r="G266" s="1">
        <v>3</v>
      </c>
      <c r="I266" s="58" t="str">
        <f t="shared" si="4"/>
        <v>Coxley Tree Care Ltd</v>
      </c>
    </row>
    <row r="267" spans="3:9" ht="15.75" customHeight="1" x14ac:dyDescent="0.2">
      <c r="C267" s="1" t="s">
        <v>403</v>
      </c>
      <c r="D267" s="1" t="s">
        <v>334</v>
      </c>
      <c r="E267" s="1">
        <v>0.54</v>
      </c>
      <c r="F267" s="1">
        <v>15</v>
      </c>
      <c r="G267" s="1">
        <v>8</v>
      </c>
      <c r="I267" s="58" t="str">
        <f t="shared" si="4"/>
        <v>Coxley Tree Care Ltd</v>
      </c>
    </row>
    <row r="268" spans="3:9" ht="15.75" customHeight="1" x14ac:dyDescent="0.2">
      <c r="D268" s="1" t="s">
        <v>337</v>
      </c>
      <c r="E268" s="1">
        <v>0.25</v>
      </c>
      <c r="F268" s="1">
        <v>4</v>
      </c>
      <c r="G268" s="1">
        <v>1</v>
      </c>
      <c r="I268" s="58" t="str">
        <f t="shared" si="4"/>
        <v>Coxley Tree Care Ltd</v>
      </c>
    </row>
    <row r="269" spans="3:9" ht="15.75" customHeight="1" x14ac:dyDescent="0.2">
      <c r="D269" s="1" t="s">
        <v>336</v>
      </c>
      <c r="E269" s="1">
        <v>0.5</v>
      </c>
      <c r="F269" s="1">
        <v>6</v>
      </c>
      <c r="G269" s="1">
        <v>3</v>
      </c>
      <c r="I269" s="58" t="str">
        <f t="shared" si="4"/>
        <v>Coxley Tree Care Ltd</v>
      </c>
    </row>
    <row r="270" spans="3:9" ht="15.75" customHeight="1" x14ac:dyDescent="0.2">
      <c r="D270" s="1" t="s">
        <v>338</v>
      </c>
      <c r="E270" s="1">
        <v>0.8</v>
      </c>
      <c r="F270" s="1">
        <v>5</v>
      </c>
      <c r="G270" s="1">
        <v>4</v>
      </c>
      <c r="I270" s="58" t="str">
        <f t="shared" si="4"/>
        <v>Coxley Tree Care Ltd</v>
      </c>
    </row>
    <row r="271" spans="3:9" ht="15.75" customHeight="1" x14ac:dyDescent="0.2">
      <c r="C271" s="1" t="s">
        <v>152</v>
      </c>
      <c r="D271" s="1" t="s">
        <v>334</v>
      </c>
      <c r="E271" s="1">
        <v>1</v>
      </c>
      <c r="F271" s="1">
        <v>4</v>
      </c>
      <c r="G271" s="1">
        <v>4</v>
      </c>
      <c r="I271" s="58" t="str">
        <f t="shared" si="4"/>
        <v>Coxley Tree Care Ltd</v>
      </c>
    </row>
    <row r="272" spans="3:9" ht="15.75" customHeight="1" x14ac:dyDescent="0.2">
      <c r="D272" s="1" t="s">
        <v>343</v>
      </c>
      <c r="E272" s="1">
        <v>1</v>
      </c>
      <c r="F272" s="1">
        <v>4</v>
      </c>
      <c r="G272" s="1">
        <v>4</v>
      </c>
      <c r="I272" s="58" t="str">
        <f t="shared" si="4"/>
        <v>Coxley Tree Care Ltd</v>
      </c>
    </row>
    <row r="273" spans="2:9" ht="15.75" customHeight="1" x14ac:dyDescent="0.2">
      <c r="B273" s="1" t="s">
        <v>150</v>
      </c>
      <c r="C273" s="1" t="s">
        <v>334</v>
      </c>
      <c r="E273" s="1">
        <v>0.5</v>
      </c>
      <c r="F273" s="1">
        <v>36</v>
      </c>
      <c r="G273" s="1">
        <v>18</v>
      </c>
      <c r="H273" s="57">
        <v>41464</v>
      </c>
      <c r="I273" s="58" t="str">
        <f t="shared" si="4"/>
        <v>Cliff Tree Services Ian</v>
      </c>
    </row>
    <row r="274" spans="2:9" ht="15.75" customHeight="1" x14ac:dyDescent="0.2">
      <c r="C274" s="1" t="s">
        <v>404</v>
      </c>
      <c r="D274" s="1" t="s">
        <v>334</v>
      </c>
      <c r="E274" s="1">
        <v>0.42</v>
      </c>
      <c r="F274" s="1">
        <v>17</v>
      </c>
      <c r="G274" s="1">
        <v>7</v>
      </c>
      <c r="I274" s="58" t="str">
        <f t="shared" si="4"/>
        <v>Cliff Tree Services Ian</v>
      </c>
    </row>
    <row r="275" spans="2:9" ht="15.75" customHeight="1" x14ac:dyDescent="0.2">
      <c r="D275" s="1" t="s">
        <v>337</v>
      </c>
      <c r="E275" s="1">
        <v>0</v>
      </c>
      <c r="F275" s="1">
        <v>4</v>
      </c>
      <c r="G275" s="1">
        <v>0</v>
      </c>
      <c r="I275" s="58" t="str">
        <f t="shared" si="4"/>
        <v>Cliff Tree Services Ian</v>
      </c>
    </row>
    <row r="276" spans="2:9" ht="15.75" customHeight="1" x14ac:dyDescent="0.2">
      <c r="D276" s="1" t="s">
        <v>340</v>
      </c>
      <c r="E276" s="1">
        <v>0.43</v>
      </c>
      <c r="F276" s="1">
        <v>7</v>
      </c>
      <c r="G276" s="1">
        <v>3</v>
      </c>
      <c r="I276" s="58" t="str">
        <f t="shared" si="4"/>
        <v>Cliff Tree Services Ian</v>
      </c>
    </row>
    <row r="277" spans="2:9" ht="15.75" customHeight="1" x14ac:dyDescent="0.2">
      <c r="D277" s="1" t="s">
        <v>336</v>
      </c>
      <c r="E277" s="1">
        <v>0.67</v>
      </c>
      <c r="F277" s="1">
        <v>6</v>
      </c>
      <c r="G277" s="1">
        <v>4</v>
      </c>
      <c r="I277" s="58" t="str">
        <f t="shared" si="4"/>
        <v>Cliff Tree Services Ian</v>
      </c>
    </row>
    <row r="278" spans="2:9" ht="15.75" customHeight="1" x14ac:dyDescent="0.2">
      <c r="C278" s="1" t="s">
        <v>150</v>
      </c>
      <c r="D278" s="1" t="s">
        <v>334</v>
      </c>
      <c r="E278" s="1">
        <v>0.5</v>
      </c>
      <c r="F278" s="1">
        <v>4</v>
      </c>
      <c r="G278" s="1">
        <v>2</v>
      </c>
      <c r="I278" s="58" t="str">
        <f t="shared" si="4"/>
        <v>Cliff Tree Services Ian</v>
      </c>
    </row>
    <row r="279" spans="2:9" ht="15.75" customHeight="1" x14ac:dyDescent="0.2">
      <c r="D279" s="1" t="s">
        <v>343</v>
      </c>
      <c r="E279" s="1">
        <v>0.5</v>
      </c>
      <c r="F279" s="1">
        <v>4</v>
      </c>
      <c r="G279" s="1">
        <v>2</v>
      </c>
      <c r="I279" s="58" t="str">
        <f t="shared" si="4"/>
        <v>Cliff Tree Services Ian</v>
      </c>
    </row>
    <row r="280" spans="2:9" ht="15.75" customHeight="1" x14ac:dyDescent="0.2">
      <c r="C280" s="1" t="s">
        <v>405</v>
      </c>
      <c r="D280" s="1" t="s">
        <v>334</v>
      </c>
      <c r="E280" s="1">
        <v>0.6</v>
      </c>
      <c r="F280" s="1">
        <v>15</v>
      </c>
      <c r="G280" s="1">
        <v>9</v>
      </c>
      <c r="I280" s="58" t="str">
        <f t="shared" si="4"/>
        <v>Cliff Tree Services Ian</v>
      </c>
    </row>
    <row r="281" spans="2:9" ht="15.75" customHeight="1" x14ac:dyDescent="0.2">
      <c r="D281" s="1" t="s">
        <v>337</v>
      </c>
      <c r="E281" s="1">
        <v>0.25</v>
      </c>
      <c r="F281" s="1">
        <v>4</v>
      </c>
      <c r="G281" s="1">
        <v>1</v>
      </c>
      <c r="I281" s="58" t="str">
        <f t="shared" si="4"/>
        <v>Cliff Tree Services Ian</v>
      </c>
    </row>
    <row r="282" spans="2:9" ht="15.75" customHeight="1" x14ac:dyDescent="0.2">
      <c r="D282" s="1" t="s">
        <v>336</v>
      </c>
      <c r="E282" s="1">
        <v>0.67</v>
      </c>
      <c r="F282" s="1">
        <v>6</v>
      </c>
      <c r="G282" s="1">
        <v>4</v>
      </c>
      <c r="I282" s="58" t="str">
        <f t="shared" si="4"/>
        <v>Cliff Tree Services Ian</v>
      </c>
    </row>
    <row r="283" spans="2:9" ht="15.75" customHeight="1" x14ac:dyDescent="0.2">
      <c r="D283" s="1" t="s">
        <v>338</v>
      </c>
      <c r="E283" s="1">
        <v>0.8</v>
      </c>
      <c r="F283" s="1">
        <v>5</v>
      </c>
      <c r="G283" s="1">
        <v>4</v>
      </c>
      <c r="I283" s="58" t="str">
        <f t="shared" si="4"/>
        <v>Cliff Tree Services Ian</v>
      </c>
    </row>
    <row r="284" spans="2:9" ht="15.75" customHeight="1" x14ac:dyDescent="0.2">
      <c r="B284" s="1" t="s">
        <v>116</v>
      </c>
      <c r="C284" s="1" t="s">
        <v>334</v>
      </c>
      <c r="E284" s="1">
        <v>0.5</v>
      </c>
      <c r="F284" s="1">
        <v>85</v>
      </c>
      <c r="G284" s="1">
        <v>42</v>
      </c>
      <c r="H284" s="57">
        <v>45366</v>
      </c>
      <c r="I284" s="58" t="str">
        <f t="shared" si="4"/>
        <v>JPAS Contracting Ltd</v>
      </c>
    </row>
    <row r="285" spans="2:9" ht="15.75" customHeight="1" x14ac:dyDescent="0.2">
      <c r="C285" s="1" t="s">
        <v>406</v>
      </c>
      <c r="D285" s="1" t="s">
        <v>334</v>
      </c>
      <c r="E285" s="1">
        <v>0.3</v>
      </c>
      <c r="F285" s="1">
        <v>10</v>
      </c>
      <c r="G285" s="1">
        <v>3</v>
      </c>
      <c r="I285" s="58" t="str">
        <f t="shared" si="4"/>
        <v>JPAS Contracting Ltd</v>
      </c>
    </row>
    <row r="286" spans="2:9" ht="15.75" customHeight="1" x14ac:dyDescent="0.2">
      <c r="D286" s="1" t="s">
        <v>336</v>
      </c>
      <c r="E286" s="1">
        <v>0.17</v>
      </c>
      <c r="F286" s="1">
        <v>6</v>
      </c>
      <c r="G286" s="1">
        <v>1</v>
      </c>
      <c r="I286" s="58" t="str">
        <f t="shared" si="4"/>
        <v>JPAS Contracting Ltd</v>
      </c>
    </row>
    <row r="287" spans="2:9" ht="15.75" customHeight="1" x14ac:dyDescent="0.2">
      <c r="D287" s="1" t="s">
        <v>337</v>
      </c>
      <c r="E287" s="1">
        <v>0.5</v>
      </c>
      <c r="F287" s="1">
        <v>4</v>
      </c>
      <c r="G287" s="1">
        <v>2</v>
      </c>
      <c r="I287" s="58" t="str">
        <f t="shared" si="4"/>
        <v>JPAS Contracting Ltd</v>
      </c>
    </row>
    <row r="288" spans="2:9" ht="15.75" customHeight="1" x14ac:dyDescent="0.2">
      <c r="C288" s="1" t="s">
        <v>407</v>
      </c>
      <c r="D288" s="1" t="s">
        <v>334</v>
      </c>
      <c r="E288" s="1">
        <v>0.3</v>
      </c>
      <c r="F288" s="1">
        <v>10</v>
      </c>
      <c r="G288" s="1">
        <v>3</v>
      </c>
      <c r="I288" s="58" t="str">
        <f t="shared" si="4"/>
        <v>JPAS Contracting Ltd</v>
      </c>
    </row>
    <row r="289" spans="3:9" ht="15.75" customHeight="1" x14ac:dyDescent="0.2">
      <c r="D289" s="1" t="s">
        <v>336</v>
      </c>
      <c r="E289" s="1">
        <v>0.17</v>
      </c>
      <c r="F289" s="1">
        <v>6</v>
      </c>
      <c r="G289" s="1">
        <v>1</v>
      </c>
      <c r="I289" s="58" t="str">
        <f t="shared" si="4"/>
        <v>JPAS Contracting Ltd</v>
      </c>
    </row>
    <row r="290" spans="3:9" ht="15.75" customHeight="1" x14ac:dyDescent="0.2">
      <c r="D290" s="1" t="s">
        <v>337</v>
      </c>
      <c r="E290" s="1">
        <v>0.5</v>
      </c>
      <c r="F290" s="1">
        <v>4</v>
      </c>
      <c r="G290" s="1">
        <v>2</v>
      </c>
      <c r="I290" s="58" t="str">
        <f t="shared" si="4"/>
        <v>JPAS Contracting Ltd</v>
      </c>
    </row>
    <row r="291" spans="3:9" ht="15.75" customHeight="1" x14ac:dyDescent="0.2">
      <c r="C291" s="1" t="s">
        <v>408</v>
      </c>
      <c r="D291" s="1" t="s">
        <v>334</v>
      </c>
      <c r="E291" s="1">
        <v>0.3</v>
      </c>
      <c r="F291" s="1">
        <v>10</v>
      </c>
      <c r="G291" s="1">
        <v>3</v>
      </c>
      <c r="I291" s="58" t="str">
        <f t="shared" si="4"/>
        <v>JPAS Contracting Ltd</v>
      </c>
    </row>
    <row r="292" spans="3:9" ht="15.75" customHeight="1" x14ac:dyDescent="0.2">
      <c r="D292" s="1" t="s">
        <v>336</v>
      </c>
      <c r="E292" s="1">
        <v>0.17</v>
      </c>
      <c r="F292" s="1">
        <v>6</v>
      </c>
      <c r="G292" s="1">
        <v>1</v>
      </c>
      <c r="I292" s="58" t="str">
        <f t="shared" si="4"/>
        <v>JPAS Contracting Ltd</v>
      </c>
    </row>
    <row r="293" spans="3:9" ht="15.75" customHeight="1" x14ac:dyDescent="0.2">
      <c r="D293" s="1" t="s">
        <v>337</v>
      </c>
      <c r="E293" s="1">
        <v>0.5</v>
      </c>
      <c r="F293" s="1">
        <v>4</v>
      </c>
      <c r="G293" s="1">
        <v>2</v>
      </c>
      <c r="I293" s="58" t="str">
        <f t="shared" si="4"/>
        <v>JPAS Contracting Ltd</v>
      </c>
    </row>
    <row r="294" spans="3:9" ht="15.75" customHeight="1" x14ac:dyDescent="0.2">
      <c r="C294" s="1" t="s">
        <v>409</v>
      </c>
      <c r="D294" s="1" t="s">
        <v>334</v>
      </c>
      <c r="E294" s="1">
        <v>0.48</v>
      </c>
      <c r="F294" s="1">
        <v>17</v>
      </c>
      <c r="G294" s="1">
        <v>8</v>
      </c>
      <c r="I294" s="58" t="str">
        <f t="shared" si="4"/>
        <v>JPAS Contracting Ltd</v>
      </c>
    </row>
    <row r="295" spans="3:9" ht="15.75" customHeight="1" x14ac:dyDescent="0.2">
      <c r="D295" s="1" t="s">
        <v>336</v>
      </c>
      <c r="E295" s="1">
        <v>0.17</v>
      </c>
      <c r="F295" s="1">
        <v>6</v>
      </c>
      <c r="G295" s="1">
        <v>1</v>
      </c>
      <c r="I295" s="58" t="str">
        <f t="shared" si="4"/>
        <v>JPAS Contracting Ltd</v>
      </c>
    </row>
    <row r="296" spans="3:9" ht="15.75" customHeight="1" x14ac:dyDescent="0.2">
      <c r="D296" s="1" t="s">
        <v>340</v>
      </c>
      <c r="E296" s="1">
        <v>0.57999999999999996</v>
      </c>
      <c r="F296" s="1">
        <v>7</v>
      </c>
      <c r="G296" s="1">
        <v>4</v>
      </c>
      <c r="I296" s="58" t="str">
        <f t="shared" si="4"/>
        <v>JPAS Contracting Ltd</v>
      </c>
    </row>
    <row r="297" spans="3:9" ht="15.75" customHeight="1" x14ac:dyDescent="0.2">
      <c r="D297" s="1" t="s">
        <v>337</v>
      </c>
      <c r="E297" s="1">
        <v>0.75</v>
      </c>
      <c r="F297" s="1">
        <v>4</v>
      </c>
      <c r="G297" s="1">
        <v>3</v>
      </c>
      <c r="I297" s="58" t="str">
        <f t="shared" si="4"/>
        <v>JPAS Contracting Ltd</v>
      </c>
    </row>
    <row r="298" spans="3:9" ht="15.75" customHeight="1" x14ac:dyDescent="0.2">
      <c r="C298" s="1" t="s">
        <v>410</v>
      </c>
      <c r="D298" s="1" t="s">
        <v>334</v>
      </c>
      <c r="E298" s="1">
        <v>0.65</v>
      </c>
      <c r="F298" s="1">
        <v>17</v>
      </c>
      <c r="G298" s="1">
        <v>11</v>
      </c>
      <c r="I298" s="58" t="str">
        <f t="shared" si="4"/>
        <v>JPAS Contracting Ltd</v>
      </c>
    </row>
    <row r="299" spans="3:9" ht="15.75" customHeight="1" x14ac:dyDescent="0.2">
      <c r="D299" s="1" t="s">
        <v>336</v>
      </c>
      <c r="E299" s="1">
        <v>0.34</v>
      </c>
      <c r="F299" s="1">
        <v>6</v>
      </c>
      <c r="G299" s="1">
        <v>2</v>
      </c>
      <c r="I299" s="58" t="str">
        <f t="shared" si="4"/>
        <v>JPAS Contracting Ltd</v>
      </c>
    </row>
    <row r="300" spans="3:9" ht="15.75" customHeight="1" x14ac:dyDescent="0.2">
      <c r="D300" s="1" t="s">
        <v>340</v>
      </c>
      <c r="E300" s="1">
        <v>0.72</v>
      </c>
      <c r="F300" s="1">
        <v>7</v>
      </c>
      <c r="G300" s="1">
        <v>5</v>
      </c>
      <c r="I300" s="58" t="str">
        <f t="shared" si="4"/>
        <v>JPAS Contracting Ltd</v>
      </c>
    </row>
    <row r="301" spans="3:9" ht="15.75" customHeight="1" x14ac:dyDescent="0.2">
      <c r="D301" s="1" t="s">
        <v>337</v>
      </c>
      <c r="E301" s="1">
        <v>1</v>
      </c>
      <c r="F301" s="1">
        <v>4</v>
      </c>
      <c r="G301" s="1">
        <v>4</v>
      </c>
      <c r="I301" s="58" t="str">
        <f t="shared" si="4"/>
        <v>JPAS Contracting Ltd</v>
      </c>
    </row>
    <row r="302" spans="3:9" ht="15.75" customHeight="1" x14ac:dyDescent="0.2">
      <c r="C302" s="1" t="s">
        <v>411</v>
      </c>
      <c r="D302" s="1" t="s">
        <v>334</v>
      </c>
      <c r="E302" s="1">
        <v>0.65</v>
      </c>
      <c r="F302" s="1">
        <v>17</v>
      </c>
      <c r="G302" s="1">
        <v>11</v>
      </c>
      <c r="I302" s="58" t="str">
        <f t="shared" si="4"/>
        <v>JPAS Contracting Ltd</v>
      </c>
    </row>
    <row r="303" spans="3:9" ht="15.75" customHeight="1" x14ac:dyDescent="0.2">
      <c r="D303" s="1" t="s">
        <v>340</v>
      </c>
      <c r="E303" s="1">
        <v>0.28999999999999998</v>
      </c>
      <c r="F303" s="1">
        <v>7</v>
      </c>
      <c r="G303" s="1">
        <v>2</v>
      </c>
      <c r="I303" s="58" t="str">
        <f t="shared" si="4"/>
        <v>JPAS Contracting Ltd</v>
      </c>
    </row>
    <row r="304" spans="3:9" ht="15.75" customHeight="1" x14ac:dyDescent="0.2">
      <c r="D304" s="1" t="s">
        <v>336</v>
      </c>
      <c r="E304" s="1">
        <v>0.84</v>
      </c>
      <c r="F304" s="1">
        <v>6</v>
      </c>
      <c r="G304" s="1">
        <v>5</v>
      </c>
      <c r="I304" s="58" t="str">
        <f t="shared" si="4"/>
        <v>JPAS Contracting Ltd</v>
      </c>
    </row>
    <row r="305" spans="2:9" ht="15.75" customHeight="1" x14ac:dyDescent="0.2">
      <c r="D305" s="1" t="s">
        <v>337</v>
      </c>
      <c r="E305" s="1">
        <v>1</v>
      </c>
      <c r="F305" s="1">
        <v>4</v>
      </c>
      <c r="G305" s="1">
        <v>4</v>
      </c>
      <c r="I305" s="58" t="str">
        <f t="shared" si="4"/>
        <v>JPAS Contracting Ltd</v>
      </c>
    </row>
    <row r="306" spans="2:9" ht="15.75" customHeight="1" x14ac:dyDescent="0.2">
      <c r="C306" s="1" t="s">
        <v>412</v>
      </c>
      <c r="D306" s="1" t="s">
        <v>334</v>
      </c>
      <c r="E306" s="1">
        <v>0.75</v>
      </c>
      <c r="F306" s="1">
        <v>4</v>
      </c>
      <c r="G306" s="1">
        <v>3</v>
      </c>
      <c r="I306" s="58" t="str">
        <f t="shared" si="4"/>
        <v>JPAS Contracting Ltd</v>
      </c>
    </row>
    <row r="307" spans="2:9" ht="15.75" customHeight="1" x14ac:dyDescent="0.2">
      <c r="D307" s="1" t="s">
        <v>343</v>
      </c>
      <c r="E307" s="1">
        <v>0.75</v>
      </c>
      <c r="F307" s="1">
        <v>4</v>
      </c>
      <c r="G307" s="1">
        <v>3</v>
      </c>
      <c r="I307" s="58" t="str">
        <f t="shared" si="4"/>
        <v>JPAS Contracting Ltd</v>
      </c>
    </row>
    <row r="308" spans="2:9" ht="15.75" customHeight="1" x14ac:dyDescent="0.2">
      <c r="B308" s="1" t="s">
        <v>172</v>
      </c>
      <c r="C308" s="1" t="s">
        <v>334</v>
      </c>
      <c r="E308" s="1">
        <v>0.51</v>
      </c>
      <c r="F308" s="1">
        <v>53</v>
      </c>
      <c r="G308" s="1">
        <v>27</v>
      </c>
      <c r="H308" s="57">
        <v>41701</v>
      </c>
      <c r="I308" s="58" t="str">
        <f t="shared" si="4"/>
        <v>New Leaf Arb Ltd</v>
      </c>
    </row>
    <row r="309" spans="2:9" ht="15.75" customHeight="1" x14ac:dyDescent="0.2">
      <c r="C309" s="1" t="s">
        <v>413</v>
      </c>
      <c r="D309" s="1" t="s">
        <v>334</v>
      </c>
      <c r="E309" s="1">
        <v>0.36</v>
      </c>
      <c r="F309" s="1">
        <v>17</v>
      </c>
      <c r="G309" s="1">
        <v>6</v>
      </c>
      <c r="I309" s="58" t="str">
        <f t="shared" si="4"/>
        <v>New Leaf Arb Ltd</v>
      </c>
    </row>
    <row r="310" spans="2:9" ht="15.75" customHeight="1" x14ac:dyDescent="0.2">
      <c r="D310" s="1" t="s">
        <v>340</v>
      </c>
      <c r="E310" s="1">
        <v>0</v>
      </c>
      <c r="F310" s="1">
        <v>7</v>
      </c>
      <c r="G310" s="1">
        <v>0</v>
      </c>
      <c r="I310" s="58" t="str">
        <f t="shared" si="4"/>
        <v>New Leaf Arb Ltd</v>
      </c>
    </row>
    <row r="311" spans="2:9" ht="15.75" customHeight="1" x14ac:dyDescent="0.2">
      <c r="D311" s="1" t="s">
        <v>337</v>
      </c>
      <c r="E311" s="1">
        <v>0.5</v>
      </c>
      <c r="F311" s="1">
        <v>4</v>
      </c>
      <c r="G311" s="1">
        <v>2</v>
      </c>
      <c r="I311" s="58" t="str">
        <f t="shared" si="4"/>
        <v>New Leaf Arb Ltd</v>
      </c>
    </row>
    <row r="312" spans="2:9" ht="15.75" customHeight="1" x14ac:dyDescent="0.2">
      <c r="D312" s="1" t="s">
        <v>336</v>
      </c>
      <c r="E312" s="1">
        <v>0.67</v>
      </c>
      <c r="F312" s="1">
        <v>6</v>
      </c>
      <c r="G312" s="1">
        <v>4</v>
      </c>
      <c r="I312" s="58" t="str">
        <f t="shared" si="4"/>
        <v>New Leaf Arb Ltd</v>
      </c>
    </row>
    <row r="313" spans="2:9" ht="15.75" customHeight="1" x14ac:dyDescent="0.2">
      <c r="C313" s="1" t="s">
        <v>172</v>
      </c>
      <c r="D313" s="1" t="s">
        <v>334</v>
      </c>
      <c r="E313" s="1">
        <v>0.5</v>
      </c>
      <c r="F313" s="1">
        <v>4</v>
      </c>
      <c r="G313" s="1">
        <v>2</v>
      </c>
      <c r="I313" s="58" t="str">
        <f t="shared" si="4"/>
        <v>New Leaf Arb Ltd</v>
      </c>
    </row>
    <row r="314" spans="2:9" ht="15.75" customHeight="1" x14ac:dyDescent="0.2">
      <c r="D314" s="1" t="s">
        <v>343</v>
      </c>
      <c r="E314" s="1">
        <v>0.5</v>
      </c>
      <c r="F314" s="1">
        <v>4</v>
      </c>
      <c r="G314" s="1">
        <v>2</v>
      </c>
      <c r="I314" s="58" t="str">
        <f t="shared" si="4"/>
        <v>New Leaf Arb Ltd</v>
      </c>
    </row>
    <row r="315" spans="2:9" ht="15.75" customHeight="1" x14ac:dyDescent="0.2">
      <c r="C315" s="1" t="s">
        <v>414</v>
      </c>
      <c r="D315" s="1" t="s">
        <v>334</v>
      </c>
      <c r="E315" s="1">
        <v>0.54</v>
      </c>
      <c r="F315" s="1">
        <v>15</v>
      </c>
      <c r="G315" s="1">
        <v>8</v>
      </c>
      <c r="I315" s="58" t="str">
        <f t="shared" si="4"/>
        <v>New Leaf Arb Ltd</v>
      </c>
    </row>
    <row r="316" spans="2:9" ht="15.75" customHeight="1" x14ac:dyDescent="0.2">
      <c r="D316" s="1" t="s">
        <v>337</v>
      </c>
      <c r="E316" s="1">
        <v>0</v>
      </c>
      <c r="F316" s="1">
        <v>4</v>
      </c>
      <c r="G316" s="1">
        <v>0</v>
      </c>
      <c r="I316" s="58" t="str">
        <f t="shared" si="4"/>
        <v>New Leaf Arb Ltd</v>
      </c>
    </row>
    <row r="317" spans="2:9" ht="15.75" customHeight="1" x14ac:dyDescent="0.2">
      <c r="D317" s="1" t="s">
        <v>338</v>
      </c>
      <c r="E317" s="1">
        <v>0.6</v>
      </c>
      <c r="F317" s="1">
        <v>5</v>
      </c>
      <c r="G317" s="1">
        <v>3</v>
      </c>
      <c r="I317" s="58" t="str">
        <f t="shared" si="4"/>
        <v>New Leaf Arb Ltd</v>
      </c>
    </row>
    <row r="318" spans="2:9" ht="15.75" customHeight="1" x14ac:dyDescent="0.2">
      <c r="D318" s="1" t="s">
        <v>336</v>
      </c>
      <c r="E318" s="1">
        <v>0.84</v>
      </c>
      <c r="F318" s="1">
        <v>6</v>
      </c>
      <c r="G318" s="1">
        <v>5</v>
      </c>
      <c r="I318" s="58" t="str">
        <f t="shared" si="4"/>
        <v>New Leaf Arb Ltd</v>
      </c>
    </row>
    <row r="319" spans="2:9" ht="15.75" customHeight="1" x14ac:dyDescent="0.2">
      <c r="C319" s="1" t="s">
        <v>415</v>
      </c>
      <c r="D319" s="1" t="s">
        <v>334</v>
      </c>
      <c r="E319" s="1">
        <v>0.65</v>
      </c>
      <c r="F319" s="1">
        <v>17</v>
      </c>
      <c r="G319" s="1">
        <v>11</v>
      </c>
      <c r="I319" s="58" t="str">
        <f t="shared" si="4"/>
        <v>New Leaf Arb Ltd</v>
      </c>
    </row>
    <row r="320" spans="2:9" ht="15.75" customHeight="1" x14ac:dyDescent="0.2">
      <c r="D320" s="1" t="s">
        <v>340</v>
      </c>
      <c r="E320" s="1">
        <v>0.43</v>
      </c>
      <c r="F320" s="1">
        <v>7</v>
      </c>
      <c r="G320" s="1">
        <v>3</v>
      </c>
      <c r="I320" s="58" t="str">
        <f t="shared" si="4"/>
        <v>New Leaf Arb Ltd</v>
      </c>
    </row>
    <row r="321" spans="2:9" ht="15.75" customHeight="1" x14ac:dyDescent="0.2">
      <c r="D321" s="1" t="s">
        <v>337</v>
      </c>
      <c r="E321" s="1">
        <v>0.75</v>
      </c>
      <c r="F321" s="1">
        <v>4</v>
      </c>
      <c r="G321" s="1">
        <v>3</v>
      </c>
      <c r="I321" s="58" t="str">
        <f t="shared" si="4"/>
        <v>New Leaf Arb Ltd</v>
      </c>
    </row>
    <row r="322" spans="2:9" ht="15.75" customHeight="1" x14ac:dyDescent="0.2">
      <c r="D322" s="1" t="s">
        <v>336</v>
      </c>
      <c r="E322" s="1">
        <v>0.84</v>
      </c>
      <c r="F322" s="1">
        <v>6</v>
      </c>
      <c r="G322" s="1">
        <v>5</v>
      </c>
      <c r="I322" s="58" t="str">
        <f t="shared" si="4"/>
        <v>New Leaf Arb Ltd</v>
      </c>
    </row>
    <row r="323" spans="2:9" ht="15.75" customHeight="1" x14ac:dyDescent="0.2">
      <c r="B323" s="1" t="s">
        <v>203</v>
      </c>
      <c r="C323" s="1" t="s">
        <v>334</v>
      </c>
      <c r="E323" s="1">
        <v>0.52</v>
      </c>
      <c r="F323" s="1">
        <v>106</v>
      </c>
      <c r="G323" s="1">
        <v>55</v>
      </c>
      <c r="H323" s="57">
        <v>45896</v>
      </c>
      <c r="I323" s="58" t="str">
        <f t="shared" si="4"/>
        <v>Heartwood Tree Surgeons Ltd</v>
      </c>
    </row>
    <row r="324" spans="2:9" ht="15.75" customHeight="1" x14ac:dyDescent="0.2">
      <c r="C324" s="1" t="s">
        <v>416</v>
      </c>
      <c r="D324" s="1" t="s">
        <v>334</v>
      </c>
      <c r="E324" s="1">
        <v>0</v>
      </c>
      <c r="F324" s="1">
        <v>17</v>
      </c>
      <c r="G324" s="1">
        <v>0</v>
      </c>
      <c r="I324" s="58" t="str">
        <f t="shared" si="4"/>
        <v>Heartwood Tree Surgeons Ltd</v>
      </c>
    </row>
    <row r="325" spans="2:9" ht="15.75" customHeight="1" x14ac:dyDescent="0.2">
      <c r="D325" s="1" t="s">
        <v>340</v>
      </c>
      <c r="E325" s="1">
        <v>0</v>
      </c>
      <c r="F325" s="1">
        <v>7</v>
      </c>
      <c r="G325" s="1">
        <v>0</v>
      </c>
      <c r="I325" s="58" t="str">
        <f t="shared" si="4"/>
        <v>Heartwood Tree Surgeons Ltd</v>
      </c>
    </row>
    <row r="326" spans="2:9" ht="15.75" customHeight="1" x14ac:dyDescent="0.2">
      <c r="D326" s="1" t="s">
        <v>336</v>
      </c>
      <c r="E326" s="1">
        <v>0</v>
      </c>
      <c r="F326" s="1">
        <v>6</v>
      </c>
      <c r="G326" s="1">
        <v>0</v>
      </c>
      <c r="I326" s="58" t="str">
        <f t="shared" ref="I326:I389" si="5">IF(B326&lt;&gt;"",B326,I325)</f>
        <v>Heartwood Tree Surgeons Ltd</v>
      </c>
    </row>
    <row r="327" spans="2:9" ht="15.75" customHeight="1" x14ac:dyDescent="0.2">
      <c r="D327" s="1" t="s">
        <v>337</v>
      </c>
      <c r="E327" s="1">
        <v>0</v>
      </c>
      <c r="F327" s="1">
        <v>4</v>
      </c>
      <c r="G327" s="1">
        <v>0</v>
      </c>
      <c r="I327" s="58" t="str">
        <f t="shared" si="5"/>
        <v>Heartwood Tree Surgeons Ltd</v>
      </c>
    </row>
    <row r="328" spans="2:9" ht="15.75" customHeight="1" x14ac:dyDescent="0.2">
      <c r="C328" s="1" t="s">
        <v>417</v>
      </c>
      <c r="D328" s="1" t="s">
        <v>334</v>
      </c>
      <c r="E328" s="1">
        <v>0</v>
      </c>
      <c r="F328" s="1">
        <v>17</v>
      </c>
      <c r="G328" s="1">
        <v>0</v>
      </c>
      <c r="I328" s="58" t="str">
        <f t="shared" si="5"/>
        <v>Heartwood Tree Surgeons Ltd</v>
      </c>
    </row>
    <row r="329" spans="2:9" ht="15.75" customHeight="1" x14ac:dyDescent="0.2">
      <c r="D329" s="1" t="s">
        <v>340</v>
      </c>
      <c r="E329" s="1">
        <v>0</v>
      </c>
      <c r="F329" s="1">
        <v>7</v>
      </c>
      <c r="G329" s="1">
        <v>0</v>
      </c>
      <c r="I329" s="58" t="str">
        <f t="shared" si="5"/>
        <v>Heartwood Tree Surgeons Ltd</v>
      </c>
    </row>
    <row r="330" spans="2:9" ht="15.75" customHeight="1" x14ac:dyDescent="0.2">
      <c r="D330" s="1" t="s">
        <v>336</v>
      </c>
      <c r="E330" s="1">
        <v>0</v>
      </c>
      <c r="F330" s="1">
        <v>6</v>
      </c>
      <c r="G330" s="1">
        <v>0</v>
      </c>
      <c r="I330" s="58" t="str">
        <f t="shared" si="5"/>
        <v>Heartwood Tree Surgeons Ltd</v>
      </c>
    </row>
    <row r="331" spans="2:9" ht="15.75" customHeight="1" x14ac:dyDescent="0.2">
      <c r="D331" s="1" t="s">
        <v>337</v>
      </c>
      <c r="E331" s="1">
        <v>0</v>
      </c>
      <c r="F331" s="1">
        <v>4</v>
      </c>
      <c r="G331" s="1">
        <v>0</v>
      </c>
      <c r="I331" s="58" t="str">
        <f t="shared" si="5"/>
        <v>Heartwood Tree Surgeons Ltd</v>
      </c>
    </row>
    <row r="332" spans="2:9" ht="15.75" customHeight="1" x14ac:dyDescent="0.2">
      <c r="C332" s="1" t="s">
        <v>418</v>
      </c>
      <c r="D332" s="1" t="s">
        <v>334</v>
      </c>
      <c r="E332" s="1">
        <v>0</v>
      </c>
      <c r="F332" s="1">
        <v>17</v>
      </c>
      <c r="G332" s="1">
        <v>0</v>
      </c>
      <c r="I332" s="58" t="str">
        <f t="shared" si="5"/>
        <v>Heartwood Tree Surgeons Ltd</v>
      </c>
    </row>
    <row r="333" spans="2:9" ht="15.75" customHeight="1" x14ac:dyDescent="0.2">
      <c r="D333" s="1" t="s">
        <v>340</v>
      </c>
      <c r="E333" s="1">
        <v>0</v>
      </c>
      <c r="F333" s="1">
        <v>7</v>
      </c>
      <c r="G333" s="1">
        <v>0</v>
      </c>
      <c r="I333" s="58" t="str">
        <f t="shared" si="5"/>
        <v>Heartwood Tree Surgeons Ltd</v>
      </c>
    </row>
    <row r="334" spans="2:9" ht="15.75" customHeight="1" x14ac:dyDescent="0.2">
      <c r="D334" s="1" t="s">
        <v>336</v>
      </c>
      <c r="E334" s="1">
        <v>0</v>
      </c>
      <c r="F334" s="1">
        <v>6</v>
      </c>
      <c r="G334" s="1">
        <v>0</v>
      </c>
      <c r="I334" s="58" t="str">
        <f t="shared" si="5"/>
        <v>Heartwood Tree Surgeons Ltd</v>
      </c>
    </row>
    <row r="335" spans="2:9" ht="15.75" customHeight="1" x14ac:dyDescent="0.2">
      <c r="D335" s="1" t="s">
        <v>337</v>
      </c>
      <c r="E335" s="1">
        <v>0</v>
      </c>
      <c r="F335" s="1">
        <v>4</v>
      </c>
      <c r="G335" s="1">
        <v>0</v>
      </c>
      <c r="I335" s="58" t="str">
        <f t="shared" si="5"/>
        <v>Heartwood Tree Surgeons Ltd</v>
      </c>
    </row>
    <row r="336" spans="2:9" ht="15.75" customHeight="1" x14ac:dyDescent="0.2">
      <c r="C336" s="1" t="s">
        <v>419</v>
      </c>
      <c r="D336" s="1" t="s">
        <v>334</v>
      </c>
      <c r="E336" s="1">
        <v>1</v>
      </c>
      <c r="F336" s="1">
        <v>4</v>
      </c>
      <c r="G336" s="1">
        <v>4</v>
      </c>
      <c r="I336" s="58" t="str">
        <f t="shared" si="5"/>
        <v>Heartwood Tree Surgeons Ltd</v>
      </c>
    </row>
    <row r="337" spans="2:9" ht="15.75" customHeight="1" x14ac:dyDescent="0.2">
      <c r="D337" s="1" t="s">
        <v>343</v>
      </c>
      <c r="E337" s="1">
        <v>1</v>
      </c>
      <c r="F337" s="1">
        <v>4</v>
      </c>
      <c r="G337" s="1">
        <v>4</v>
      </c>
      <c r="I337" s="58" t="str">
        <f t="shared" si="5"/>
        <v>Heartwood Tree Surgeons Ltd</v>
      </c>
    </row>
    <row r="338" spans="2:9" ht="15.75" customHeight="1" x14ac:dyDescent="0.2">
      <c r="C338" s="1" t="s">
        <v>420</v>
      </c>
      <c r="D338" s="1" t="s">
        <v>334</v>
      </c>
      <c r="E338" s="1">
        <v>1</v>
      </c>
      <c r="F338" s="1">
        <v>17</v>
      </c>
      <c r="G338" s="1">
        <v>17</v>
      </c>
      <c r="I338" s="58" t="str">
        <f t="shared" si="5"/>
        <v>Heartwood Tree Surgeons Ltd</v>
      </c>
    </row>
    <row r="339" spans="2:9" ht="15.75" customHeight="1" x14ac:dyDescent="0.2">
      <c r="D339" s="1" t="s">
        <v>340</v>
      </c>
      <c r="E339" s="1">
        <v>1</v>
      </c>
      <c r="F339" s="1">
        <v>7</v>
      </c>
      <c r="G339" s="1">
        <v>7</v>
      </c>
      <c r="I339" s="58" t="str">
        <f t="shared" si="5"/>
        <v>Heartwood Tree Surgeons Ltd</v>
      </c>
    </row>
    <row r="340" spans="2:9" ht="15.75" customHeight="1" x14ac:dyDescent="0.2">
      <c r="D340" s="1" t="s">
        <v>336</v>
      </c>
      <c r="E340" s="1">
        <v>1</v>
      </c>
      <c r="F340" s="1">
        <v>6</v>
      </c>
      <c r="G340" s="1">
        <v>6</v>
      </c>
      <c r="I340" s="58" t="str">
        <f t="shared" si="5"/>
        <v>Heartwood Tree Surgeons Ltd</v>
      </c>
    </row>
    <row r="341" spans="2:9" ht="15.75" customHeight="1" x14ac:dyDescent="0.2">
      <c r="D341" s="1" t="s">
        <v>337</v>
      </c>
      <c r="E341" s="1">
        <v>1</v>
      </c>
      <c r="F341" s="1">
        <v>4</v>
      </c>
      <c r="G341" s="1">
        <v>4</v>
      </c>
      <c r="I341" s="58" t="str">
        <f t="shared" si="5"/>
        <v>Heartwood Tree Surgeons Ltd</v>
      </c>
    </row>
    <row r="342" spans="2:9" ht="15.75" customHeight="1" x14ac:dyDescent="0.2">
      <c r="C342" s="1" t="s">
        <v>421</v>
      </c>
      <c r="D342" s="1" t="s">
        <v>334</v>
      </c>
      <c r="E342" s="1">
        <v>1</v>
      </c>
      <c r="F342" s="1">
        <v>17</v>
      </c>
      <c r="G342" s="1">
        <v>17</v>
      </c>
      <c r="I342" s="58" t="str">
        <f t="shared" si="5"/>
        <v>Heartwood Tree Surgeons Ltd</v>
      </c>
    </row>
    <row r="343" spans="2:9" ht="15.75" customHeight="1" x14ac:dyDescent="0.2">
      <c r="D343" s="1" t="s">
        <v>340</v>
      </c>
      <c r="E343" s="1">
        <v>1</v>
      </c>
      <c r="F343" s="1">
        <v>7</v>
      </c>
      <c r="G343" s="1">
        <v>7</v>
      </c>
      <c r="I343" s="58" t="str">
        <f t="shared" si="5"/>
        <v>Heartwood Tree Surgeons Ltd</v>
      </c>
    </row>
    <row r="344" spans="2:9" ht="15.75" customHeight="1" x14ac:dyDescent="0.2">
      <c r="D344" s="1" t="s">
        <v>336</v>
      </c>
      <c r="E344" s="1">
        <v>1</v>
      </c>
      <c r="F344" s="1">
        <v>6</v>
      </c>
      <c r="G344" s="1">
        <v>6</v>
      </c>
      <c r="I344" s="58" t="str">
        <f t="shared" si="5"/>
        <v>Heartwood Tree Surgeons Ltd</v>
      </c>
    </row>
    <row r="345" spans="2:9" ht="15.75" customHeight="1" x14ac:dyDescent="0.2">
      <c r="D345" s="1" t="s">
        <v>337</v>
      </c>
      <c r="E345" s="1">
        <v>1</v>
      </c>
      <c r="F345" s="1">
        <v>4</v>
      </c>
      <c r="G345" s="1">
        <v>4</v>
      </c>
      <c r="I345" s="58" t="str">
        <f t="shared" si="5"/>
        <v>Heartwood Tree Surgeons Ltd</v>
      </c>
    </row>
    <row r="346" spans="2:9" ht="15.75" customHeight="1" x14ac:dyDescent="0.2">
      <c r="C346" s="1" t="s">
        <v>422</v>
      </c>
      <c r="D346" s="1" t="s">
        <v>334</v>
      </c>
      <c r="E346" s="1">
        <v>1</v>
      </c>
      <c r="F346" s="1">
        <v>17</v>
      </c>
      <c r="G346" s="1">
        <v>17</v>
      </c>
      <c r="I346" s="58" t="str">
        <f t="shared" si="5"/>
        <v>Heartwood Tree Surgeons Ltd</v>
      </c>
    </row>
    <row r="347" spans="2:9" ht="15.75" customHeight="1" x14ac:dyDescent="0.2">
      <c r="D347" s="1" t="s">
        <v>340</v>
      </c>
      <c r="E347" s="1">
        <v>1</v>
      </c>
      <c r="F347" s="1">
        <v>7</v>
      </c>
      <c r="G347" s="1">
        <v>7</v>
      </c>
      <c r="I347" s="58" t="str">
        <f t="shared" si="5"/>
        <v>Heartwood Tree Surgeons Ltd</v>
      </c>
    </row>
    <row r="348" spans="2:9" ht="15.75" customHeight="1" x14ac:dyDescent="0.2">
      <c r="D348" s="1" t="s">
        <v>336</v>
      </c>
      <c r="E348" s="1">
        <v>1</v>
      </c>
      <c r="F348" s="1">
        <v>6</v>
      </c>
      <c r="G348" s="1">
        <v>6</v>
      </c>
      <c r="I348" s="58" t="str">
        <f t="shared" si="5"/>
        <v>Heartwood Tree Surgeons Ltd</v>
      </c>
    </row>
    <row r="349" spans="2:9" ht="15.75" customHeight="1" x14ac:dyDescent="0.2">
      <c r="D349" s="1" t="s">
        <v>337</v>
      </c>
      <c r="E349" s="1">
        <v>1</v>
      </c>
      <c r="F349" s="1">
        <v>4</v>
      </c>
      <c r="G349" s="1">
        <v>4</v>
      </c>
      <c r="I349" s="58" t="str">
        <f t="shared" si="5"/>
        <v>Heartwood Tree Surgeons Ltd</v>
      </c>
    </row>
    <row r="350" spans="2:9" ht="15.75" customHeight="1" x14ac:dyDescent="0.2">
      <c r="B350" s="1" t="s">
        <v>180</v>
      </c>
      <c r="C350" s="1" t="s">
        <v>334</v>
      </c>
      <c r="E350" s="1">
        <v>0.53</v>
      </c>
      <c r="F350" s="1">
        <v>53</v>
      </c>
      <c r="G350" s="1">
        <v>28</v>
      </c>
      <c r="H350" s="57">
        <v>39562</v>
      </c>
      <c r="I350" s="58" t="str">
        <f t="shared" si="5"/>
        <v>Watmough's Forestry Adam</v>
      </c>
    </row>
    <row r="351" spans="2:9" ht="15.75" customHeight="1" x14ac:dyDescent="0.2">
      <c r="C351" s="1" t="s">
        <v>423</v>
      </c>
      <c r="D351" s="1" t="s">
        <v>334</v>
      </c>
      <c r="E351" s="1">
        <v>0.48</v>
      </c>
      <c r="F351" s="1">
        <v>17</v>
      </c>
      <c r="G351" s="1">
        <v>8</v>
      </c>
      <c r="I351" s="58" t="str">
        <f t="shared" si="5"/>
        <v>Watmough's Forestry Adam</v>
      </c>
    </row>
    <row r="352" spans="2:9" ht="15.75" customHeight="1" x14ac:dyDescent="0.2">
      <c r="D352" s="1" t="s">
        <v>337</v>
      </c>
      <c r="E352" s="1">
        <v>0</v>
      </c>
      <c r="F352" s="1">
        <v>4</v>
      </c>
      <c r="G352" s="1">
        <v>0</v>
      </c>
      <c r="I352" s="58" t="str">
        <f t="shared" si="5"/>
        <v>Watmough's Forestry Adam</v>
      </c>
    </row>
    <row r="353" spans="2:9" ht="15.75" customHeight="1" x14ac:dyDescent="0.2">
      <c r="D353" s="1" t="s">
        <v>340</v>
      </c>
      <c r="E353" s="1">
        <v>0.57999999999999996</v>
      </c>
      <c r="F353" s="1">
        <v>7</v>
      </c>
      <c r="G353" s="1">
        <v>4</v>
      </c>
      <c r="I353" s="58" t="str">
        <f t="shared" si="5"/>
        <v>Watmough's Forestry Adam</v>
      </c>
    </row>
    <row r="354" spans="2:9" ht="15.75" customHeight="1" x14ac:dyDescent="0.2">
      <c r="D354" s="1" t="s">
        <v>336</v>
      </c>
      <c r="E354" s="1">
        <v>0.67</v>
      </c>
      <c r="F354" s="1">
        <v>6</v>
      </c>
      <c r="G354" s="1">
        <v>4</v>
      </c>
      <c r="I354" s="58" t="str">
        <f t="shared" si="5"/>
        <v>Watmough's Forestry Adam</v>
      </c>
    </row>
    <row r="355" spans="2:9" ht="15.75" customHeight="1" x14ac:dyDescent="0.2">
      <c r="C355" s="1" t="s">
        <v>180</v>
      </c>
      <c r="D355" s="1" t="s">
        <v>334</v>
      </c>
      <c r="E355" s="1">
        <v>0.5</v>
      </c>
      <c r="F355" s="1">
        <v>4</v>
      </c>
      <c r="G355" s="1">
        <v>2</v>
      </c>
      <c r="I355" s="58" t="str">
        <f t="shared" si="5"/>
        <v>Watmough's Forestry Adam</v>
      </c>
    </row>
    <row r="356" spans="2:9" ht="15.75" customHeight="1" x14ac:dyDescent="0.2">
      <c r="D356" s="1" t="s">
        <v>343</v>
      </c>
      <c r="E356" s="1">
        <v>0.5</v>
      </c>
      <c r="F356" s="1">
        <v>4</v>
      </c>
      <c r="G356" s="1">
        <v>2</v>
      </c>
      <c r="I356" s="58" t="str">
        <f t="shared" si="5"/>
        <v>Watmough's Forestry Adam</v>
      </c>
    </row>
    <row r="357" spans="2:9" ht="15.75" customHeight="1" x14ac:dyDescent="0.2">
      <c r="C357" s="1" t="s">
        <v>424</v>
      </c>
      <c r="D357" s="1" t="s">
        <v>334</v>
      </c>
      <c r="E357" s="1">
        <v>0.54</v>
      </c>
      <c r="F357" s="1">
        <v>15</v>
      </c>
      <c r="G357" s="1">
        <v>8</v>
      </c>
      <c r="I357" s="58" t="str">
        <f t="shared" si="5"/>
        <v>Watmough's Forestry Adam</v>
      </c>
    </row>
    <row r="358" spans="2:9" ht="15.75" customHeight="1" x14ac:dyDescent="0.2">
      <c r="D358" s="1" t="s">
        <v>337</v>
      </c>
      <c r="E358" s="1">
        <v>0.25</v>
      </c>
      <c r="F358" s="1">
        <v>4</v>
      </c>
      <c r="G358" s="1">
        <v>1</v>
      </c>
      <c r="I358" s="58" t="str">
        <f t="shared" si="5"/>
        <v>Watmough's Forestry Adam</v>
      </c>
    </row>
    <row r="359" spans="2:9" ht="15.75" customHeight="1" x14ac:dyDescent="0.2">
      <c r="D359" s="1" t="s">
        <v>336</v>
      </c>
      <c r="E359" s="1">
        <v>0.5</v>
      </c>
      <c r="F359" s="1">
        <v>6</v>
      </c>
      <c r="G359" s="1">
        <v>3</v>
      </c>
      <c r="I359" s="58" t="str">
        <f t="shared" si="5"/>
        <v>Watmough's Forestry Adam</v>
      </c>
    </row>
    <row r="360" spans="2:9" ht="15.75" customHeight="1" x14ac:dyDescent="0.2">
      <c r="D360" s="1" t="s">
        <v>338</v>
      </c>
      <c r="E360" s="1">
        <v>0.8</v>
      </c>
      <c r="F360" s="1">
        <v>5</v>
      </c>
      <c r="G360" s="1">
        <v>4</v>
      </c>
      <c r="I360" s="58" t="str">
        <f t="shared" si="5"/>
        <v>Watmough's Forestry Adam</v>
      </c>
    </row>
    <row r="361" spans="2:9" ht="15.75" customHeight="1" x14ac:dyDescent="0.2">
      <c r="C361" s="1" t="s">
        <v>425</v>
      </c>
      <c r="D361" s="1" t="s">
        <v>334</v>
      </c>
      <c r="E361" s="1">
        <v>0.59</v>
      </c>
      <c r="F361" s="1">
        <v>17</v>
      </c>
      <c r="G361" s="1">
        <v>10</v>
      </c>
      <c r="I361" s="58" t="str">
        <f t="shared" si="5"/>
        <v>Watmough's Forestry Adam</v>
      </c>
    </row>
    <row r="362" spans="2:9" ht="15.75" customHeight="1" x14ac:dyDescent="0.2">
      <c r="D362" s="1" t="s">
        <v>336</v>
      </c>
      <c r="E362" s="1">
        <v>0.5</v>
      </c>
      <c r="F362" s="1">
        <v>6</v>
      </c>
      <c r="G362" s="1">
        <v>3</v>
      </c>
      <c r="I362" s="58" t="str">
        <f t="shared" si="5"/>
        <v>Watmough's Forestry Adam</v>
      </c>
    </row>
    <row r="363" spans="2:9" ht="15.75" customHeight="1" x14ac:dyDescent="0.2">
      <c r="D363" s="1" t="s">
        <v>337</v>
      </c>
      <c r="E363" s="1">
        <v>0.5</v>
      </c>
      <c r="F363" s="1">
        <v>4</v>
      </c>
      <c r="G363" s="1">
        <v>2</v>
      </c>
      <c r="I363" s="58" t="str">
        <f t="shared" si="5"/>
        <v>Watmough's Forestry Adam</v>
      </c>
    </row>
    <row r="364" spans="2:9" ht="15.75" customHeight="1" x14ac:dyDescent="0.2">
      <c r="D364" s="1" t="s">
        <v>340</v>
      </c>
      <c r="E364" s="1">
        <v>0.72</v>
      </c>
      <c r="F364" s="1">
        <v>7</v>
      </c>
      <c r="G364" s="1">
        <v>5</v>
      </c>
      <c r="I364" s="58" t="str">
        <f t="shared" si="5"/>
        <v>Watmough's Forestry Adam</v>
      </c>
    </row>
    <row r="365" spans="2:9" ht="15.75" customHeight="1" x14ac:dyDescent="0.2">
      <c r="B365" s="1" t="s">
        <v>122</v>
      </c>
      <c r="C365" s="1" t="s">
        <v>334</v>
      </c>
      <c r="E365" s="1">
        <v>0.55000000000000004</v>
      </c>
      <c r="F365" s="1">
        <v>55</v>
      </c>
      <c r="G365" s="1">
        <v>30</v>
      </c>
      <c r="H365" s="57">
        <v>44930</v>
      </c>
      <c r="I365" s="58" t="str">
        <f t="shared" si="5"/>
        <v>Quill Hall Arboriculture Ltd</v>
      </c>
    </row>
    <row r="366" spans="2:9" ht="15.75" customHeight="1" x14ac:dyDescent="0.2">
      <c r="C366" s="1" t="s">
        <v>426</v>
      </c>
      <c r="D366" s="1" t="s">
        <v>334</v>
      </c>
      <c r="E366" s="1">
        <v>0.48</v>
      </c>
      <c r="F366" s="1">
        <v>17</v>
      </c>
      <c r="G366" s="1">
        <v>8</v>
      </c>
      <c r="I366" s="58" t="str">
        <f t="shared" si="5"/>
        <v>Quill Hall Arboriculture Ltd</v>
      </c>
    </row>
    <row r="367" spans="2:9" ht="15.75" customHeight="1" x14ac:dyDescent="0.2">
      <c r="D367" s="1" t="s">
        <v>337</v>
      </c>
      <c r="E367" s="1">
        <v>0.25</v>
      </c>
      <c r="F367" s="1">
        <v>4</v>
      </c>
      <c r="G367" s="1">
        <v>1</v>
      </c>
      <c r="I367" s="58" t="str">
        <f t="shared" si="5"/>
        <v>Quill Hall Arboriculture Ltd</v>
      </c>
    </row>
    <row r="368" spans="2:9" ht="15.75" customHeight="1" x14ac:dyDescent="0.2">
      <c r="D368" s="1" t="s">
        <v>336</v>
      </c>
      <c r="E368" s="1">
        <v>0.5</v>
      </c>
      <c r="F368" s="1">
        <v>6</v>
      </c>
      <c r="G368" s="1">
        <v>3</v>
      </c>
      <c r="I368" s="58" t="str">
        <f t="shared" si="5"/>
        <v>Quill Hall Arboriculture Ltd</v>
      </c>
    </row>
    <row r="369" spans="2:9" ht="15.75" customHeight="1" x14ac:dyDescent="0.2">
      <c r="D369" s="1" t="s">
        <v>340</v>
      </c>
      <c r="E369" s="1">
        <v>0.57999999999999996</v>
      </c>
      <c r="F369" s="1">
        <v>7</v>
      </c>
      <c r="G369" s="1">
        <v>4</v>
      </c>
      <c r="I369" s="58" t="str">
        <f t="shared" si="5"/>
        <v>Quill Hall Arboriculture Ltd</v>
      </c>
    </row>
    <row r="370" spans="2:9" ht="15.75" customHeight="1" x14ac:dyDescent="0.2">
      <c r="C370" s="1" t="s">
        <v>427</v>
      </c>
      <c r="D370" s="1" t="s">
        <v>334</v>
      </c>
      <c r="E370" s="1">
        <v>0.53</v>
      </c>
      <c r="F370" s="1">
        <v>17</v>
      </c>
      <c r="G370" s="1">
        <v>9</v>
      </c>
      <c r="I370" s="58" t="str">
        <f t="shared" si="5"/>
        <v>Quill Hall Arboriculture Ltd</v>
      </c>
    </row>
    <row r="371" spans="2:9" ht="15.75" customHeight="1" x14ac:dyDescent="0.2">
      <c r="D371" s="1" t="s">
        <v>336</v>
      </c>
      <c r="E371" s="1">
        <v>0.17</v>
      </c>
      <c r="F371" s="1">
        <v>6</v>
      </c>
      <c r="G371" s="1">
        <v>1</v>
      </c>
      <c r="I371" s="58" t="str">
        <f t="shared" si="5"/>
        <v>Quill Hall Arboriculture Ltd</v>
      </c>
    </row>
    <row r="372" spans="2:9" ht="15.75" customHeight="1" x14ac:dyDescent="0.2">
      <c r="D372" s="1" t="s">
        <v>340</v>
      </c>
      <c r="E372" s="1">
        <v>0.72</v>
      </c>
      <c r="F372" s="1">
        <v>7</v>
      </c>
      <c r="G372" s="1">
        <v>5</v>
      </c>
      <c r="I372" s="58" t="str">
        <f t="shared" si="5"/>
        <v>Quill Hall Arboriculture Ltd</v>
      </c>
    </row>
    <row r="373" spans="2:9" ht="15.75" customHeight="1" x14ac:dyDescent="0.2">
      <c r="D373" s="1" t="s">
        <v>337</v>
      </c>
      <c r="E373" s="1">
        <v>0.75</v>
      </c>
      <c r="F373" s="1">
        <v>4</v>
      </c>
      <c r="G373" s="1">
        <v>3</v>
      </c>
      <c r="I373" s="58" t="str">
        <f t="shared" si="5"/>
        <v>Quill Hall Arboriculture Ltd</v>
      </c>
    </row>
    <row r="374" spans="2:9" ht="15.75" customHeight="1" x14ac:dyDescent="0.2">
      <c r="C374" s="1" t="s">
        <v>428</v>
      </c>
      <c r="D374" s="1" t="s">
        <v>334</v>
      </c>
      <c r="E374" s="1">
        <v>0.59</v>
      </c>
      <c r="F374" s="1">
        <v>17</v>
      </c>
      <c r="G374" s="1">
        <v>10</v>
      </c>
      <c r="I374" s="58" t="str">
        <f t="shared" si="5"/>
        <v>Quill Hall Arboriculture Ltd</v>
      </c>
    </row>
    <row r="375" spans="2:9" ht="15.75" customHeight="1" x14ac:dyDescent="0.2">
      <c r="D375" s="1" t="s">
        <v>336</v>
      </c>
      <c r="E375" s="1">
        <v>0.5</v>
      </c>
      <c r="F375" s="1">
        <v>6</v>
      </c>
      <c r="G375" s="1">
        <v>3</v>
      </c>
      <c r="I375" s="58" t="str">
        <f t="shared" si="5"/>
        <v>Quill Hall Arboriculture Ltd</v>
      </c>
    </row>
    <row r="376" spans="2:9" ht="15.75" customHeight="1" x14ac:dyDescent="0.2">
      <c r="D376" s="1" t="s">
        <v>340</v>
      </c>
      <c r="E376" s="1">
        <v>0.57999999999999996</v>
      </c>
      <c r="F376" s="1">
        <v>7</v>
      </c>
      <c r="G376" s="1">
        <v>4</v>
      </c>
      <c r="I376" s="58" t="str">
        <f t="shared" si="5"/>
        <v>Quill Hall Arboriculture Ltd</v>
      </c>
    </row>
    <row r="377" spans="2:9" ht="15.75" customHeight="1" x14ac:dyDescent="0.2">
      <c r="D377" s="1" t="s">
        <v>337</v>
      </c>
      <c r="E377" s="1">
        <v>0.75</v>
      </c>
      <c r="F377" s="1">
        <v>4</v>
      </c>
      <c r="G377" s="1">
        <v>3</v>
      </c>
      <c r="I377" s="58" t="str">
        <f t="shared" si="5"/>
        <v>Quill Hall Arboriculture Ltd</v>
      </c>
    </row>
    <row r="378" spans="2:9" ht="15.75" customHeight="1" x14ac:dyDescent="0.2">
      <c r="C378" s="1" t="s">
        <v>122</v>
      </c>
      <c r="D378" s="1" t="s">
        <v>334</v>
      </c>
      <c r="E378" s="1">
        <v>0.75</v>
      </c>
      <c r="F378" s="1">
        <v>4</v>
      </c>
      <c r="G378" s="1">
        <v>3</v>
      </c>
      <c r="I378" s="58" t="str">
        <f t="shared" si="5"/>
        <v>Quill Hall Arboriculture Ltd</v>
      </c>
    </row>
    <row r="379" spans="2:9" ht="15.75" customHeight="1" x14ac:dyDescent="0.2">
      <c r="D379" s="1" t="s">
        <v>343</v>
      </c>
      <c r="E379" s="1">
        <v>0.75</v>
      </c>
      <c r="F379" s="1">
        <v>4</v>
      </c>
      <c r="G379" s="1">
        <v>3</v>
      </c>
      <c r="I379" s="58" t="str">
        <f t="shared" si="5"/>
        <v>Quill Hall Arboriculture Ltd</v>
      </c>
    </row>
    <row r="380" spans="2:9" ht="15.75" customHeight="1" x14ac:dyDescent="0.2">
      <c r="B380" s="1" t="s">
        <v>160</v>
      </c>
      <c r="C380" s="1" t="s">
        <v>334</v>
      </c>
      <c r="E380" s="1">
        <v>0.56000000000000005</v>
      </c>
      <c r="F380" s="1">
        <v>89</v>
      </c>
      <c r="G380" s="1">
        <v>49</v>
      </c>
      <c r="H380" s="57">
        <v>44964</v>
      </c>
      <c r="I380" s="58" t="str">
        <f t="shared" si="5"/>
        <v>East Midlands Arb Ltd</v>
      </c>
    </row>
    <row r="381" spans="2:9" ht="15.75" customHeight="1" x14ac:dyDescent="0.2">
      <c r="C381" s="1" t="s">
        <v>429</v>
      </c>
      <c r="D381" s="1" t="s">
        <v>334</v>
      </c>
      <c r="E381" s="1">
        <v>0</v>
      </c>
      <c r="F381" s="1">
        <v>17</v>
      </c>
      <c r="G381" s="1">
        <v>0</v>
      </c>
      <c r="I381" s="58" t="str">
        <f t="shared" si="5"/>
        <v>East Midlands Arb Ltd</v>
      </c>
    </row>
    <row r="382" spans="2:9" ht="15.75" customHeight="1" x14ac:dyDescent="0.2">
      <c r="D382" s="1" t="s">
        <v>340</v>
      </c>
      <c r="E382" s="1">
        <v>0</v>
      </c>
      <c r="F382" s="1">
        <v>7</v>
      </c>
      <c r="G382" s="1">
        <v>0</v>
      </c>
      <c r="I382" s="58" t="str">
        <f t="shared" si="5"/>
        <v>East Midlands Arb Ltd</v>
      </c>
    </row>
    <row r="383" spans="2:9" ht="15.75" customHeight="1" x14ac:dyDescent="0.2">
      <c r="D383" s="1" t="s">
        <v>336</v>
      </c>
      <c r="E383" s="1">
        <v>0</v>
      </c>
      <c r="F383" s="1">
        <v>6</v>
      </c>
      <c r="G383" s="1">
        <v>0</v>
      </c>
      <c r="I383" s="58" t="str">
        <f t="shared" si="5"/>
        <v>East Midlands Arb Ltd</v>
      </c>
    </row>
    <row r="384" spans="2:9" ht="15.75" customHeight="1" x14ac:dyDescent="0.2">
      <c r="D384" s="1" t="s">
        <v>337</v>
      </c>
      <c r="E384" s="1">
        <v>0</v>
      </c>
      <c r="F384" s="1">
        <v>4</v>
      </c>
      <c r="G384" s="1">
        <v>0</v>
      </c>
      <c r="I384" s="58" t="str">
        <f t="shared" si="5"/>
        <v>East Midlands Arb Ltd</v>
      </c>
    </row>
    <row r="385" spans="3:9" ht="15.75" customHeight="1" x14ac:dyDescent="0.2">
      <c r="C385" s="1" t="s">
        <v>430</v>
      </c>
      <c r="D385" s="1" t="s">
        <v>334</v>
      </c>
      <c r="E385" s="1">
        <v>0.48</v>
      </c>
      <c r="F385" s="1">
        <v>17</v>
      </c>
      <c r="G385" s="1">
        <v>8</v>
      </c>
      <c r="I385" s="58" t="str">
        <f t="shared" si="5"/>
        <v>East Midlands Arb Ltd</v>
      </c>
    </row>
    <row r="386" spans="3:9" ht="15.75" customHeight="1" x14ac:dyDescent="0.2">
      <c r="D386" s="1" t="s">
        <v>337</v>
      </c>
      <c r="E386" s="1">
        <v>0</v>
      </c>
      <c r="F386" s="1">
        <v>4</v>
      </c>
      <c r="G386" s="1">
        <v>0</v>
      </c>
      <c r="I386" s="58" t="str">
        <f t="shared" si="5"/>
        <v>East Midlands Arb Ltd</v>
      </c>
    </row>
    <row r="387" spans="3:9" ht="15.75" customHeight="1" x14ac:dyDescent="0.2">
      <c r="D387" s="1" t="s">
        <v>340</v>
      </c>
      <c r="E387" s="1">
        <v>0.57999999999999996</v>
      </c>
      <c r="F387" s="1">
        <v>7</v>
      </c>
      <c r="G387" s="1">
        <v>4</v>
      </c>
      <c r="I387" s="58" t="str">
        <f t="shared" si="5"/>
        <v>East Midlands Arb Ltd</v>
      </c>
    </row>
    <row r="388" spans="3:9" ht="15.75" customHeight="1" x14ac:dyDescent="0.2">
      <c r="D388" s="1" t="s">
        <v>336</v>
      </c>
      <c r="E388" s="1">
        <v>0.67</v>
      </c>
      <c r="F388" s="1">
        <v>6</v>
      </c>
      <c r="G388" s="1">
        <v>4</v>
      </c>
      <c r="I388" s="58" t="str">
        <f t="shared" si="5"/>
        <v>East Midlands Arb Ltd</v>
      </c>
    </row>
    <row r="389" spans="3:9" ht="15.75" customHeight="1" x14ac:dyDescent="0.2">
      <c r="C389" s="1" t="s">
        <v>431</v>
      </c>
      <c r="D389" s="1" t="s">
        <v>334</v>
      </c>
      <c r="E389" s="1">
        <v>0.65</v>
      </c>
      <c r="F389" s="1">
        <v>17</v>
      </c>
      <c r="G389" s="1">
        <v>11</v>
      </c>
      <c r="I389" s="58" t="str">
        <f t="shared" si="5"/>
        <v>East Midlands Arb Ltd</v>
      </c>
    </row>
    <row r="390" spans="3:9" ht="15.75" customHeight="1" x14ac:dyDescent="0.2">
      <c r="D390" s="1" t="s">
        <v>336</v>
      </c>
      <c r="E390" s="1">
        <v>0.34</v>
      </c>
      <c r="F390" s="1">
        <v>6</v>
      </c>
      <c r="G390" s="1">
        <v>2</v>
      </c>
      <c r="I390" s="58" t="str">
        <f t="shared" ref="I390:I453" si="6">IF(B390&lt;&gt;"",B390,I389)</f>
        <v>East Midlands Arb Ltd</v>
      </c>
    </row>
    <row r="391" spans="3:9" ht="15.75" customHeight="1" x14ac:dyDescent="0.2">
      <c r="D391" s="1" t="s">
        <v>340</v>
      </c>
      <c r="E391" s="1">
        <v>0.72</v>
      </c>
      <c r="F391" s="1">
        <v>7</v>
      </c>
      <c r="G391" s="1">
        <v>5</v>
      </c>
      <c r="I391" s="58" t="str">
        <f t="shared" si="6"/>
        <v>East Midlands Arb Ltd</v>
      </c>
    </row>
    <row r="392" spans="3:9" ht="15.75" customHeight="1" x14ac:dyDescent="0.2">
      <c r="D392" s="1" t="s">
        <v>337</v>
      </c>
      <c r="E392" s="1">
        <v>1</v>
      </c>
      <c r="F392" s="1">
        <v>4</v>
      </c>
      <c r="G392" s="1">
        <v>4</v>
      </c>
      <c r="I392" s="58" t="str">
        <f t="shared" si="6"/>
        <v>East Midlands Arb Ltd</v>
      </c>
    </row>
    <row r="393" spans="3:9" ht="15.75" customHeight="1" x14ac:dyDescent="0.2">
      <c r="C393" s="1" t="s">
        <v>432</v>
      </c>
      <c r="D393" s="1" t="s">
        <v>334</v>
      </c>
      <c r="E393" s="1">
        <v>0.71</v>
      </c>
      <c r="F393" s="1">
        <v>17</v>
      </c>
      <c r="G393" s="1">
        <v>12</v>
      </c>
      <c r="I393" s="58" t="str">
        <f t="shared" si="6"/>
        <v>East Midlands Arb Ltd</v>
      </c>
    </row>
    <row r="394" spans="3:9" ht="15.75" customHeight="1" x14ac:dyDescent="0.2">
      <c r="D394" s="1" t="s">
        <v>336</v>
      </c>
      <c r="E394" s="1">
        <v>0.34</v>
      </c>
      <c r="F394" s="1">
        <v>6</v>
      </c>
      <c r="G394" s="1">
        <v>2</v>
      </c>
      <c r="I394" s="58" t="str">
        <f t="shared" si="6"/>
        <v>East Midlands Arb Ltd</v>
      </c>
    </row>
    <row r="395" spans="3:9" ht="15.75" customHeight="1" x14ac:dyDescent="0.2">
      <c r="D395" s="1" t="s">
        <v>340</v>
      </c>
      <c r="E395" s="1">
        <v>0.86</v>
      </c>
      <c r="F395" s="1">
        <v>7</v>
      </c>
      <c r="G395" s="1">
        <v>6</v>
      </c>
      <c r="I395" s="58" t="str">
        <f t="shared" si="6"/>
        <v>East Midlands Arb Ltd</v>
      </c>
    </row>
    <row r="396" spans="3:9" ht="15.75" customHeight="1" x14ac:dyDescent="0.2">
      <c r="D396" s="1" t="s">
        <v>337</v>
      </c>
      <c r="E396" s="1">
        <v>1</v>
      </c>
      <c r="F396" s="1">
        <v>4</v>
      </c>
      <c r="G396" s="1">
        <v>4</v>
      </c>
      <c r="I396" s="58" t="str">
        <f t="shared" si="6"/>
        <v>East Midlands Arb Ltd</v>
      </c>
    </row>
    <row r="397" spans="3:9" ht="15.75" customHeight="1" x14ac:dyDescent="0.2">
      <c r="C397" s="1" t="s">
        <v>433</v>
      </c>
      <c r="D397" s="1" t="s">
        <v>334</v>
      </c>
      <c r="E397" s="1">
        <v>0.83</v>
      </c>
      <c r="F397" s="1">
        <v>17</v>
      </c>
      <c r="G397" s="1">
        <v>14</v>
      </c>
      <c r="I397" s="58" t="str">
        <f t="shared" si="6"/>
        <v>East Midlands Arb Ltd</v>
      </c>
    </row>
    <row r="398" spans="3:9" ht="15.75" customHeight="1" x14ac:dyDescent="0.2">
      <c r="D398" s="1" t="s">
        <v>336</v>
      </c>
      <c r="E398" s="1">
        <v>0.67</v>
      </c>
      <c r="F398" s="1">
        <v>6</v>
      </c>
      <c r="G398" s="1">
        <v>4</v>
      </c>
      <c r="I398" s="58" t="str">
        <f t="shared" si="6"/>
        <v>East Midlands Arb Ltd</v>
      </c>
    </row>
    <row r="399" spans="3:9" ht="15.75" customHeight="1" x14ac:dyDescent="0.2">
      <c r="D399" s="1" t="s">
        <v>340</v>
      </c>
      <c r="E399" s="1">
        <v>0.86</v>
      </c>
      <c r="F399" s="1">
        <v>7</v>
      </c>
      <c r="G399" s="1">
        <v>6</v>
      </c>
      <c r="I399" s="58" t="str">
        <f t="shared" si="6"/>
        <v>East Midlands Arb Ltd</v>
      </c>
    </row>
    <row r="400" spans="3:9" ht="15.75" customHeight="1" x14ac:dyDescent="0.2">
      <c r="D400" s="1" t="s">
        <v>337</v>
      </c>
      <c r="E400" s="1">
        <v>1</v>
      </c>
      <c r="F400" s="1">
        <v>4</v>
      </c>
      <c r="G400" s="1">
        <v>4</v>
      </c>
      <c r="I400" s="58" t="str">
        <f t="shared" si="6"/>
        <v>East Midlands Arb Ltd</v>
      </c>
    </row>
    <row r="401" spans="2:9" ht="15.75" customHeight="1" x14ac:dyDescent="0.2">
      <c r="C401" s="1" t="s">
        <v>434</v>
      </c>
      <c r="D401" s="1" t="s">
        <v>334</v>
      </c>
      <c r="E401" s="1">
        <v>1</v>
      </c>
      <c r="F401" s="1">
        <v>4</v>
      </c>
      <c r="G401" s="1">
        <v>4</v>
      </c>
      <c r="I401" s="58" t="str">
        <f t="shared" si="6"/>
        <v>East Midlands Arb Ltd</v>
      </c>
    </row>
    <row r="402" spans="2:9" ht="15.75" customHeight="1" x14ac:dyDescent="0.2">
      <c r="D402" s="1" t="s">
        <v>343</v>
      </c>
      <c r="E402" s="1">
        <v>1</v>
      </c>
      <c r="F402" s="1">
        <v>4</v>
      </c>
      <c r="G402" s="1">
        <v>4</v>
      </c>
      <c r="I402" s="58" t="str">
        <f t="shared" si="6"/>
        <v>East Midlands Arb Ltd</v>
      </c>
    </row>
    <row r="403" spans="2:9" ht="15.75" customHeight="1" x14ac:dyDescent="0.2">
      <c r="B403" s="1" t="s">
        <v>154</v>
      </c>
      <c r="C403" s="1" t="s">
        <v>334</v>
      </c>
      <c r="E403" s="1">
        <v>0.57999999999999996</v>
      </c>
      <c r="F403" s="1">
        <v>134</v>
      </c>
      <c r="G403" s="1">
        <v>77</v>
      </c>
      <c r="H403" s="57">
        <v>43803</v>
      </c>
      <c r="I403" s="58" t="str">
        <f t="shared" si="6"/>
        <v>Crimson Kings (Midlands) Ltd</v>
      </c>
    </row>
    <row r="404" spans="2:9" ht="15.75" customHeight="1" x14ac:dyDescent="0.2">
      <c r="C404" s="1" t="s">
        <v>435</v>
      </c>
      <c r="D404" s="1" t="s">
        <v>334</v>
      </c>
      <c r="E404" s="1">
        <v>0.24</v>
      </c>
      <c r="F404" s="1">
        <v>17</v>
      </c>
      <c r="G404" s="1">
        <v>4</v>
      </c>
      <c r="I404" s="58" t="str">
        <f t="shared" si="6"/>
        <v>Crimson Kings (Midlands) Ltd</v>
      </c>
    </row>
    <row r="405" spans="2:9" ht="15.75" customHeight="1" x14ac:dyDescent="0.2">
      <c r="D405" s="1" t="s">
        <v>337</v>
      </c>
      <c r="E405" s="1">
        <v>0</v>
      </c>
      <c r="F405" s="1">
        <v>4</v>
      </c>
      <c r="G405" s="1">
        <v>0</v>
      </c>
      <c r="I405" s="58" t="str">
        <f t="shared" si="6"/>
        <v>Crimson Kings (Midlands) Ltd</v>
      </c>
    </row>
    <row r="406" spans="2:9" ht="15.75" customHeight="1" x14ac:dyDescent="0.2">
      <c r="D406" s="1" t="s">
        <v>340</v>
      </c>
      <c r="E406" s="1">
        <v>0.15</v>
      </c>
      <c r="F406" s="1">
        <v>7</v>
      </c>
      <c r="G406" s="1">
        <v>1</v>
      </c>
      <c r="I406" s="58" t="str">
        <f t="shared" si="6"/>
        <v>Crimson Kings (Midlands) Ltd</v>
      </c>
    </row>
    <row r="407" spans="2:9" ht="15.75" customHeight="1" x14ac:dyDescent="0.2">
      <c r="D407" s="1" t="s">
        <v>336</v>
      </c>
      <c r="E407" s="1">
        <v>0.5</v>
      </c>
      <c r="F407" s="1">
        <v>6</v>
      </c>
      <c r="G407" s="1">
        <v>3</v>
      </c>
      <c r="I407" s="58" t="str">
        <f t="shared" si="6"/>
        <v>Crimson Kings (Midlands) Ltd</v>
      </c>
    </row>
    <row r="408" spans="2:9" ht="15.75" customHeight="1" x14ac:dyDescent="0.2">
      <c r="C408" s="1" t="s">
        <v>436</v>
      </c>
      <c r="D408" s="1" t="s">
        <v>334</v>
      </c>
      <c r="E408" s="1">
        <v>0.42</v>
      </c>
      <c r="F408" s="1">
        <v>17</v>
      </c>
      <c r="G408" s="1">
        <v>7</v>
      </c>
      <c r="I408" s="58" t="str">
        <f t="shared" si="6"/>
        <v>Crimson Kings (Midlands) Ltd</v>
      </c>
    </row>
    <row r="409" spans="2:9" ht="15.75" customHeight="1" x14ac:dyDescent="0.2">
      <c r="D409" s="1" t="s">
        <v>337</v>
      </c>
      <c r="E409" s="1">
        <v>0.25</v>
      </c>
      <c r="F409" s="1">
        <v>4</v>
      </c>
      <c r="G409" s="1">
        <v>1</v>
      </c>
      <c r="I409" s="58" t="str">
        <f t="shared" si="6"/>
        <v>Crimson Kings (Midlands) Ltd</v>
      </c>
    </row>
    <row r="410" spans="2:9" ht="15.75" customHeight="1" x14ac:dyDescent="0.2">
      <c r="D410" s="1" t="s">
        <v>340</v>
      </c>
      <c r="E410" s="1">
        <v>0.28999999999999998</v>
      </c>
      <c r="F410" s="1">
        <v>7</v>
      </c>
      <c r="G410" s="1">
        <v>2</v>
      </c>
      <c r="I410" s="58" t="str">
        <f t="shared" si="6"/>
        <v>Crimson Kings (Midlands) Ltd</v>
      </c>
    </row>
    <row r="411" spans="2:9" ht="15.75" customHeight="1" x14ac:dyDescent="0.2">
      <c r="D411" s="1" t="s">
        <v>336</v>
      </c>
      <c r="E411" s="1">
        <v>0.67</v>
      </c>
      <c r="F411" s="1">
        <v>6</v>
      </c>
      <c r="G411" s="1">
        <v>4</v>
      </c>
      <c r="I411" s="58" t="str">
        <f t="shared" si="6"/>
        <v>Crimson Kings (Midlands) Ltd</v>
      </c>
    </row>
    <row r="412" spans="2:9" ht="15.75" customHeight="1" x14ac:dyDescent="0.2">
      <c r="C412" s="1" t="s">
        <v>154</v>
      </c>
      <c r="D412" s="1" t="s">
        <v>334</v>
      </c>
      <c r="E412" s="1">
        <v>0.5</v>
      </c>
      <c r="F412" s="1">
        <v>4</v>
      </c>
      <c r="G412" s="1">
        <v>2</v>
      </c>
      <c r="I412" s="58" t="str">
        <f t="shared" si="6"/>
        <v>Crimson Kings (Midlands) Ltd</v>
      </c>
    </row>
    <row r="413" spans="2:9" ht="15.75" customHeight="1" x14ac:dyDescent="0.2">
      <c r="D413" s="1" t="s">
        <v>343</v>
      </c>
      <c r="E413" s="1">
        <v>0.5</v>
      </c>
      <c r="F413" s="1">
        <v>4</v>
      </c>
      <c r="G413" s="1">
        <v>2</v>
      </c>
      <c r="I413" s="58" t="str">
        <f t="shared" si="6"/>
        <v>Crimson Kings (Midlands) Ltd</v>
      </c>
    </row>
    <row r="414" spans="2:9" ht="15.75" customHeight="1" x14ac:dyDescent="0.2">
      <c r="C414" s="1" t="s">
        <v>437</v>
      </c>
      <c r="D414" s="1" t="s">
        <v>334</v>
      </c>
      <c r="E414" s="1">
        <v>0.6</v>
      </c>
      <c r="F414" s="1">
        <v>15</v>
      </c>
      <c r="G414" s="1">
        <v>9</v>
      </c>
      <c r="I414" s="58" t="str">
        <f t="shared" si="6"/>
        <v>Crimson Kings (Midlands) Ltd</v>
      </c>
    </row>
    <row r="415" spans="2:9" ht="15.75" customHeight="1" x14ac:dyDescent="0.2">
      <c r="D415" s="1" t="s">
        <v>336</v>
      </c>
      <c r="E415" s="1">
        <v>0.17</v>
      </c>
      <c r="F415" s="1">
        <v>6</v>
      </c>
      <c r="G415" s="1">
        <v>1</v>
      </c>
      <c r="I415" s="58" t="str">
        <f t="shared" si="6"/>
        <v>Crimson Kings (Midlands) Ltd</v>
      </c>
    </row>
    <row r="416" spans="2:9" ht="15.75" customHeight="1" x14ac:dyDescent="0.2">
      <c r="D416" s="1" t="s">
        <v>338</v>
      </c>
      <c r="E416" s="1">
        <v>0.8</v>
      </c>
      <c r="F416" s="1">
        <v>5</v>
      </c>
      <c r="G416" s="1">
        <v>4</v>
      </c>
      <c r="I416" s="58" t="str">
        <f t="shared" si="6"/>
        <v>Crimson Kings (Midlands) Ltd</v>
      </c>
    </row>
    <row r="417" spans="3:9" ht="15.75" customHeight="1" x14ac:dyDescent="0.2">
      <c r="D417" s="1" t="s">
        <v>337</v>
      </c>
      <c r="E417" s="1">
        <v>1</v>
      </c>
      <c r="F417" s="1">
        <v>4</v>
      </c>
      <c r="G417" s="1">
        <v>4</v>
      </c>
      <c r="I417" s="58" t="str">
        <f t="shared" si="6"/>
        <v>Crimson Kings (Midlands) Ltd</v>
      </c>
    </row>
    <row r="418" spans="3:9" ht="15.75" customHeight="1" x14ac:dyDescent="0.2">
      <c r="C418" s="1" t="s">
        <v>438</v>
      </c>
      <c r="D418" s="1" t="s">
        <v>334</v>
      </c>
      <c r="E418" s="1">
        <v>0.6</v>
      </c>
      <c r="F418" s="1">
        <v>15</v>
      </c>
      <c r="G418" s="1">
        <v>9</v>
      </c>
      <c r="I418" s="58" t="str">
        <f t="shared" si="6"/>
        <v>Crimson Kings (Midlands) Ltd</v>
      </c>
    </row>
    <row r="419" spans="3:9" ht="15.75" customHeight="1" x14ac:dyDescent="0.2">
      <c r="D419" s="1" t="s">
        <v>337</v>
      </c>
      <c r="E419" s="1">
        <v>0.25</v>
      </c>
      <c r="F419" s="1">
        <v>4</v>
      </c>
      <c r="G419" s="1">
        <v>1</v>
      </c>
      <c r="I419" s="58" t="str">
        <f t="shared" si="6"/>
        <v>Crimson Kings (Midlands) Ltd</v>
      </c>
    </row>
    <row r="420" spans="3:9" ht="15.75" customHeight="1" x14ac:dyDescent="0.2">
      <c r="D420" s="1" t="s">
        <v>336</v>
      </c>
      <c r="E420" s="1">
        <v>0.5</v>
      </c>
      <c r="F420" s="1">
        <v>6</v>
      </c>
      <c r="G420" s="1">
        <v>3</v>
      </c>
      <c r="I420" s="58" t="str">
        <f t="shared" si="6"/>
        <v>Crimson Kings (Midlands) Ltd</v>
      </c>
    </row>
    <row r="421" spans="3:9" ht="15.75" customHeight="1" x14ac:dyDescent="0.2">
      <c r="D421" s="1" t="s">
        <v>338</v>
      </c>
      <c r="E421" s="1">
        <v>1</v>
      </c>
      <c r="F421" s="1">
        <v>5</v>
      </c>
      <c r="G421" s="1">
        <v>5</v>
      </c>
      <c r="I421" s="58" t="str">
        <f t="shared" si="6"/>
        <v>Crimson Kings (Midlands) Ltd</v>
      </c>
    </row>
    <row r="422" spans="3:9" ht="15.75" customHeight="1" x14ac:dyDescent="0.2">
      <c r="C422" s="1" t="s">
        <v>439</v>
      </c>
      <c r="D422" s="1" t="s">
        <v>334</v>
      </c>
      <c r="E422" s="1">
        <v>0.65</v>
      </c>
      <c r="F422" s="1">
        <v>17</v>
      </c>
      <c r="G422" s="1">
        <v>11</v>
      </c>
      <c r="I422" s="58" t="str">
        <f t="shared" si="6"/>
        <v>Crimson Kings (Midlands) Ltd</v>
      </c>
    </row>
    <row r="423" spans="3:9" ht="15.75" customHeight="1" x14ac:dyDescent="0.2">
      <c r="D423" s="1" t="s">
        <v>336</v>
      </c>
      <c r="E423" s="1">
        <v>0.5</v>
      </c>
      <c r="F423" s="1">
        <v>6</v>
      </c>
      <c r="G423" s="1">
        <v>3</v>
      </c>
      <c r="I423" s="58" t="str">
        <f t="shared" si="6"/>
        <v>Crimson Kings (Midlands) Ltd</v>
      </c>
    </row>
    <row r="424" spans="3:9" ht="15.75" customHeight="1" x14ac:dyDescent="0.2">
      <c r="D424" s="1" t="s">
        <v>340</v>
      </c>
      <c r="E424" s="1">
        <v>0.57999999999999996</v>
      </c>
      <c r="F424" s="1">
        <v>7</v>
      </c>
      <c r="G424" s="1">
        <v>4</v>
      </c>
      <c r="I424" s="58" t="str">
        <f t="shared" si="6"/>
        <v>Crimson Kings (Midlands) Ltd</v>
      </c>
    </row>
    <row r="425" spans="3:9" ht="15.75" customHeight="1" x14ac:dyDescent="0.2">
      <c r="D425" s="1" t="s">
        <v>337</v>
      </c>
      <c r="E425" s="1">
        <v>1</v>
      </c>
      <c r="F425" s="1">
        <v>4</v>
      </c>
      <c r="G425" s="1">
        <v>4</v>
      </c>
      <c r="I425" s="58" t="str">
        <f t="shared" si="6"/>
        <v>Crimson Kings (Midlands) Ltd</v>
      </c>
    </row>
    <row r="426" spans="3:9" ht="15.75" customHeight="1" x14ac:dyDescent="0.2">
      <c r="C426" s="1" t="s">
        <v>440</v>
      </c>
      <c r="D426" s="1" t="s">
        <v>334</v>
      </c>
      <c r="E426" s="1">
        <v>0.65</v>
      </c>
      <c r="F426" s="1">
        <v>17</v>
      </c>
      <c r="G426" s="1">
        <v>11</v>
      </c>
      <c r="I426" s="58" t="str">
        <f t="shared" si="6"/>
        <v>Crimson Kings (Midlands) Ltd</v>
      </c>
    </row>
    <row r="427" spans="3:9" ht="15.75" customHeight="1" x14ac:dyDescent="0.2">
      <c r="D427" s="1" t="s">
        <v>337</v>
      </c>
      <c r="E427" s="1">
        <v>0.5</v>
      </c>
      <c r="F427" s="1">
        <v>4</v>
      </c>
      <c r="G427" s="1">
        <v>2</v>
      </c>
      <c r="I427" s="58" t="str">
        <f t="shared" si="6"/>
        <v>Crimson Kings (Midlands) Ltd</v>
      </c>
    </row>
    <row r="428" spans="3:9" ht="15.75" customHeight="1" x14ac:dyDescent="0.2">
      <c r="D428" s="1" t="s">
        <v>336</v>
      </c>
      <c r="E428" s="1">
        <v>0.67</v>
      </c>
      <c r="F428" s="1">
        <v>6</v>
      </c>
      <c r="G428" s="1">
        <v>4</v>
      </c>
      <c r="I428" s="58" t="str">
        <f t="shared" si="6"/>
        <v>Crimson Kings (Midlands) Ltd</v>
      </c>
    </row>
    <row r="429" spans="3:9" ht="15.75" customHeight="1" x14ac:dyDescent="0.2">
      <c r="D429" s="1" t="s">
        <v>340</v>
      </c>
      <c r="E429" s="1">
        <v>0.72</v>
      </c>
      <c r="F429" s="1">
        <v>7</v>
      </c>
      <c r="G429" s="1">
        <v>5</v>
      </c>
      <c r="I429" s="58" t="str">
        <f t="shared" si="6"/>
        <v>Crimson Kings (Midlands) Ltd</v>
      </c>
    </row>
    <row r="430" spans="3:9" ht="15.75" customHeight="1" x14ac:dyDescent="0.2">
      <c r="C430" s="1" t="s">
        <v>441</v>
      </c>
      <c r="D430" s="1" t="s">
        <v>334</v>
      </c>
      <c r="E430" s="1">
        <v>0.71</v>
      </c>
      <c r="F430" s="1">
        <v>17</v>
      </c>
      <c r="G430" s="1">
        <v>12</v>
      </c>
      <c r="I430" s="58" t="str">
        <f t="shared" si="6"/>
        <v>Crimson Kings (Midlands) Ltd</v>
      </c>
    </row>
    <row r="431" spans="3:9" ht="15.75" customHeight="1" x14ac:dyDescent="0.2">
      <c r="D431" s="1" t="s">
        <v>336</v>
      </c>
      <c r="E431" s="1">
        <v>0.5</v>
      </c>
      <c r="F431" s="1">
        <v>6</v>
      </c>
      <c r="G431" s="1">
        <v>3</v>
      </c>
      <c r="I431" s="58" t="str">
        <f t="shared" si="6"/>
        <v>Crimson Kings (Midlands) Ltd</v>
      </c>
    </row>
    <row r="432" spans="3:9" ht="15.75" customHeight="1" x14ac:dyDescent="0.2">
      <c r="D432" s="1" t="s">
        <v>340</v>
      </c>
      <c r="E432" s="1">
        <v>0.72</v>
      </c>
      <c r="F432" s="1">
        <v>7</v>
      </c>
      <c r="G432" s="1">
        <v>5</v>
      </c>
      <c r="I432" s="58" t="str">
        <f t="shared" si="6"/>
        <v>Crimson Kings (Midlands) Ltd</v>
      </c>
    </row>
    <row r="433" spans="2:9" ht="15.75" customHeight="1" x14ac:dyDescent="0.2">
      <c r="D433" s="1" t="s">
        <v>337</v>
      </c>
      <c r="E433" s="1">
        <v>1</v>
      </c>
      <c r="F433" s="1">
        <v>4</v>
      </c>
      <c r="G433" s="1">
        <v>4</v>
      </c>
      <c r="I433" s="58" t="str">
        <f t="shared" si="6"/>
        <v>Crimson Kings (Midlands) Ltd</v>
      </c>
    </row>
    <row r="434" spans="2:9" ht="15.75" customHeight="1" x14ac:dyDescent="0.2">
      <c r="C434" s="1" t="s">
        <v>442</v>
      </c>
      <c r="D434" s="1" t="s">
        <v>334</v>
      </c>
      <c r="E434" s="1">
        <v>0.8</v>
      </c>
      <c r="F434" s="1">
        <v>15</v>
      </c>
      <c r="G434" s="1">
        <v>12</v>
      </c>
      <c r="I434" s="58" t="str">
        <f t="shared" si="6"/>
        <v>Crimson Kings (Midlands) Ltd</v>
      </c>
    </row>
    <row r="435" spans="2:9" ht="15.75" customHeight="1" x14ac:dyDescent="0.2">
      <c r="D435" s="1" t="s">
        <v>336</v>
      </c>
      <c r="E435" s="1">
        <v>0.5</v>
      </c>
      <c r="F435" s="1">
        <v>6</v>
      </c>
      <c r="G435" s="1">
        <v>3</v>
      </c>
      <c r="I435" s="58" t="str">
        <f t="shared" si="6"/>
        <v>Crimson Kings (Midlands) Ltd</v>
      </c>
    </row>
    <row r="436" spans="2:9" ht="15.75" customHeight="1" x14ac:dyDescent="0.2">
      <c r="D436" s="1" t="s">
        <v>337</v>
      </c>
      <c r="E436" s="1">
        <v>1</v>
      </c>
      <c r="F436" s="1">
        <v>4</v>
      </c>
      <c r="G436" s="1">
        <v>4</v>
      </c>
      <c r="I436" s="58" t="str">
        <f t="shared" si="6"/>
        <v>Crimson Kings (Midlands) Ltd</v>
      </c>
    </row>
    <row r="437" spans="2:9" ht="15.75" customHeight="1" x14ac:dyDescent="0.2">
      <c r="D437" s="1" t="s">
        <v>338</v>
      </c>
      <c r="E437" s="1">
        <v>1</v>
      </c>
      <c r="F437" s="1">
        <v>5</v>
      </c>
      <c r="G437" s="1">
        <v>5</v>
      </c>
      <c r="I437" s="58" t="str">
        <f t="shared" si="6"/>
        <v>Crimson Kings (Midlands) Ltd</v>
      </c>
    </row>
    <row r="438" spans="2:9" ht="15.75" customHeight="1" x14ac:dyDescent="0.2">
      <c r="B438" s="1" t="s">
        <v>134</v>
      </c>
      <c r="C438" s="1" t="s">
        <v>334</v>
      </c>
      <c r="E438" s="1">
        <v>0.57999999999999996</v>
      </c>
      <c r="F438" s="1">
        <v>77</v>
      </c>
      <c r="G438" s="1">
        <v>44</v>
      </c>
      <c r="H438" s="57">
        <v>44375</v>
      </c>
      <c r="I438" s="58" t="str">
        <f t="shared" si="6"/>
        <v>Vale Tree Surgeons</v>
      </c>
    </row>
    <row r="439" spans="2:9" ht="15.75" customHeight="1" x14ac:dyDescent="0.2">
      <c r="C439" s="1" t="s">
        <v>443</v>
      </c>
      <c r="D439" s="1" t="s">
        <v>334</v>
      </c>
      <c r="E439" s="1">
        <v>0.3</v>
      </c>
      <c r="F439" s="1">
        <v>17</v>
      </c>
      <c r="G439" s="1">
        <v>5</v>
      </c>
      <c r="I439" s="58" t="str">
        <f t="shared" si="6"/>
        <v>Vale Tree Surgeons</v>
      </c>
    </row>
    <row r="440" spans="2:9" ht="15.75" customHeight="1" x14ac:dyDescent="0.2">
      <c r="D440" s="1" t="s">
        <v>336</v>
      </c>
      <c r="E440" s="1">
        <v>0</v>
      </c>
      <c r="F440" s="1">
        <v>6</v>
      </c>
      <c r="G440" s="1">
        <v>0</v>
      </c>
      <c r="I440" s="58" t="str">
        <f t="shared" si="6"/>
        <v>Vale Tree Surgeons</v>
      </c>
    </row>
    <row r="441" spans="2:9" ht="15.75" customHeight="1" x14ac:dyDescent="0.2">
      <c r="D441" s="1" t="s">
        <v>340</v>
      </c>
      <c r="E441" s="1">
        <v>0.28999999999999998</v>
      </c>
      <c r="F441" s="1">
        <v>7</v>
      </c>
      <c r="G441" s="1">
        <v>2</v>
      </c>
      <c r="I441" s="58" t="str">
        <f t="shared" si="6"/>
        <v>Vale Tree Surgeons</v>
      </c>
    </row>
    <row r="442" spans="2:9" ht="15.75" customHeight="1" x14ac:dyDescent="0.2">
      <c r="D442" s="1" t="s">
        <v>337</v>
      </c>
      <c r="E442" s="1">
        <v>0.75</v>
      </c>
      <c r="F442" s="1">
        <v>4</v>
      </c>
      <c r="G442" s="1">
        <v>3</v>
      </c>
      <c r="I442" s="58" t="str">
        <f t="shared" si="6"/>
        <v>Vale Tree Surgeons</v>
      </c>
    </row>
    <row r="443" spans="2:9" ht="15.75" customHeight="1" x14ac:dyDescent="0.2">
      <c r="C443" s="1" t="s">
        <v>444</v>
      </c>
      <c r="D443" s="1" t="s">
        <v>334</v>
      </c>
      <c r="E443" s="1">
        <v>0.39</v>
      </c>
      <c r="F443" s="1">
        <v>13</v>
      </c>
      <c r="G443" s="1">
        <v>5</v>
      </c>
      <c r="I443" s="58" t="str">
        <f t="shared" si="6"/>
        <v>Vale Tree Surgeons</v>
      </c>
    </row>
    <row r="444" spans="2:9" ht="15.75" customHeight="1" x14ac:dyDescent="0.2">
      <c r="D444" s="1" t="s">
        <v>336</v>
      </c>
      <c r="E444" s="1">
        <v>0</v>
      </c>
      <c r="F444" s="1">
        <v>6</v>
      </c>
      <c r="G444" s="1">
        <v>0</v>
      </c>
      <c r="I444" s="58" t="str">
        <f t="shared" si="6"/>
        <v>Vale Tree Surgeons</v>
      </c>
    </row>
    <row r="445" spans="2:9" ht="15.75" customHeight="1" x14ac:dyDescent="0.2">
      <c r="D445" s="1" t="s">
        <v>340</v>
      </c>
      <c r="E445" s="1">
        <v>0.72</v>
      </c>
      <c r="F445" s="1">
        <v>7</v>
      </c>
      <c r="G445" s="1">
        <v>5</v>
      </c>
      <c r="I445" s="58" t="str">
        <f t="shared" si="6"/>
        <v>Vale Tree Surgeons</v>
      </c>
    </row>
    <row r="446" spans="2:9" ht="15.75" customHeight="1" x14ac:dyDescent="0.2">
      <c r="C446" s="1" t="s">
        <v>134</v>
      </c>
      <c r="D446" s="1" t="s">
        <v>334</v>
      </c>
      <c r="E446" s="1">
        <v>0.5</v>
      </c>
      <c r="F446" s="1">
        <v>4</v>
      </c>
      <c r="G446" s="1">
        <v>2</v>
      </c>
      <c r="I446" s="58" t="str">
        <f t="shared" si="6"/>
        <v>Vale Tree Surgeons</v>
      </c>
    </row>
    <row r="447" spans="2:9" ht="15.75" customHeight="1" x14ac:dyDescent="0.2">
      <c r="D447" s="1" t="s">
        <v>343</v>
      </c>
      <c r="E447" s="1">
        <v>0.5</v>
      </c>
      <c r="F447" s="1">
        <v>4</v>
      </c>
      <c r="G447" s="1">
        <v>2</v>
      </c>
      <c r="I447" s="58" t="str">
        <f t="shared" si="6"/>
        <v>Vale Tree Surgeons</v>
      </c>
    </row>
    <row r="448" spans="2:9" ht="15.75" customHeight="1" x14ac:dyDescent="0.2">
      <c r="C448" s="1" t="s">
        <v>445</v>
      </c>
      <c r="D448" s="1" t="s">
        <v>334</v>
      </c>
      <c r="E448" s="1">
        <v>0.64</v>
      </c>
      <c r="F448" s="1">
        <v>11</v>
      </c>
      <c r="G448" s="1">
        <v>7</v>
      </c>
      <c r="I448" s="58" t="str">
        <f t="shared" si="6"/>
        <v>Vale Tree Surgeons</v>
      </c>
    </row>
    <row r="449" spans="2:9" ht="15.75" customHeight="1" x14ac:dyDescent="0.2">
      <c r="D449" s="1" t="s">
        <v>338</v>
      </c>
      <c r="E449" s="1">
        <v>0.6</v>
      </c>
      <c r="F449" s="1">
        <v>5</v>
      </c>
      <c r="G449" s="1">
        <v>3</v>
      </c>
      <c r="I449" s="58" t="str">
        <f t="shared" si="6"/>
        <v>Vale Tree Surgeons</v>
      </c>
    </row>
    <row r="450" spans="2:9" ht="15.75" customHeight="1" x14ac:dyDescent="0.2">
      <c r="D450" s="1" t="s">
        <v>336</v>
      </c>
      <c r="E450" s="1">
        <v>0.67</v>
      </c>
      <c r="F450" s="1">
        <v>6</v>
      </c>
      <c r="G450" s="1">
        <v>4</v>
      </c>
      <c r="I450" s="58" t="str">
        <f t="shared" si="6"/>
        <v>Vale Tree Surgeons</v>
      </c>
    </row>
    <row r="451" spans="2:9" ht="15.75" customHeight="1" x14ac:dyDescent="0.2">
      <c r="C451" s="1" t="s">
        <v>446</v>
      </c>
      <c r="D451" s="1" t="s">
        <v>334</v>
      </c>
      <c r="E451" s="1">
        <v>0.77</v>
      </c>
      <c r="F451" s="1">
        <v>17</v>
      </c>
      <c r="G451" s="1">
        <v>13</v>
      </c>
      <c r="I451" s="58" t="str">
        <f t="shared" si="6"/>
        <v>Vale Tree Surgeons</v>
      </c>
    </row>
    <row r="452" spans="2:9" ht="15.75" customHeight="1" x14ac:dyDescent="0.2">
      <c r="D452" s="1" t="s">
        <v>336</v>
      </c>
      <c r="E452" s="1">
        <v>0.67</v>
      </c>
      <c r="F452" s="1">
        <v>6</v>
      </c>
      <c r="G452" s="1">
        <v>4</v>
      </c>
      <c r="I452" s="58" t="str">
        <f t="shared" si="6"/>
        <v>Vale Tree Surgeons</v>
      </c>
    </row>
    <row r="453" spans="2:9" ht="15.75" customHeight="1" x14ac:dyDescent="0.2">
      <c r="D453" s="1" t="s">
        <v>337</v>
      </c>
      <c r="E453" s="1">
        <v>0.75</v>
      </c>
      <c r="F453" s="1">
        <v>4</v>
      </c>
      <c r="G453" s="1">
        <v>3</v>
      </c>
      <c r="I453" s="58" t="str">
        <f t="shared" si="6"/>
        <v>Vale Tree Surgeons</v>
      </c>
    </row>
    <row r="454" spans="2:9" ht="15.75" customHeight="1" x14ac:dyDescent="0.2">
      <c r="D454" s="1" t="s">
        <v>340</v>
      </c>
      <c r="E454" s="1">
        <v>0.86</v>
      </c>
      <c r="F454" s="1">
        <v>7</v>
      </c>
      <c r="G454" s="1">
        <v>6</v>
      </c>
      <c r="I454" s="58" t="str">
        <f t="shared" ref="I454:I517" si="7">IF(B454&lt;&gt;"",B454,I453)</f>
        <v>Vale Tree Surgeons</v>
      </c>
    </row>
    <row r="455" spans="2:9" ht="15.75" customHeight="1" x14ac:dyDescent="0.2">
      <c r="C455" s="1" t="s">
        <v>447</v>
      </c>
      <c r="D455" s="1" t="s">
        <v>334</v>
      </c>
      <c r="E455" s="1">
        <v>0.8</v>
      </c>
      <c r="F455" s="1">
        <v>15</v>
      </c>
      <c r="G455" s="1">
        <v>12</v>
      </c>
      <c r="I455" s="58" t="str">
        <f t="shared" si="7"/>
        <v>Vale Tree Surgeons</v>
      </c>
    </row>
    <row r="456" spans="2:9" ht="15.75" customHeight="1" x14ac:dyDescent="0.2">
      <c r="D456" s="1" t="s">
        <v>336</v>
      </c>
      <c r="E456" s="1">
        <v>0.67</v>
      </c>
      <c r="F456" s="1">
        <v>6</v>
      </c>
      <c r="G456" s="1">
        <v>4</v>
      </c>
      <c r="I456" s="58" t="str">
        <f t="shared" si="7"/>
        <v>Vale Tree Surgeons</v>
      </c>
    </row>
    <row r="457" spans="2:9" ht="15.75" customHeight="1" x14ac:dyDescent="0.2">
      <c r="D457" s="1" t="s">
        <v>338</v>
      </c>
      <c r="E457" s="1">
        <v>0.8</v>
      </c>
      <c r="F457" s="1">
        <v>5</v>
      </c>
      <c r="G457" s="1">
        <v>4</v>
      </c>
      <c r="I457" s="58" t="str">
        <f t="shared" si="7"/>
        <v>Vale Tree Surgeons</v>
      </c>
    </row>
    <row r="458" spans="2:9" ht="15.75" customHeight="1" x14ac:dyDescent="0.2">
      <c r="D458" s="1" t="s">
        <v>337</v>
      </c>
      <c r="E458" s="1">
        <v>1</v>
      </c>
      <c r="F458" s="1">
        <v>4</v>
      </c>
      <c r="G458" s="1">
        <v>4</v>
      </c>
      <c r="I458" s="58" t="str">
        <f t="shared" si="7"/>
        <v>Vale Tree Surgeons</v>
      </c>
    </row>
    <row r="459" spans="2:9" ht="15.75" customHeight="1" x14ac:dyDescent="0.2">
      <c r="B459" s="1" t="s">
        <v>92</v>
      </c>
      <c r="C459" s="1" t="s">
        <v>334</v>
      </c>
      <c r="E459" s="1">
        <v>0.57999999999999996</v>
      </c>
      <c r="F459" s="1">
        <v>83</v>
      </c>
      <c r="G459" s="1">
        <v>48</v>
      </c>
      <c r="H459" s="57">
        <v>42604</v>
      </c>
      <c r="I459" s="58" t="str">
        <f t="shared" si="7"/>
        <v>Valiant Arborist Ltd</v>
      </c>
    </row>
    <row r="460" spans="2:9" ht="15.75" customHeight="1" x14ac:dyDescent="0.2">
      <c r="C460" s="1" t="s">
        <v>448</v>
      </c>
      <c r="D460" s="1" t="s">
        <v>334</v>
      </c>
      <c r="E460" s="1">
        <v>0.2</v>
      </c>
      <c r="F460" s="1">
        <v>15</v>
      </c>
      <c r="G460" s="1">
        <v>3</v>
      </c>
      <c r="I460" s="58" t="str">
        <f t="shared" si="7"/>
        <v>Valiant Arborist Ltd</v>
      </c>
    </row>
    <row r="461" spans="2:9" ht="15.75" customHeight="1" x14ac:dyDescent="0.2">
      <c r="D461" s="1" t="s">
        <v>337</v>
      </c>
      <c r="E461" s="1">
        <v>0</v>
      </c>
      <c r="F461" s="1">
        <v>4</v>
      </c>
      <c r="G461" s="1">
        <v>0</v>
      </c>
      <c r="I461" s="58" t="str">
        <f t="shared" si="7"/>
        <v>Valiant Arborist Ltd</v>
      </c>
    </row>
    <row r="462" spans="2:9" ht="15.75" customHeight="1" x14ac:dyDescent="0.2">
      <c r="D462" s="1" t="s">
        <v>338</v>
      </c>
      <c r="E462" s="1">
        <v>0</v>
      </c>
      <c r="F462" s="1">
        <v>5</v>
      </c>
      <c r="G462" s="1">
        <v>0</v>
      </c>
      <c r="I462" s="58" t="str">
        <f t="shared" si="7"/>
        <v>Valiant Arborist Ltd</v>
      </c>
    </row>
    <row r="463" spans="2:9" ht="15.75" customHeight="1" x14ac:dyDescent="0.2">
      <c r="D463" s="1" t="s">
        <v>336</v>
      </c>
      <c r="E463" s="1">
        <v>0.5</v>
      </c>
      <c r="F463" s="1">
        <v>6</v>
      </c>
      <c r="G463" s="1">
        <v>3</v>
      </c>
      <c r="I463" s="58" t="str">
        <f t="shared" si="7"/>
        <v>Valiant Arborist Ltd</v>
      </c>
    </row>
    <row r="464" spans="2:9" ht="15.75" customHeight="1" x14ac:dyDescent="0.2">
      <c r="C464" s="1" t="s">
        <v>92</v>
      </c>
      <c r="D464" s="1" t="s">
        <v>334</v>
      </c>
      <c r="E464" s="1">
        <v>0.5</v>
      </c>
      <c r="F464" s="1">
        <v>4</v>
      </c>
      <c r="G464" s="1">
        <v>2</v>
      </c>
      <c r="I464" s="58" t="str">
        <f t="shared" si="7"/>
        <v>Valiant Arborist Ltd</v>
      </c>
    </row>
    <row r="465" spans="3:9" ht="15.75" customHeight="1" x14ac:dyDescent="0.2">
      <c r="D465" s="1" t="s">
        <v>343</v>
      </c>
      <c r="E465" s="1">
        <v>0.5</v>
      </c>
      <c r="F465" s="1">
        <v>4</v>
      </c>
      <c r="G465" s="1">
        <v>2</v>
      </c>
      <c r="I465" s="58" t="str">
        <f t="shared" si="7"/>
        <v>Valiant Arborist Ltd</v>
      </c>
    </row>
    <row r="466" spans="3:9" ht="15.75" customHeight="1" x14ac:dyDescent="0.2">
      <c r="C466" s="1" t="s">
        <v>449</v>
      </c>
      <c r="D466" s="1" t="s">
        <v>334</v>
      </c>
      <c r="E466" s="1">
        <v>0.53</v>
      </c>
      <c r="F466" s="1">
        <v>17</v>
      </c>
      <c r="G466" s="1">
        <v>9</v>
      </c>
      <c r="I466" s="58" t="str">
        <f t="shared" si="7"/>
        <v>Valiant Arborist Ltd</v>
      </c>
    </row>
    <row r="467" spans="3:9" ht="15.75" customHeight="1" x14ac:dyDescent="0.2">
      <c r="D467" s="1" t="s">
        <v>340</v>
      </c>
      <c r="E467" s="1">
        <v>0.43</v>
      </c>
      <c r="F467" s="1">
        <v>7</v>
      </c>
      <c r="G467" s="1">
        <v>3</v>
      </c>
      <c r="I467" s="58" t="str">
        <f t="shared" si="7"/>
        <v>Valiant Arborist Ltd</v>
      </c>
    </row>
    <row r="468" spans="3:9" ht="15.75" customHeight="1" x14ac:dyDescent="0.2">
      <c r="D468" s="1" t="s">
        <v>336</v>
      </c>
      <c r="E468" s="1">
        <v>0.5</v>
      </c>
      <c r="F468" s="1">
        <v>6</v>
      </c>
      <c r="G468" s="1">
        <v>3</v>
      </c>
      <c r="I468" s="58" t="str">
        <f t="shared" si="7"/>
        <v>Valiant Arborist Ltd</v>
      </c>
    </row>
    <row r="469" spans="3:9" ht="15.75" customHeight="1" x14ac:dyDescent="0.2">
      <c r="D469" s="1" t="s">
        <v>337</v>
      </c>
      <c r="E469" s="1">
        <v>0.75</v>
      </c>
      <c r="F469" s="1">
        <v>4</v>
      </c>
      <c r="G469" s="1">
        <v>3</v>
      </c>
      <c r="I469" s="58" t="str">
        <f t="shared" si="7"/>
        <v>Valiant Arborist Ltd</v>
      </c>
    </row>
    <row r="470" spans="3:9" ht="15.75" customHeight="1" x14ac:dyDescent="0.2">
      <c r="C470" s="1" t="s">
        <v>450</v>
      </c>
      <c r="D470" s="1" t="s">
        <v>334</v>
      </c>
      <c r="E470" s="1">
        <v>0.59</v>
      </c>
      <c r="F470" s="1">
        <v>17</v>
      </c>
      <c r="G470" s="1">
        <v>10</v>
      </c>
      <c r="I470" s="58" t="str">
        <f t="shared" si="7"/>
        <v>Valiant Arborist Ltd</v>
      </c>
    </row>
    <row r="471" spans="3:9" ht="15.75" customHeight="1" x14ac:dyDescent="0.2">
      <c r="D471" s="1" t="s">
        <v>340</v>
      </c>
      <c r="E471" s="1">
        <v>0.43</v>
      </c>
      <c r="F471" s="1">
        <v>7</v>
      </c>
      <c r="G471" s="1">
        <v>3</v>
      </c>
      <c r="I471" s="58" t="str">
        <f t="shared" si="7"/>
        <v>Valiant Arborist Ltd</v>
      </c>
    </row>
    <row r="472" spans="3:9" ht="15.75" customHeight="1" x14ac:dyDescent="0.2">
      <c r="D472" s="1" t="s">
        <v>336</v>
      </c>
      <c r="E472" s="1">
        <v>0.67</v>
      </c>
      <c r="F472" s="1">
        <v>6</v>
      </c>
      <c r="G472" s="1">
        <v>4</v>
      </c>
      <c r="I472" s="58" t="str">
        <f t="shared" si="7"/>
        <v>Valiant Arborist Ltd</v>
      </c>
    </row>
    <row r="473" spans="3:9" ht="15.75" customHeight="1" x14ac:dyDescent="0.2">
      <c r="D473" s="1" t="s">
        <v>337</v>
      </c>
      <c r="E473" s="1">
        <v>0.75</v>
      </c>
      <c r="F473" s="1">
        <v>4</v>
      </c>
      <c r="G473" s="1">
        <v>3</v>
      </c>
      <c r="I473" s="58" t="str">
        <f t="shared" si="7"/>
        <v>Valiant Arborist Ltd</v>
      </c>
    </row>
    <row r="474" spans="3:9" ht="15.75" customHeight="1" x14ac:dyDescent="0.2">
      <c r="C474" s="1" t="s">
        <v>451</v>
      </c>
      <c r="D474" s="1" t="s">
        <v>334</v>
      </c>
      <c r="E474" s="1">
        <v>0.74</v>
      </c>
      <c r="F474" s="1">
        <v>15</v>
      </c>
      <c r="G474" s="1">
        <v>11</v>
      </c>
      <c r="I474" s="58" t="str">
        <f t="shared" si="7"/>
        <v>Valiant Arborist Ltd</v>
      </c>
    </row>
    <row r="475" spans="3:9" ht="15.75" customHeight="1" x14ac:dyDescent="0.2">
      <c r="D475" s="1" t="s">
        <v>338</v>
      </c>
      <c r="E475" s="1">
        <v>0.6</v>
      </c>
      <c r="F475" s="1">
        <v>5</v>
      </c>
      <c r="G475" s="1">
        <v>3</v>
      </c>
      <c r="I475" s="58" t="str">
        <f t="shared" si="7"/>
        <v>Valiant Arborist Ltd</v>
      </c>
    </row>
    <row r="476" spans="3:9" ht="15.75" customHeight="1" x14ac:dyDescent="0.2">
      <c r="D476" s="1" t="s">
        <v>337</v>
      </c>
      <c r="E476" s="1">
        <v>0.75</v>
      </c>
      <c r="F476" s="1">
        <v>4</v>
      </c>
      <c r="G476" s="1">
        <v>3</v>
      </c>
      <c r="I476" s="58" t="str">
        <f t="shared" si="7"/>
        <v>Valiant Arborist Ltd</v>
      </c>
    </row>
    <row r="477" spans="3:9" ht="15.75" customHeight="1" x14ac:dyDescent="0.2">
      <c r="D477" s="1" t="s">
        <v>336</v>
      </c>
      <c r="E477" s="1">
        <v>0.84</v>
      </c>
      <c r="F477" s="1">
        <v>6</v>
      </c>
      <c r="G477" s="1">
        <v>5</v>
      </c>
      <c r="I477" s="58" t="str">
        <f t="shared" si="7"/>
        <v>Valiant Arborist Ltd</v>
      </c>
    </row>
    <row r="478" spans="3:9" ht="15.75" customHeight="1" x14ac:dyDescent="0.2">
      <c r="C478" s="1" t="s">
        <v>452</v>
      </c>
      <c r="D478" s="1" t="s">
        <v>334</v>
      </c>
      <c r="E478" s="1">
        <v>0.87</v>
      </c>
      <c r="F478" s="1">
        <v>15</v>
      </c>
      <c r="G478" s="1">
        <v>13</v>
      </c>
      <c r="I478" s="58" t="str">
        <f t="shared" si="7"/>
        <v>Valiant Arborist Ltd</v>
      </c>
    </row>
    <row r="479" spans="3:9" ht="15.75" customHeight="1" x14ac:dyDescent="0.2">
      <c r="D479" s="1" t="s">
        <v>336</v>
      </c>
      <c r="E479" s="1">
        <v>0.67</v>
      </c>
      <c r="F479" s="1">
        <v>6</v>
      </c>
      <c r="G479" s="1">
        <v>4</v>
      </c>
      <c r="I479" s="58" t="str">
        <f t="shared" si="7"/>
        <v>Valiant Arborist Ltd</v>
      </c>
    </row>
    <row r="480" spans="3:9" ht="15.75" customHeight="1" x14ac:dyDescent="0.2">
      <c r="D480" s="1" t="s">
        <v>337</v>
      </c>
      <c r="E480" s="1">
        <v>1</v>
      </c>
      <c r="F480" s="1">
        <v>4</v>
      </c>
      <c r="G480" s="1">
        <v>4</v>
      </c>
      <c r="I480" s="58" t="str">
        <f t="shared" si="7"/>
        <v>Valiant Arborist Ltd</v>
      </c>
    </row>
    <row r="481" spans="2:9" ht="15.75" customHeight="1" x14ac:dyDescent="0.2">
      <c r="D481" s="1" t="s">
        <v>338</v>
      </c>
      <c r="E481" s="1">
        <v>1</v>
      </c>
      <c r="F481" s="1">
        <v>5</v>
      </c>
      <c r="G481" s="1">
        <v>5</v>
      </c>
      <c r="I481" s="58" t="str">
        <f t="shared" si="7"/>
        <v>Valiant Arborist Ltd</v>
      </c>
    </row>
    <row r="482" spans="2:9" ht="15.75" customHeight="1" x14ac:dyDescent="0.2">
      <c r="B482" s="1" t="s">
        <v>106</v>
      </c>
      <c r="C482" s="1" t="s">
        <v>334</v>
      </c>
      <c r="E482" s="1">
        <v>0.59</v>
      </c>
      <c r="F482" s="1">
        <v>51</v>
      </c>
      <c r="G482" s="1">
        <v>30</v>
      </c>
      <c r="H482" s="57">
        <v>42891</v>
      </c>
      <c r="I482" s="58" t="str">
        <f t="shared" si="7"/>
        <v>Flint Tree Surgeons</v>
      </c>
    </row>
    <row r="483" spans="2:9" ht="15.75" customHeight="1" x14ac:dyDescent="0.2">
      <c r="C483" s="1" t="s">
        <v>453</v>
      </c>
      <c r="D483" s="1" t="s">
        <v>334</v>
      </c>
      <c r="E483" s="1">
        <v>0.47</v>
      </c>
      <c r="F483" s="1">
        <v>15</v>
      </c>
      <c r="G483" s="1">
        <v>7</v>
      </c>
      <c r="I483" s="58" t="str">
        <f t="shared" si="7"/>
        <v>Flint Tree Surgeons</v>
      </c>
    </row>
    <row r="484" spans="2:9" ht="15.75" customHeight="1" x14ac:dyDescent="0.2">
      <c r="D484" s="1" t="s">
        <v>337</v>
      </c>
      <c r="E484" s="1">
        <v>0</v>
      </c>
      <c r="F484" s="1">
        <v>4</v>
      </c>
      <c r="G484" s="1">
        <v>0</v>
      </c>
      <c r="I484" s="58" t="str">
        <f t="shared" si="7"/>
        <v>Flint Tree Surgeons</v>
      </c>
    </row>
    <row r="485" spans="2:9" ht="15.75" customHeight="1" x14ac:dyDescent="0.2">
      <c r="D485" s="1" t="s">
        <v>338</v>
      </c>
      <c r="E485" s="1">
        <v>0.6</v>
      </c>
      <c r="F485" s="1">
        <v>5</v>
      </c>
      <c r="G485" s="1">
        <v>3</v>
      </c>
      <c r="I485" s="58" t="str">
        <f t="shared" si="7"/>
        <v>Flint Tree Surgeons</v>
      </c>
    </row>
    <row r="486" spans="2:9" ht="15.75" customHeight="1" x14ac:dyDescent="0.2">
      <c r="D486" s="1" t="s">
        <v>336</v>
      </c>
      <c r="E486" s="1">
        <v>0.67</v>
      </c>
      <c r="F486" s="1">
        <v>6</v>
      </c>
      <c r="G486" s="1">
        <v>4</v>
      </c>
      <c r="I486" s="58" t="str">
        <f t="shared" si="7"/>
        <v>Flint Tree Surgeons</v>
      </c>
    </row>
    <row r="487" spans="2:9" ht="15.75" customHeight="1" x14ac:dyDescent="0.2">
      <c r="C487" s="1" t="s">
        <v>454</v>
      </c>
      <c r="D487" s="1" t="s">
        <v>334</v>
      </c>
      <c r="E487" s="1">
        <v>0.59</v>
      </c>
      <c r="F487" s="1">
        <v>17</v>
      </c>
      <c r="G487" s="1">
        <v>10</v>
      </c>
      <c r="I487" s="58" t="str">
        <f t="shared" si="7"/>
        <v>Flint Tree Surgeons</v>
      </c>
    </row>
    <row r="488" spans="2:9" ht="15.75" customHeight="1" x14ac:dyDescent="0.2">
      <c r="D488" s="1" t="s">
        <v>337</v>
      </c>
      <c r="E488" s="1">
        <v>0</v>
      </c>
      <c r="F488" s="1">
        <v>4</v>
      </c>
      <c r="G488" s="1">
        <v>0</v>
      </c>
      <c r="I488" s="58" t="str">
        <f t="shared" si="7"/>
        <v>Flint Tree Surgeons</v>
      </c>
    </row>
    <row r="489" spans="2:9" ht="15.75" customHeight="1" x14ac:dyDescent="0.2">
      <c r="D489" s="1" t="s">
        <v>340</v>
      </c>
      <c r="E489" s="1">
        <v>0.57999999999999996</v>
      </c>
      <c r="F489" s="1">
        <v>7</v>
      </c>
      <c r="G489" s="1">
        <v>4</v>
      </c>
      <c r="I489" s="58" t="str">
        <f t="shared" si="7"/>
        <v>Flint Tree Surgeons</v>
      </c>
    </row>
    <row r="490" spans="2:9" ht="15.75" customHeight="1" x14ac:dyDescent="0.2">
      <c r="D490" s="1" t="s">
        <v>336</v>
      </c>
      <c r="E490" s="1">
        <v>1</v>
      </c>
      <c r="F490" s="1">
        <v>6</v>
      </c>
      <c r="G490" s="1">
        <v>6</v>
      </c>
      <c r="I490" s="58" t="str">
        <f t="shared" si="7"/>
        <v>Flint Tree Surgeons</v>
      </c>
    </row>
    <row r="491" spans="2:9" ht="15.75" customHeight="1" x14ac:dyDescent="0.2">
      <c r="C491" s="1" t="s">
        <v>455</v>
      </c>
      <c r="D491" s="1" t="s">
        <v>334</v>
      </c>
      <c r="E491" s="1">
        <v>0.6</v>
      </c>
      <c r="F491" s="1">
        <v>15</v>
      </c>
      <c r="G491" s="1">
        <v>9</v>
      </c>
      <c r="I491" s="58" t="str">
        <f t="shared" si="7"/>
        <v>Flint Tree Surgeons</v>
      </c>
    </row>
    <row r="492" spans="2:9" ht="15.75" customHeight="1" x14ac:dyDescent="0.2">
      <c r="D492" s="1" t="s">
        <v>337</v>
      </c>
      <c r="E492" s="1">
        <v>0.25</v>
      </c>
      <c r="F492" s="1">
        <v>4</v>
      </c>
      <c r="G492" s="1">
        <v>1</v>
      </c>
      <c r="I492" s="58" t="str">
        <f t="shared" si="7"/>
        <v>Flint Tree Surgeons</v>
      </c>
    </row>
    <row r="493" spans="2:9" ht="15.75" customHeight="1" x14ac:dyDescent="0.2">
      <c r="D493" s="1" t="s">
        <v>336</v>
      </c>
      <c r="E493" s="1">
        <v>0.67</v>
      </c>
      <c r="F493" s="1">
        <v>6</v>
      </c>
      <c r="G493" s="1">
        <v>4</v>
      </c>
      <c r="I493" s="58" t="str">
        <f t="shared" si="7"/>
        <v>Flint Tree Surgeons</v>
      </c>
    </row>
    <row r="494" spans="2:9" ht="15.75" customHeight="1" x14ac:dyDescent="0.2">
      <c r="D494" s="1" t="s">
        <v>338</v>
      </c>
      <c r="E494" s="1">
        <v>0.8</v>
      </c>
      <c r="F494" s="1">
        <v>5</v>
      </c>
      <c r="G494" s="1">
        <v>4</v>
      </c>
      <c r="I494" s="58" t="str">
        <f t="shared" si="7"/>
        <v>Flint Tree Surgeons</v>
      </c>
    </row>
    <row r="495" spans="2:9" ht="15.75" customHeight="1" x14ac:dyDescent="0.2">
      <c r="C495" s="1" t="s">
        <v>106</v>
      </c>
      <c r="D495" s="1" t="s">
        <v>334</v>
      </c>
      <c r="E495" s="1">
        <v>1</v>
      </c>
      <c r="F495" s="1">
        <v>4</v>
      </c>
      <c r="G495" s="1">
        <v>4</v>
      </c>
      <c r="I495" s="58" t="str">
        <f t="shared" si="7"/>
        <v>Flint Tree Surgeons</v>
      </c>
    </row>
    <row r="496" spans="2:9" ht="15.75" customHeight="1" x14ac:dyDescent="0.2">
      <c r="D496" s="1" t="s">
        <v>343</v>
      </c>
      <c r="E496" s="1">
        <v>1</v>
      </c>
      <c r="F496" s="1">
        <v>4</v>
      </c>
      <c r="G496" s="1">
        <v>4</v>
      </c>
      <c r="I496" s="58" t="str">
        <f t="shared" si="7"/>
        <v>Flint Tree Surgeons</v>
      </c>
    </row>
    <row r="497" spans="2:9" ht="15.75" customHeight="1" x14ac:dyDescent="0.2">
      <c r="B497" s="1" t="s">
        <v>130</v>
      </c>
      <c r="C497" s="1" t="s">
        <v>334</v>
      </c>
      <c r="E497" s="1">
        <v>0.6</v>
      </c>
      <c r="F497" s="1">
        <v>70</v>
      </c>
      <c r="G497" s="1">
        <v>42</v>
      </c>
      <c r="H497" s="57">
        <v>45693</v>
      </c>
      <c r="I497" s="58" t="str">
        <f t="shared" si="7"/>
        <v>Treerebral Ltd</v>
      </c>
    </row>
    <row r="498" spans="2:9" ht="15.75" customHeight="1" x14ac:dyDescent="0.2">
      <c r="C498" s="1" t="s">
        <v>456</v>
      </c>
      <c r="D498" s="1" t="s">
        <v>334</v>
      </c>
      <c r="E498" s="1">
        <v>0</v>
      </c>
      <c r="F498" s="1">
        <v>17</v>
      </c>
      <c r="G498" s="1">
        <v>0</v>
      </c>
      <c r="I498" s="58" t="str">
        <f t="shared" si="7"/>
        <v>Treerebral Ltd</v>
      </c>
    </row>
    <row r="499" spans="2:9" ht="15.75" customHeight="1" x14ac:dyDescent="0.2">
      <c r="D499" s="1" t="s">
        <v>340</v>
      </c>
      <c r="E499" s="1">
        <v>0</v>
      </c>
      <c r="F499" s="1">
        <v>7</v>
      </c>
      <c r="G499" s="1">
        <v>0</v>
      </c>
      <c r="I499" s="58" t="str">
        <f t="shared" si="7"/>
        <v>Treerebral Ltd</v>
      </c>
    </row>
    <row r="500" spans="2:9" ht="15.75" customHeight="1" x14ac:dyDescent="0.2">
      <c r="D500" s="1" t="s">
        <v>336</v>
      </c>
      <c r="E500" s="1">
        <v>0</v>
      </c>
      <c r="F500" s="1">
        <v>6</v>
      </c>
      <c r="G500" s="1">
        <v>0</v>
      </c>
      <c r="I500" s="58" t="str">
        <f t="shared" si="7"/>
        <v>Treerebral Ltd</v>
      </c>
    </row>
    <row r="501" spans="2:9" ht="15.75" customHeight="1" x14ac:dyDescent="0.2">
      <c r="D501" s="1" t="s">
        <v>337</v>
      </c>
      <c r="E501" s="1">
        <v>0</v>
      </c>
      <c r="F501" s="1">
        <v>4</v>
      </c>
      <c r="G501" s="1">
        <v>0</v>
      </c>
      <c r="I501" s="58" t="str">
        <f t="shared" si="7"/>
        <v>Treerebral Ltd</v>
      </c>
    </row>
    <row r="502" spans="2:9" ht="15.75" customHeight="1" x14ac:dyDescent="0.2">
      <c r="C502" s="1" t="s">
        <v>457</v>
      </c>
      <c r="D502" s="1" t="s">
        <v>334</v>
      </c>
      <c r="E502" s="1">
        <v>0.5</v>
      </c>
      <c r="F502" s="1">
        <v>4</v>
      </c>
      <c r="G502" s="1">
        <v>2</v>
      </c>
      <c r="I502" s="58" t="str">
        <f t="shared" si="7"/>
        <v>Treerebral Ltd</v>
      </c>
    </row>
    <row r="503" spans="2:9" ht="15.75" customHeight="1" x14ac:dyDescent="0.2">
      <c r="D503" s="1" t="s">
        <v>343</v>
      </c>
      <c r="E503" s="1">
        <v>0.5</v>
      </c>
      <c r="F503" s="1">
        <v>4</v>
      </c>
      <c r="G503" s="1">
        <v>2</v>
      </c>
      <c r="I503" s="58" t="str">
        <f t="shared" si="7"/>
        <v>Treerebral Ltd</v>
      </c>
    </row>
    <row r="504" spans="2:9" ht="15.75" customHeight="1" x14ac:dyDescent="0.2">
      <c r="C504" s="1" t="s">
        <v>458</v>
      </c>
      <c r="D504" s="1" t="s">
        <v>334</v>
      </c>
      <c r="E504" s="1">
        <v>0.53</v>
      </c>
      <c r="F504" s="1">
        <v>17</v>
      </c>
      <c r="G504" s="1">
        <v>9</v>
      </c>
      <c r="I504" s="58" t="str">
        <f t="shared" si="7"/>
        <v>Treerebral Ltd</v>
      </c>
    </row>
    <row r="505" spans="2:9" ht="15.75" customHeight="1" x14ac:dyDescent="0.2">
      <c r="D505" s="1" t="s">
        <v>337</v>
      </c>
      <c r="E505" s="1">
        <v>0.25</v>
      </c>
      <c r="F505" s="1">
        <v>4</v>
      </c>
      <c r="G505" s="1">
        <v>1</v>
      </c>
      <c r="I505" s="58" t="str">
        <f t="shared" si="7"/>
        <v>Treerebral Ltd</v>
      </c>
    </row>
    <row r="506" spans="2:9" ht="15.75" customHeight="1" x14ac:dyDescent="0.2">
      <c r="D506" s="1" t="s">
        <v>340</v>
      </c>
      <c r="E506" s="1">
        <v>0.28999999999999998</v>
      </c>
      <c r="F506" s="1">
        <v>7</v>
      </c>
      <c r="G506" s="1">
        <v>2</v>
      </c>
      <c r="I506" s="58" t="str">
        <f t="shared" si="7"/>
        <v>Treerebral Ltd</v>
      </c>
    </row>
    <row r="507" spans="2:9" ht="15.75" customHeight="1" x14ac:dyDescent="0.2">
      <c r="D507" s="1" t="s">
        <v>336</v>
      </c>
      <c r="E507" s="1">
        <v>1</v>
      </c>
      <c r="F507" s="1">
        <v>6</v>
      </c>
      <c r="G507" s="1">
        <v>6</v>
      </c>
      <c r="I507" s="58" t="str">
        <f t="shared" si="7"/>
        <v>Treerebral Ltd</v>
      </c>
    </row>
    <row r="508" spans="2:9" ht="15.75" customHeight="1" x14ac:dyDescent="0.2">
      <c r="C508" s="1" t="s">
        <v>459</v>
      </c>
      <c r="D508" s="1" t="s">
        <v>334</v>
      </c>
      <c r="E508" s="1">
        <v>0.94</v>
      </c>
      <c r="F508" s="1">
        <v>15</v>
      </c>
      <c r="G508" s="1">
        <v>14</v>
      </c>
      <c r="I508" s="58" t="str">
        <f t="shared" si="7"/>
        <v>Treerebral Ltd</v>
      </c>
    </row>
    <row r="509" spans="2:9" ht="15.75" customHeight="1" x14ac:dyDescent="0.2">
      <c r="D509" s="1" t="s">
        <v>336</v>
      </c>
      <c r="E509" s="1">
        <v>0.84</v>
      </c>
      <c r="F509" s="1">
        <v>6</v>
      </c>
      <c r="G509" s="1">
        <v>5</v>
      </c>
      <c r="I509" s="58" t="str">
        <f t="shared" si="7"/>
        <v>Treerebral Ltd</v>
      </c>
    </row>
    <row r="510" spans="2:9" ht="15.75" customHeight="1" x14ac:dyDescent="0.2">
      <c r="D510" s="1" t="s">
        <v>337</v>
      </c>
      <c r="E510" s="1">
        <v>1</v>
      </c>
      <c r="F510" s="1">
        <v>4</v>
      </c>
      <c r="G510" s="1">
        <v>4</v>
      </c>
      <c r="I510" s="58" t="str">
        <f t="shared" si="7"/>
        <v>Treerebral Ltd</v>
      </c>
    </row>
    <row r="511" spans="2:9" ht="15.75" customHeight="1" x14ac:dyDescent="0.2">
      <c r="D511" s="1" t="s">
        <v>338</v>
      </c>
      <c r="E511" s="1">
        <v>1</v>
      </c>
      <c r="F511" s="1">
        <v>5</v>
      </c>
      <c r="G511" s="1">
        <v>5</v>
      </c>
      <c r="I511" s="58" t="str">
        <f t="shared" si="7"/>
        <v>Treerebral Ltd</v>
      </c>
    </row>
    <row r="512" spans="2:9" ht="15.75" customHeight="1" x14ac:dyDescent="0.2">
      <c r="C512" s="1" t="s">
        <v>460</v>
      </c>
      <c r="D512" s="1" t="s">
        <v>334</v>
      </c>
      <c r="E512" s="1">
        <v>1</v>
      </c>
      <c r="F512" s="1">
        <v>17</v>
      </c>
      <c r="G512" s="1">
        <v>17</v>
      </c>
      <c r="I512" s="58" t="str">
        <f t="shared" si="7"/>
        <v>Treerebral Ltd</v>
      </c>
    </row>
    <row r="513" spans="2:9" ht="15.75" customHeight="1" x14ac:dyDescent="0.2">
      <c r="D513" s="1" t="s">
        <v>340</v>
      </c>
      <c r="E513" s="1">
        <v>1</v>
      </c>
      <c r="F513" s="1">
        <v>7</v>
      </c>
      <c r="G513" s="1">
        <v>7</v>
      </c>
      <c r="I513" s="58" t="str">
        <f t="shared" si="7"/>
        <v>Treerebral Ltd</v>
      </c>
    </row>
    <row r="514" spans="2:9" ht="15.75" customHeight="1" x14ac:dyDescent="0.2">
      <c r="D514" s="1" t="s">
        <v>336</v>
      </c>
      <c r="E514" s="1">
        <v>1</v>
      </c>
      <c r="F514" s="1">
        <v>6</v>
      </c>
      <c r="G514" s="1">
        <v>6</v>
      </c>
      <c r="I514" s="58" t="str">
        <f t="shared" si="7"/>
        <v>Treerebral Ltd</v>
      </c>
    </row>
    <row r="515" spans="2:9" ht="15.75" customHeight="1" x14ac:dyDescent="0.2">
      <c r="D515" s="1" t="s">
        <v>337</v>
      </c>
      <c r="E515" s="1">
        <v>1</v>
      </c>
      <c r="F515" s="1">
        <v>4</v>
      </c>
      <c r="G515" s="1">
        <v>4</v>
      </c>
      <c r="I515" s="58" t="str">
        <f t="shared" si="7"/>
        <v>Treerebral Ltd</v>
      </c>
    </row>
    <row r="516" spans="2:9" ht="15.75" customHeight="1" x14ac:dyDescent="0.2">
      <c r="B516" s="1" t="s">
        <v>144</v>
      </c>
      <c r="C516" s="1" t="s">
        <v>334</v>
      </c>
      <c r="E516" s="1">
        <v>0.61</v>
      </c>
      <c r="F516" s="1">
        <v>79</v>
      </c>
      <c r="G516" s="1">
        <v>48</v>
      </c>
      <c r="H516" s="57">
        <v>45330</v>
      </c>
      <c r="I516" s="58" t="str">
        <f t="shared" si="7"/>
        <v>Bathams Tree Care Ltd</v>
      </c>
    </row>
    <row r="517" spans="2:9" ht="15.75" customHeight="1" x14ac:dyDescent="0.2">
      <c r="C517" s="1" t="s">
        <v>461</v>
      </c>
      <c r="D517" s="1" t="s">
        <v>334</v>
      </c>
      <c r="E517" s="1">
        <v>0.4</v>
      </c>
      <c r="F517" s="1">
        <v>15</v>
      </c>
      <c r="G517" s="1">
        <v>6</v>
      </c>
      <c r="I517" s="58" t="str">
        <f t="shared" si="7"/>
        <v>Bathams Tree Care Ltd</v>
      </c>
    </row>
    <row r="518" spans="2:9" ht="15.75" customHeight="1" x14ac:dyDescent="0.2">
      <c r="D518" s="1" t="s">
        <v>337</v>
      </c>
      <c r="E518" s="1">
        <v>0</v>
      </c>
      <c r="F518" s="1">
        <v>4</v>
      </c>
      <c r="G518" s="1">
        <v>0</v>
      </c>
      <c r="I518" s="58" t="str">
        <f t="shared" ref="I518:I581" si="8">IF(B518&lt;&gt;"",B518,I517)</f>
        <v>Bathams Tree Care Ltd</v>
      </c>
    </row>
    <row r="519" spans="2:9" ht="15.75" customHeight="1" x14ac:dyDescent="0.2">
      <c r="D519" s="1" t="s">
        <v>338</v>
      </c>
      <c r="E519" s="1">
        <v>0.2</v>
      </c>
      <c r="F519" s="1">
        <v>5</v>
      </c>
      <c r="G519" s="1">
        <v>1</v>
      </c>
      <c r="I519" s="58" t="str">
        <f t="shared" si="8"/>
        <v>Bathams Tree Care Ltd</v>
      </c>
    </row>
    <row r="520" spans="2:9" ht="15.75" customHeight="1" x14ac:dyDescent="0.2">
      <c r="D520" s="1" t="s">
        <v>336</v>
      </c>
      <c r="E520" s="1">
        <v>0.84</v>
      </c>
      <c r="F520" s="1">
        <v>6</v>
      </c>
      <c r="G520" s="1">
        <v>5</v>
      </c>
      <c r="I520" s="58" t="str">
        <f t="shared" si="8"/>
        <v>Bathams Tree Care Ltd</v>
      </c>
    </row>
    <row r="521" spans="2:9" ht="15.75" customHeight="1" x14ac:dyDescent="0.2">
      <c r="C521" s="1" t="s">
        <v>462</v>
      </c>
      <c r="D521" s="1" t="s">
        <v>334</v>
      </c>
      <c r="E521" s="1">
        <v>0.4</v>
      </c>
      <c r="F521" s="1">
        <v>15</v>
      </c>
      <c r="G521" s="1">
        <v>6</v>
      </c>
      <c r="I521" s="58" t="str">
        <f t="shared" si="8"/>
        <v>Bathams Tree Care Ltd</v>
      </c>
    </row>
    <row r="522" spans="2:9" ht="15.75" customHeight="1" x14ac:dyDescent="0.2">
      <c r="D522" s="1" t="s">
        <v>337</v>
      </c>
      <c r="E522" s="1">
        <v>0</v>
      </c>
      <c r="F522" s="1">
        <v>4</v>
      </c>
      <c r="G522" s="1">
        <v>0</v>
      </c>
      <c r="I522" s="58" t="str">
        <f t="shared" si="8"/>
        <v>Bathams Tree Care Ltd</v>
      </c>
    </row>
    <row r="523" spans="2:9" ht="15.75" customHeight="1" x14ac:dyDescent="0.2">
      <c r="D523" s="1" t="s">
        <v>338</v>
      </c>
      <c r="E523" s="1">
        <v>0.2</v>
      </c>
      <c r="F523" s="1">
        <v>5</v>
      </c>
      <c r="G523" s="1">
        <v>1</v>
      </c>
      <c r="I523" s="58" t="str">
        <f t="shared" si="8"/>
        <v>Bathams Tree Care Ltd</v>
      </c>
    </row>
    <row r="524" spans="2:9" ht="15.75" customHeight="1" x14ac:dyDescent="0.2">
      <c r="D524" s="1" t="s">
        <v>336</v>
      </c>
      <c r="E524" s="1">
        <v>0.84</v>
      </c>
      <c r="F524" s="1">
        <v>6</v>
      </c>
      <c r="G524" s="1">
        <v>5</v>
      </c>
      <c r="I524" s="58" t="str">
        <f t="shared" si="8"/>
        <v>Bathams Tree Care Ltd</v>
      </c>
    </row>
    <row r="525" spans="2:9" ht="15.75" customHeight="1" x14ac:dyDescent="0.2">
      <c r="C525" s="1" t="s">
        <v>463</v>
      </c>
      <c r="D525" s="1" t="s">
        <v>334</v>
      </c>
      <c r="E525" s="1">
        <v>0.46</v>
      </c>
      <c r="F525" s="1">
        <v>11</v>
      </c>
      <c r="G525" s="1">
        <v>5</v>
      </c>
      <c r="I525" s="58" t="str">
        <f t="shared" si="8"/>
        <v>Bathams Tree Care Ltd</v>
      </c>
    </row>
    <row r="526" spans="2:9" ht="15.75" customHeight="1" x14ac:dyDescent="0.2">
      <c r="D526" s="1" t="s">
        <v>338</v>
      </c>
      <c r="E526" s="1">
        <v>0.2</v>
      </c>
      <c r="F526" s="1">
        <v>5</v>
      </c>
      <c r="G526" s="1">
        <v>1</v>
      </c>
      <c r="I526" s="58" t="str">
        <f t="shared" si="8"/>
        <v>Bathams Tree Care Ltd</v>
      </c>
    </row>
    <row r="527" spans="2:9" ht="15.75" customHeight="1" x14ac:dyDescent="0.2">
      <c r="D527" s="1" t="s">
        <v>336</v>
      </c>
      <c r="E527" s="1">
        <v>0.67</v>
      </c>
      <c r="F527" s="1">
        <v>6</v>
      </c>
      <c r="G527" s="1">
        <v>4</v>
      </c>
      <c r="I527" s="58" t="str">
        <f t="shared" si="8"/>
        <v>Bathams Tree Care Ltd</v>
      </c>
    </row>
    <row r="528" spans="2:9" ht="15.75" customHeight="1" x14ac:dyDescent="0.2">
      <c r="C528" s="1" t="s">
        <v>464</v>
      </c>
      <c r="D528" s="1" t="s">
        <v>334</v>
      </c>
      <c r="E528" s="1">
        <v>0.77</v>
      </c>
      <c r="F528" s="1">
        <v>17</v>
      </c>
      <c r="G528" s="1">
        <v>13</v>
      </c>
      <c r="I528" s="58" t="str">
        <f t="shared" si="8"/>
        <v>Bathams Tree Care Ltd</v>
      </c>
    </row>
    <row r="529" spans="2:9" ht="15.75" customHeight="1" x14ac:dyDescent="0.2">
      <c r="D529" s="1" t="s">
        <v>337</v>
      </c>
      <c r="E529" s="1">
        <v>0.25</v>
      </c>
      <c r="F529" s="1">
        <v>4</v>
      </c>
      <c r="G529" s="1">
        <v>1</v>
      </c>
      <c r="I529" s="58" t="str">
        <f t="shared" si="8"/>
        <v>Bathams Tree Care Ltd</v>
      </c>
    </row>
    <row r="530" spans="2:9" ht="15.75" customHeight="1" x14ac:dyDescent="0.2">
      <c r="D530" s="1" t="s">
        <v>336</v>
      </c>
      <c r="E530" s="1">
        <v>0.84</v>
      </c>
      <c r="F530" s="1">
        <v>6</v>
      </c>
      <c r="G530" s="1">
        <v>5</v>
      </c>
      <c r="I530" s="58" t="str">
        <f t="shared" si="8"/>
        <v>Bathams Tree Care Ltd</v>
      </c>
    </row>
    <row r="531" spans="2:9" ht="15.75" customHeight="1" x14ac:dyDescent="0.2">
      <c r="D531" s="1" t="s">
        <v>340</v>
      </c>
      <c r="E531" s="1">
        <v>1</v>
      </c>
      <c r="F531" s="1">
        <v>7</v>
      </c>
      <c r="G531" s="1">
        <v>7</v>
      </c>
      <c r="I531" s="58" t="str">
        <f t="shared" si="8"/>
        <v>Bathams Tree Care Ltd</v>
      </c>
    </row>
    <row r="532" spans="2:9" ht="15.75" customHeight="1" x14ac:dyDescent="0.2">
      <c r="C532" s="1" t="s">
        <v>465</v>
      </c>
      <c r="D532" s="1" t="s">
        <v>334</v>
      </c>
      <c r="E532" s="1">
        <v>0.83</v>
      </c>
      <c r="F532" s="1">
        <v>17</v>
      </c>
      <c r="G532" s="1">
        <v>14</v>
      </c>
      <c r="I532" s="58" t="str">
        <f t="shared" si="8"/>
        <v>Bathams Tree Care Ltd</v>
      </c>
    </row>
    <row r="533" spans="2:9" ht="15.75" customHeight="1" x14ac:dyDescent="0.2">
      <c r="D533" s="1" t="s">
        <v>336</v>
      </c>
      <c r="E533" s="1">
        <v>0.67</v>
      </c>
      <c r="F533" s="1">
        <v>6</v>
      </c>
      <c r="G533" s="1">
        <v>4</v>
      </c>
      <c r="I533" s="58" t="str">
        <f t="shared" si="8"/>
        <v>Bathams Tree Care Ltd</v>
      </c>
    </row>
    <row r="534" spans="2:9" ht="15.75" customHeight="1" x14ac:dyDescent="0.2">
      <c r="D534" s="1" t="s">
        <v>340</v>
      </c>
      <c r="E534" s="1">
        <v>0.86</v>
      </c>
      <c r="F534" s="1">
        <v>7</v>
      </c>
      <c r="G534" s="1">
        <v>6</v>
      </c>
      <c r="I534" s="58" t="str">
        <f t="shared" si="8"/>
        <v>Bathams Tree Care Ltd</v>
      </c>
    </row>
    <row r="535" spans="2:9" ht="15.75" customHeight="1" x14ac:dyDescent="0.2">
      <c r="D535" s="1" t="s">
        <v>337</v>
      </c>
      <c r="E535" s="1">
        <v>1</v>
      </c>
      <c r="F535" s="1">
        <v>4</v>
      </c>
      <c r="G535" s="1">
        <v>4</v>
      </c>
      <c r="I535" s="58" t="str">
        <f t="shared" si="8"/>
        <v>Bathams Tree Care Ltd</v>
      </c>
    </row>
    <row r="536" spans="2:9" ht="15.75" customHeight="1" x14ac:dyDescent="0.2">
      <c r="C536" s="1" t="s">
        <v>466</v>
      </c>
      <c r="D536" s="1" t="s">
        <v>334</v>
      </c>
      <c r="E536" s="1">
        <v>1</v>
      </c>
      <c r="F536" s="1">
        <v>4</v>
      </c>
      <c r="G536" s="1">
        <v>4</v>
      </c>
      <c r="I536" s="58" t="str">
        <f t="shared" si="8"/>
        <v>Bathams Tree Care Ltd</v>
      </c>
    </row>
    <row r="537" spans="2:9" ht="15.75" customHeight="1" x14ac:dyDescent="0.2">
      <c r="D537" s="1" t="s">
        <v>343</v>
      </c>
      <c r="E537" s="1">
        <v>1</v>
      </c>
      <c r="F537" s="1">
        <v>4</v>
      </c>
      <c r="G537" s="1">
        <v>4</v>
      </c>
      <c r="I537" s="58" t="str">
        <f t="shared" si="8"/>
        <v>Bathams Tree Care Ltd</v>
      </c>
    </row>
    <row r="538" spans="2:9" ht="15.75" customHeight="1" x14ac:dyDescent="0.2">
      <c r="B538" s="1" t="s">
        <v>156</v>
      </c>
      <c r="C538" s="1" t="s">
        <v>334</v>
      </c>
      <c r="E538" s="1">
        <v>0.62</v>
      </c>
      <c r="F538" s="1">
        <v>68</v>
      </c>
      <c r="G538" s="1">
        <v>42</v>
      </c>
      <c r="H538" s="57">
        <v>45040</v>
      </c>
      <c r="I538" s="58" t="str">
        <f t="shared" si="8"/>
        <v>Down To Earth Tree Management</v>
      </c>
    </row>
    <row r="539" spans="2:9" ht="15.75" customHeight="1" x14ac:dyDescent="0.2">
      <c r="C539" s="1" t="s">
        <v>467</v>
      </c>
      <c r="D539" s="1" t="s">
        <v>334</v>
      </c>
      <c r="E539" s="1">
        <v>0.53</v>
      </c>
      <c r="F539" s="1">
        <v>17</v>
      </c>
      <c r="G539" s="1">
        <v>9</v>
      </c>
      <c r="I539" s="58" t="str">
        <f t="shared" si="8"/>
        <v>Down To Earth Tree Management</v>
      </c>
    </row>
    <row r="540" spans="2:9" ht="15.75" customHeight="1" x14ac:dyDescent="0.2">
      <c r="D540" s="1" t="s">
        <v>337</v>
      </c>
      <c r="E540" s="1">
        <v>0</v>
      </c>
      <c r="F540" s="1">
        <v>4</v>
      </c>
      <c r="G540" s="1">
        <v>0</v>
      </c>
      <c r="I540" s="58" t="str">
        <f t="shared" si="8"/>
        <v>Down To Earth Tree Management</v>
      </c>
    </row>
    <row r="541" spans="2:9" ht="15.75" customHeight="1" x14ac:dyDescent="0.2">
      <c r="D541" s="1" t="s">
        <v>336</v>
      </c>
      <c r="E541" s="1">
        <v>0.67</v>
      </c>
      <c r="F541" s="1">
        <v>6</v>
      </c>
      <c r="G541" s="1">
        <v>4</v>
      </c>
      <c r="I541" s="58" t="str">
        <f t="shared" si="8"/>
        <v>Down To Earth Tree Management</v>
      </c>
    </row>
    <row r="542" spans="2:9" ht="15.75" customHeight="1" x14ac:dyDescent="0.2">
      <c r="D542" s="1" t="s">
        <v>340</v>
      </c>
      <c r="E542" s="1">
        <v>0.72</v>
      </c>
      <c r="F542" s="1">
        <v>7</v>
      </c>
      <c r="G542" s="1">
        <v>5</v>
      </c>
      <c r="I542" s="58" t="str">
        <f t="shared" si="8"/>
        <v>Down To Earth Tree Management</v>
      </c>
    </row>
    <row r="543" spans="2:9" ht="15.75" customHeight="1" x14ac:dyDescent="0.2">
      <c r="C543" s="1" t="s">
        <v>468</v>
      </c>
      <c r="D543" s="1" t="s">
        <v>334</v>
      </c>
      <c r="E543" s="1">
        <v>0.53</v>
      </c>
      <c r="F543" s="1">
        <v>17</v>
      </c>
      <c r="G543" s="1">
        <v>9</v>
      </c>
      <c r="I543" s="58" t="str">
        <f t="shared" si="8"/>
        <v>Down To Earth Tree Management</v>
      </c>
    </row>
    <row r="544" spans="2:9" ht="15.75" customHeight="1" x14ac:dyDescent="0.2">
      <c r="D544" s="1" t="s">
        <v>337</v>
      </c>
      <c r="E544" s="1">
        <v>0.25</v>
      </c>
      <c r="F544" s="1">
        <v>4</v>
      </c>
      <c r="G544" s="1">
        <v>1</v>
      </c>
      <c r="I544" s="58" t="str">
        <f t="shared" si="8"/>
        <v>Down To Earth Tree Management</v>
      </c>
    </row>
    <row r="545" spans="2:9" ht="15.75" customHeight="1" x14ac:dyDescent="0.2">
      <c r="D545" s="1" t="s">
        <v>340</v>
      </c>
      <c r="E545" s="1">
        <v>0.57999999999999996</v>
      </c>
      <c r="F545" s="1">
        <v>7</v>
      </c>
      <c r="G545" s="1">
        <v>4</v>
      </c>
      <c r="I545" s="58" t="str">
        <f t="shared" si="8"/>
        <v>Down To Earth Tree Management</v>
      </c>
    </row>
    <row r="546" spans="2:9" ht="15.75" customHeight="1" x14ac:dyDescent="0.2">
      <c r="D546" s="1" t="s">
        <v>336</v>
      </c>
      <c r="E546" s="1">
        <v>0.67</v>
      </c>
      <c r="F546" s="1">
        <v>6</v>
      </c>
      <c r="G546" s="1">
        <v>4</v>
      </c>
      <c r="I546" s="58" t="str">
        <f t="shared" si="8"/>
        <v>Down To Earth Tree Management</v>
      </c>
    </row>
    <row r="547" spans="2:9" ht="15.75" customHeight="1" x14ac:dyDescent="0.2">
      <c r="C547" s="1" t="s">
        <v>469</v>
      </c>
      <c r="D547" s="1" t="s">
        <v>334</v>
      </c>
      <c r="E547" s="1">
        <v>0.62</v>
      </c>
      <c r="F547" s="1">
        <v>13</v>
      </c>
      <c r="G547" s="1">
        <v>8</v>
      </c>
      <c r="I547" s="58" t="str">
        <f t="shared" si="8"/>
        <v>Down To Earth Tree Management</v>
      </c>
    </row>
    <row r="548" spans="2:9" ht="15.75" customHeight="1" x14ac:dyDescent="0.2">
      <c r="D548" s="1" t="s">
        <v>340</v>
      </c>
      <c r="E548" s="1">
        <v>0.57999999999999996</v>
      </c>
      <c r="F548" s="1">
        <v>7</v>
      </c>
      <c r="G548" s="1">
        <v>4</v>
      </c>
      <c r="I548" s="58" t="str">
        <f t="shared" si="8"/>
        <v>Down To Earth Tree Management</v>
      </c>
    </row>
    <row r="549" spans="2:9" ht="15.75" customHeight="1" x14ac:dyDescent="0.2">
      <c r="D549" s="1" t="s">
        <v>336</v>
      </c>
      <c r="E549" s="1">
        <v>0.67</v>
      </c>
      <c r="F549" s="1">
        <v>6</v>
      </c>
      <c r="G549" s="1">
        <v>4</v>
      </c>
      <c r="I549" s="58" t="str">
        <f t="shared" si="8"/>
        <v>Down To Earth Tree Management</v>
      </c>
    </row>
    <row r="550" spans="2:9" ht="15.75" customHeight="1" x14ac:dyDescent="0.2">
      <c r="C550" s="1" t="s">
        <v>470</v>
      </c>
      <c r="D550" s="1" t="s">
        <v>334</v>
      </c>
      <c r="E550" s="1">
        <v>0.71</v>
      </c>
      <c r="F550" s="1">
        <v>17</v>
      </c>
      <c r="G550" s="1">
        <v>12</v>
      </c>
      <c r="I550" s="58" t="str">
        <f t="shared" si="8"/>
        <v>Down To Earth Tree Management</v>
      </c>
    </row>
    <row r="551" spans="2:9" ht="15.75" customHeight="1" x14ac:dyDescent="0.2">
      <c r="D551" s="1" t="s">
        <v>337</v>
      </c>
      <c r="E551" s="1">
        <v>0.25</v>
      </c>
      <c r="F551" s="1">
        <v>4</v>
      </c>
      <c r="G551" s="1">
        <v>1</v>
      </c>
      <c r="I551" s="58" t="str">
        <f t="shared" si="8"/>
        <v>Down To Earth Tree Management</v>
      </c>
    </row>
    <row r="552" spans="2:9" ht="15.75" customHeight="1" x14ac:dyDescent="0.2">
      <c r="D552" s="1" t="s">
        <v>336</v>
      </c>
      <c r="E552" s="1">
        <v>0.84</v>
      </c>
      <c r="F552" s="1">
        <v>6</v>
      </c>
      <c r="G552" s="1">
        <v>5</v>
      </c>
      <c r="I552" s="58" t="str">
        <f t="shared" si="8"/>
        <v>Down To Earth Tree Management</v>
      </c>
    </row>
    <row r="553" spans="2:9" ht="15.75" customHeight="1" x14ac:dyDescent="0.2">
      <c r="D553" s="1" t="s">
        <v>340</v>
      </c>
      <c r="E553" s="1">
        <v>0.86</v>
      </c>
      <c r="F553" s="1">
        <v>7</v>
      </c>
      <c r="G553" s="1">
        <v>6</v>
      </c>
      <c r="I553" s="58" t="str">
        <f t="shared" si="8"/>
        <v>Down To Earth Tree Management</v>
      </c>
    </row>
    <row r="554" spans="2:9" ht="15.75" customHeight="1" x14ac:dyDescent="0.2">
      <c r="C554" s="1" t="s">
        <v>156</v>
      </c>
      <c r="D554" s="1" t="s">
        <v>334</v>
      </c>
      <c r="E554" s="1">
        <v>1</v>
      </c>
      <c r="F554" s="1">
        <v>4</v>
      </c>
      <c r="G554" s="1">
        <v>4</v>
      </c>
      <c r="I554" s="58" t="str">
        <f t="shared" si="8"/>
        <v>Down To Earth Tree Management</v>
      </c>
    </row>
    <row r="555" spans="2:9" ht="15.75" customHeight="1" x14ac:dyDescent="0.2">
      <c r="D555" s="1" t="s">
        <v>343</v>
      </c>
      <c r="E555" s="1">
        <v>1</v>
      </c>
      <c r="F555" s="1">
        <v>4</v>
      </c>
      <c r="G555" s="1">
        <v>4</v>
      </c>
      <c r="I555" s="58" t="str">
        <f t="shared" si="8"/>
        <v>Down To Earth Tree Management</v>
      </c>
    </row>
    <row r="556" spans="2:9" ht="15.75" customHeight="1" x14ac:dyDescent="0.2">
      <c r="B556" s="1" t="s">
        <v>94</v>
      </c>
      <c r="C556" s="1" t="s">
        <v>334</v>
      </c>
      <c r="E556" s="1">
        <v>0.65</v>
      </c>
      <c r="F556" s="1">
        <v>64</v>
      </c>
      <c r="G556" s="1">
        <v>41</v>
      </c>
      <c r="H556" s="57">
        <v>45870</v>
      </c>
      <c r="I556" s="58" t="str">
        <f t="shared" si="8"/>
        <v>A J Arborists Ltd</v>
      </c>
    </row>
    <row r="557" spans="2:9" ht="15.75" customHeight="1" x14ac:dyDescent="0.2">
      <c r="C557" s="1" t="s">
        <v>471</v>
      </c>
      <c r="D557" s="1" t="s">
        <v>334</v>
      </c>
      <c r="E557" s="1">
        <v>0.4</v>
      </c>
      <c r="F557" s="1">
        <v>15</v>
      </c>
      <c r="G557" s="1">
        <v>6</v>
      </c>
      <c r="I557" s="58" t="str">
        <f t="shared" si="8"/>
        <v>A J Arborists Ltd</v>
      </c>
    </row>
    <row r="558" spans="2:9" ht="15.75" customHeight="1" x14ac:dyDescent="0.2">
      <c r="D558" s="1" t="s">
        <v>336</v>
      </c>
      <c r="E558" s="1">
        <v>0.17</v>
      </c>
      <c r="F558" s="1">
        <v>6</v>
      </c>
      <c r="G558" s="1">
        <v>1</v>
      </c>
      <c r="I558" s="58" t="str">
        <f t="shared" si="8"/>
        <v>A J Arborists Ltd</v>
      </c>
    </row>
    <row r="559" spans="2:9" ht="15.75" customHeight="1" x14ac:dyDescent="0.2">
      <c r="D559" s="1" t="s">
        <v>338</v>
      </c>
      <c r="E559" s="1">
        <v>0.4</v>
      </c>
      <c r="F559" s="1">
        <v>5</v>
      </c>
      <c r="G559" s="1">
        <v>2</v>
      </c>
      <c r="I559" s="58" t="str">
        <f t="shared" si="8"/>
        <v>A J Arborists Ltd</v>
      </c>
    </row>
    <row r="560" spans="2:9" ht="15.75" customHeight="1" x14ac:dyDescent="0.2">
      <c r="D560" s="1" t="s">
        <v>337</v>
      </c>
      <c r="E560" s="1">
        <v>0.75</v>
      </c>
      <c r="F560" s="1">
        <v>4</v>
      </c>
      <c r="G560" s="1">
        <v>3</v>
      </c>
      <c r="I560" s="58" t="str">
        <f t="shared" si="8"/>
        <v>A J Arborists Ltd</v>
      </c>
    </row>
    <row r="561" spans="2:9" ht="15.75" customHeight="1" x14ac:dyDescent="0.2">
      <c r="C561" s="1" t="s">
        <v>472</v>
      </c>
      <c r="D561" s="1" t="s">
        <v>334</v>
      </c>
      <c r="E561" s="1">
        <v>0.54</v>
      </c>
      <c r="F561" s="1">
        <v>15</v>
      </c>
      <c r="G561" s="1">
        <v>8</v>
      </c>
      <c r="I561" s="58" t="str">
        <f t="shared" si="8"/>
        <v>A J Arborists Ltd</v>
      </c>
    </row>
    <row r="562" spans="2:9" ht="15.75" customHeight="1" x14ac:dyDescent="0.2">
      <c r="D562" s="1" t="s">
        <v>336</v>
      </c>
      <c r="E562" s="1">
        <v>0.17</v>
      </c>
      <c r="F562" s="1">
        <v>6</v>
      </c>
      <c r="G562" s="1">
        <v>1</v>
      </c>
      <c r="I562" s="58" t="str">
        <f t="shared" si="8"/>
        <v>A J Arborists Ltd</v>
      </c>
    </row>
    <row r="563" spans="2:9" ht="15.75" customHeight="1" x14ac:dyDescent="0.2">
      <c r="D563" s="1" t="s">
        <v>338</v>
      </c>
      <c r="E563" s="1">
        <v>0.6</v>
      </c>
      <c r="F563" s="1">
        <v>5</v>
      </c>
      <c r="G563" s="1">
        <v>3</v>
      </c>
      <c r="I563" s="58" t="str">
        <f t="shared" si="8"/>
        <v>A J Arborists Ltd</v>
      </c>
    </row>
    <row r="564" spans="2:9" ht="15.75" customHeight="1" x14ac:dyDescent="0.2">
      <c r="D564" s="1" t="s">
        <v>337</v>
      </c>
      <c r="E564" s="1">
        <v>1</v>
      </c>
      <c r="F564" s="1">
        <v>4</v>
      </c>
      <c r="G564" s="1">
        <v>4</v>
      </c>
      <c r="I564" s="58" t="str">
        <f t="shared" si="8"/>
        <v>A J Arborists Ltd</v>
      </c>
    </row>
    <row r="565" spans="2:9" ht="15.75" customHeight="1" x14ac:dyDescent="0.2">
      <c r="C565" s="1" t="s">
        <v>473</v>
      </c>
      <c r="D565" s="1" t="s">
        <v>334</v>
      </c>
      <c r="E565" s="1">
        <v>0.59</v>
      </c>
      <c r="F565" s="1">
        <v>17</v>
      </c>
      <c r="G565" s="1">
        <v>10</v>
      </c>
      <c r="I565" s="58" t="str">
        <f t="shared" si="8"/>
        <v>A J Arborists Ltd</v>
      </c>
    </row>
    <row r="566" spans="2:9" ht="15.75" customHeight="1" x14ac:dyDescent="0.2">
      <c r="D566" s="1" t="s">
        <v>336</v>
      </c>
      <c r="E566" s="1">
        <v>0.17</v>
      </c>
      <c r="F566" s="1">
        <v>6</v>
      </c>
      <c r="G566" s="1">
        <v>1</v>
      </c>
      <c r="I566" s="58" t="str">
        <f t="shared" si="8"/>
        <v>A J Arborists Ltd</v>
      </c>
    </row>
    <row r="567" spans="2:9" ht="15.75" customHeight="1" x14ac:dyDescent="0.2">
      <c r="D567" s="1" t="s">
        <v>340</v>
      </c>
      <c r="E567" s="1">
        <v>0.72</v>
      </c>
      <c r="F567" s="1">
        <v>7</v>
      </c>
      <c r="G567" s="1">
        <v>5</v>
      </c>
      <c r="I567" s="58" t="str">
        <f t="shared" si="8"/>
        <v>A J Arborists Ltd</v>
      </c>
    </row>
    <row r="568" spans="2:9" ht="15.75" customHeight="1" x14ac:dyDescent="0.2">
      <c r="D568" s="1" t="s">
        <v>337</v>
      </c>
      <c r="E568" s="1">
        <v>1</v>
      </c>
      <c r="F568" s="1">
        <v>4</v>
      </c>
      <c r="G568" s="1">
        <v>4</v>
      </c>
      <c r="I568" s="58" t="str">
        <f t="shared" si="8"/>
        <v>A J Arborists Ltd</v>
      </c>
    </row>
    <row r="569" spans="2:9" ht="15.75" customHeight="1" x14ac:dyDescent="0.2">
      <c r="C569" s="1" t="s">
        <v>474</v>
      </c>
      <c r="D569" s="1" t="s">
        <v>334</v>
      </c>
      <c r="E569" s="1">
        <v>1</v>
      </c>
      <c r="F569" s="1">
        <v>17</v>
      </c>
      <c r="G569" s="1">
        <v>17</v>
      </c>
      <c r="I569" s="58" t="str">
        <f t="shared" si="8"/>
        <v>A J Arborists Ltd</v>
      </c>
    </row>
    <row r="570" spans="2:9" ht="15.75" customHeight="1" x14ac:dyDescent="0.2">
      <c r="D570" s="1" t="s">
        <v>340</v>
      </c>
      <c r="E570" s="1">
        <v>1</v>
      </c>
      <c r="F570" s="1">
        <v>7</v>
      </c>
      <c r="G570" s="1">
        <v>7</v>
      </c>
      <c r="I570" s="58" t="str">
        <f t="shared" si="8"/>
        <v>A J Arborists Ltd</v>
      </c>
    </row>
    <row r="571" spans="2:9" ht="15.75" customHeight="1" x14ac:dyDescent="0.2">
      <c r="D571" s="1" t="s">
        <v>336</v>
      </c>
      <c r="E571" s="1">
        <v>1</v>
      </c>
      <c r="F571" s="1">
        <v>6</v>
      </c>
      <c r="G571" s="1">
        <v>6</v>
      </c>
      <c r="I571" s="58" t="str">
        <f t="shared" si="8"/>
        <v>A J Arborists Ltd</v>
      </c>
    </row>
    <row r="572" spans="2:9" ht="15.75" customHeight="1" x14ac:dyDescent="0.2">
      <c r="D572" s="1" t="s">
        <v>337</v>
      </c>
      <c r="E572" s="1">
        <v>1</v>
      </c>
      <c r="F572" s="1">
        <v>4</v>
      </c>
      <c r="G572" s="1">
        <v>4</v>
      </c>
      <c r="I572" s="58" t="str">
        <f t="shared" si="8"/>
        <v>A J Arborists Ltd</v>
      </c>
    </row>
    <row r="573" spans="2:9" ht="15.75" customHeight="1" x14ac:dyDescent="0.2">
      <c r="B573" s="1" t="s">
        <v>139</v>
      </c>
      <c r="C573" s="1" t="s">
        <v>334</v>
      </c>
      <c r="E573" s="1">
        <v>0.65</v>
      </c>
      <c r="F573" s="1">
        <v>157</v>
      </c>
      <c r="G573" s="1">
        <v>101</v>
      </c>
      <c r="H573" s="57">
        <v>44202</v>
      </c>
      <c r="I573" s="58" t="str">
        <f t="shared" si="8"/>
        <v>ACME Arb Ltd (Pend Arb Utility)</v>
      </c>
    </row>
    <row r="574" spans="2:9" ht="15.75" customHeight="1" x14ac:dyDescent="0.2">
      <c r="C574" s="1" t="s">
        <v>475</v>
      </c>
      <c r="D574" s="1" t="s">
        <v>334</v>
      </c>
      <c r="E574" s="1">
        <v>0.48</v>
      </c>
      <c r="F574" s="1">
        <v>17</v>
      </c>
      <c r="G574" s="1">
        <v>8</v>
      </c>
      <c r="I574" s="58" t="str">
        <f t="shared" si="8"/>
        <v>ACME Arb Ltd (Pend Arb Utility)</v>
      </c>
    </row>
    <row r="575" spans="2:9" ht="15.75" customHeight="1" x14ac:dyDescent="0.2">
      <c r="D575" s="1" t="s">
        <v>336</v>
      </c>
      <c r="E575" s="1">
        <v>0.17</v>
      </c>
      <c r="F575" s="1">
        <v>6</v>
      </c>
      <c r="G575" s="1">
        <v>1</v>
      </c>
      <c r="I575" s="58" t="str">
        <f t="shared" si="8"/>
        <v>ACME Arb Ltd (Pend Arb Utility)</v>
      </c>
    </row>
    <row r="576" spans="2:9" ht="15.75" customHeight="1" x14ac:dyDescent="0.2">
      <c r="D576" s="1" t="s">
        <v>337</v>
      </c>
      <c r="E576" s="1">
        <v>0.25</v>
      </c>
      <c r="F576" s="1">
        <v>4</v>
      </c>
      <c r="G576" s="1">
        <v>1</v>
      </c>
      <c r="I576" s="58" t="str">
        <f t="shared" si="8"/>
        <v>ACME Arb Ltd (Pend Arb Utility)</v>
      </c>
    </row>
    <row r="577" spans="3:9" ht="15.75" customHeight="1" x14ac:dyDescent="0.2">
      <c r="D577" s="1" t="s">
        <v>340</v>
      </c>
      <c r="E577" s="1">
        <v>0.86</v>
      </c>
      <c r="F577" s="1">
        <v>7</v>
      </c>
      <c r="G577" s="1">
        <v>6</v>
      </c>
      <c r="I577" s="58" t="str">
        <f t="shared" si="8"/>
        <v>ACME Arb Ltd (Pend Arb Utility)</v>
      </c>
    </row>
    <row r="578" spans="3:9" ht="15.75" customHeight="1" x14ac:dyDescent="0.2">
      <c r="C578" s="1" t="s">
        <v>476</v>
      </c>
      <c r="D578" s="1" t="s">
        <v>334</v>
      </c>
      <c r="E578" s="1">
        <v>0.48</v>
      </c>
      <c r="F578" s="1">
        <v>17</v>
      </c>
      <c r="G578" s="1">
        <v>8</v>
      </c>
      <c r="I578" s="58" t="str">
        <f t="shared" si="8"/>
        <v>ACME Arb Ltd (Pend Arb Utility)</v>
      </c>
    </row>
    <row r="579" spans="3:9" ht="15.75" customHeight="1" x14ac:dyDescent="0.2">
      <c r="D579" s="1" t="s">
        <v>336</v>
      </c>
      <c r="E579" s="1">
        <v>0.17</v>
      </c>
      <c r="F579" s="1">
        <v>6</v>
      </c>
      <c r="G579" s="1">
        <v>1</v>
      </c>
      <c r="I579" s="58" t="str">
        <f t="shared" si="8"/>
        <v>ACME Arb Ltd (Pend Arb Utility)</v>
      </c>
    </row>
    <row r="580" spans="3:9" ht="15.75" customHeight="1" x14ac:dyDescent="0.2">
      <c r="D580" s="1" t="s">
        <v>337</v>
      </c>
      <c r="E580" s="1">
        <v>0.5</v>
      </c>
      <c r="F580" s="1">
        <v>4</v>
      </c>
      <c r="G580" s="1">
        <v>2</v>
      </c>
      <c r="I580" s="58" t="str">
        <f t="shared" si="8"/>
        <v>ACME Arb Ltd (Pend Arb Utility)</v>
      </c>
    </row>
    <row r="581" spans="3:9" ht="15.75" customHeight="1" x14ac:dyDescent="0.2">
      <c r="D581" s="1" t="s">
        <v>340</v>
      </c>
      <c r="E581" s="1">
        <v>0.72</v>
      </c>
      <c r="F581" s="1">
        <v>7</v>
      </c>
      <c r="G581" s="1">
        <v>5</v>
      </c>
      <c r="I581" s="58" t="str">
        <f t="shared" si="8"/>
        <v>ACME Arb Ltd (Pend Arb Utility)</v>
      </c>
    </row>
    <row r="582" spans="3:9" ht="15.75" customHeight="1" x14ac:dyDescent="0.2">
      <c r="C582" s="1" t="s">
        <v>139</v>
      </c>
      <c r="D582" s="1" t="s">
        <v>334</v>
      </c>
      <c r="E582" s="1">
        <v>0.5</v>
      </c>
      <c r="F582" s="1">
        <v>4</v>
      </c>
      <c r="G582" s="1">
        <v>2</v>
      </c>
      <c r="I582" s="58" t="str">
        <f t="shared" ref="I582:I645" si="9">IF(B582&lt;&gt;"",B582,I581)</f>
        <v>ACME Arb Ltd (Pend Arb Utility)</v>
      </c>
    </row>
    <row r="583" spans="3:9" ht="15.75" customHeight="1" x14ac:dyDescent="0.2">
      <c r="D583" s="1" t="s">
        <v>343</v>
      </c>
      <c r="E583" s="1">
        <v>0.5</v>
      </c>
      <c r="F583" s="1">
        <v>4</v>
      </c>
      <c r="G583" s="1">
        <v>2</v>
      </c>
      <c r="I583" s="58" t="str">
        <f t="shared" si="9"/>
        <v>ACME Arb Ltd (Pend Arb Utility)</v>
      </c>
    </row>
    <row r="584" spans="3:9" ht="15.75" customHeight="1" x14ac:dyDescent="0.2">
      <c r="C584" s="1" t="s">
        <v>477</v>
      </c>
      <c r="D584" s="1" t="s">
        <v>334</v>
      </c>
      <c r="E584" s="1">
        <v>0.53</v>
      </c>
      <c r="F584" s="1">
        <v>17</v>
      </c>
      <c r="G584" s="1">
        <v>9</v>
      </c>
      <c r="I584" s="58" t="str">
        <f t="shared" si="9"/>
        <v>ACME Arb Ltd (Pend Arb Utility)</v>
      </c>
    </row>
    <row r="585" spans="3:9" ht="15.75" customHeight="1" x14ac:dyDescent="0.2">
      <c r="D585" s="1" t="s">
        <v>337</v>
      </c>
      <c r="E585" s="1">
        <v>0.25</v>
      </c>
      <c r="F585" s="1">
        <v>4</v>
      </c>
      <c r="G585" s="1">
        <v>1</v>
      </c>
      <c r="I585" s="58" t="str">
        <f t="shared" si="9"/>
        <v>ACME Arb Ltd (Pend Arb Utility)</v>
      </c>
    </row>
    <row r="586" spans="3:9" ht="15.75" customHeight="1" x14ac:dyDescent="0.2">
      <c r="D586" s="1" t="s">
        <v>336</v>
      </c>
      <c r="E586" s="1">
        <v>0.5</v>
      </c>
      <c r="F586" s="1">
        <v>6</v>
      </c>
      <c r="G586" s="1">
        <v>3</v>
      </c>
      <c r="I586" s="58" t="str">
        <f t="shared" si="9"/>
        <v>ACME Arb Ltd (Pend Arb Utility)</v>
      </c>
    </row>
    <row r="587" spans="3:9" ht="15.75" customHeight="1" x14ac:dyDescent="0.2">
      <c r="D587" s="1" t="s">
        <v>340</v>
      </c>
      <c r="E587" s="1">
        <v>0.72</v>
      </c>
      <c r="F587" s="1">
        <v>7</v>
      </c>
      <c r="G587" s="1">
        <v>5</v>
      </c>
      <c r="I587" s="58" t="str">
        <f t="shared" si="9"/>
        <v>ACME Arb Ltd (Pend Arb Utility)</v>
      </c>
    </row>
    <row r="588" spans="3:9" ht="15.75" customHeight="1" x14ac:dyDescent="0.2">
      <c r="C588" s="1" t="s">
        <v>478</v>
      </c>
      <c r="D588" s="1" t="s">
        <v>334</v>
      </c>
      <c r="E588" s="1">
        <v>0.53</v>
      </c>
      <c r="F588" s="1">
        <v>17</v>
      </c>
      <c r="G588" s="1">
        <v>9</v>
      </c>
      <c r="I588" s="58" t="str">
        <f t="shared" si="9"/>
        <v>ACME Arb Ltd (Pend Arb Utility)</v>
      </c>
    </row>
    <row r="589" spans="3:9" ht="15.75" customHeight="1" x14ac:dyDescent="0.2">
      <c r="D589" s="1" t="s">
        <v>336</v>
      </c>
      <c r="E589" s="1">
        <v>0.17</v>
      </c>
      <c r="F589" s="1">
        <v>6</v>
      </c>
      <c r="G589" s="1">
        <v>1</v>
      </c>
      <c r="I589" s="58" t="str">
        <f t="shared" si="9"/>
        <v>ACME Arb Ltd (Pend Arb Utility)</v>
      </c>
    </row>
    <row r="590" spans="3:9" ht="15.75" customHeight="1" x14ac:dyDescent="0.2">
      <c r="D590" s="1" t="s">
        <v>340</v>
      </c>
      <c r="E590" s="1">
        <v>0.57999999999999996</v>
      </c>
      <c r="F590" s="1">
        <v>7</v>
      </c>
      <c r="G590" s="1">
        <v>4</v>
      </c>
      <c r="I590" s="58" t="str">
        <f t="shared" si="9"/>
        <v>ACME Arb Ltd (Pend Arb Utility)</v>
      </c>
    </row>
    <row r="591" spans="3:9" ht="15.75" customHeight="1" x14ac:dyDescent="0.2">
      <c r="D591" s="1" t="s">
        <v>337</v>
      </c>
      <c r="E591" s="1">
        <v>1</v>
      </c>
      <c r="F591" s="1">
        <v>4</v>
      </c>
      <c r="G591" s="1">
        <v>4</v>
      </c>
      <c r="I591" s="58" t="str">
        <f t="shared" si="9"/>
        <v>ACME Arb Ltd (Pend Arb Utility)</v>
      </c>
    </row>
    <row r="592" spans="3:9" ht="15.75" customHeight="1" x14ac:dyDescent="0.2">
      <c r="C592" s="1" t="s">
        <v>479</v>
      </c>
      <c r="D592" s="1" t="s">
        <v>334</v>
      </c>
      <c r="E592" s="1">
        <v>0.59</v>
      </c>
      <c r="F592" s="1">
        <v>17</v>
      </c>
      <c r="G592" s="1">
        <v>10</v>
      </c>
      <c r="I592" s="58" t="str">
        <f t="shared" si="9"/>
        <v>ACME Arb Ltd (Pend Arb Utility)</v>
      </c>
    </row>
    <row r="593" spans="3:9" ht="15.75" customHeight="1" x14ac:dyDescent="0.2">
      <c r="D593" s="1" t="s">
        <v>336</v>
      </c>
      <c r="E593" s="1">
        <v>0.5</v>
      </c>
      <c r="F593" s="1">
        <v>6</v>
      </c>
      <c r="G593" s="1">
        <v>3</v>
      </c>
      <c r="I593" s="58" t="str">
        <f t="shared" si="9"/>
        <v>ACME Arb Ltd (Pend Arb Utility)</v>
      </c>
    </row>
    <row r="594" spans="3:9" ht="15.75" customHeight="1" x14ac:dyDescent="0.2">
      <c r="D594" s="1" t="s">
        <v>337</v>
      </c>
      <c r="E594" s="1">
        <v>0.5</v>
      </c>
      <c r="F594" s="1">
        <v>4</v>
      </c>
      <c r="G594" s="1">
        <v>2</v>
      </c>
      <c r="I594" s="58" t="str">
        <f t="shared" si="9"/>
        <v>ACME Arb Ltd (Pend Arb Utility)</v>
      </c>
    </row>
    <row r="595" spans="3:9" ht="15.75" customHeight="1" x14ac:dyDescent="0.2">
      <c r="D595" s="1" t="s">
        <v>340</v>
      </c>
      <c r="E595" s="1">
        <v>0.72</v>
      </c>
      <c r="F595" s="1">
        <v>7</v>
      </c>
      <c r="G595" s="1">
        <v>5</v>
      </c>
      <c r="I595" s="58" t="str">
        <f t="shared" si="9"/>
        <v>ACME Arb Ltd (Pend Arb Utility)</v>
      </c>
    </row>
    <row r="596" spans="3:9" ht="15.75" customHeight="1" x14ac:dyDescent="0.2">
      <c r="C596" s="1" t="s">
        <v>480</v>
      </c>
      <c r="D596" s="1" t="s">
        <v>334</v>
      </c>
      <c r="E596" s="1">
        <v>0.71</v>
      </c>
      <c r="F596" s="1">
        <v>17</v>
      </c>
      <c r="G596" s="1">
        <v>12</v>
      </c>
      <c r="I596" s="58" t="str">
        <f t="shared" si="9"/>
        <v>ACME Arb Ltd (Pend Arb Utility)</v>
      </c>
    </row>
    <row r="597" spans="3:9" ht="15.75" customHeight="1" x14ac:dyDescent="0.2">
      <c r="D597" s="1" t="s">
        <v>340</v>
      </c>
      <c r="E597" s="1">
        <v>0.57999999999999996</v>
      </c>
      <c r="F597" s="1">
        <v>7</v>
      </c>
      <c r="G597" s="1">
        <v>4</v>
      </c>
      <c r="I597" s="58" t="str">
        <f t="shared" si="9"/>
        <v>ACME Arb Ltd (Pend Arb Utility)</v>
      </c>
    </row>
    <row r="598" spans="3:9" ht="15.75" customHeight="1" x14ac:dyDescent="0.2">
      <c r="D598" s="1" t="s">
        <v>336</v>
      </c>
      <c r="E598" s="1">
        <v>0.67</v>
      </c>
      <c r="F598" s="1">
        <v>6</v>
      </c>
      <c r="G598" s="1">
        <v>4</v>
      </c>
      <c r="I598" s="58" t="str">
        <f t="shared" si="9"/>
        <v>ACME Arb Ltd (Pend Arb Utility)</v>
      </c>
    </row>
    <row r="599" spans="3:9" ht="15.75" customHeight="1" x14ac:dyDescent="0.2">
      <c r="D599" s="1" t="s">
        <v>337</v>
      </c>
      <c r="E599" s="1">
        <v>1</v>
      </c>
      <c r="F599" s="1">
        <v>4</v>
      </c>
      <c r="G599" s="1">
        <v>4</v>
      </c>
      <c r="I599" s="58" t="str">
        <f t="shared" si="9"/>
        <v>ACME Arb Ltd (Pend Arb Utility)</v>
      </c>
    </row>
    <row r="600" spans="3:9" ht="15.75" customHeight="1" x14ac:dyDescent="0.2">
      <c r="C600" s="1" t="s">
        <v>481</v>
      </c>
      <c r="D600" s="1" t="s">
        <v>334</v>
      </c>
      <c r="E600" s="1">
        <v>0.83</v>
      </c>
      <c r="F600" s="1">
        <v>17</v>
      </c>
      <c r="G600" s="1">
        <v>14</v>
      </c>
      <c r="I600" s="58" t="str">
        <f t="shared" si="9"/>
        <v>ACME Arb Ltd (Pend Arb Utility)</v>
      </c>
    </row>
    <row r="601" spans="3:9" ht="15.75" customHeight="1" x14ac:dyDescent="0.2">
      <c r="D601" s="1" t="s">
        <v>337</v>
      </c>
      <c r="E601" s="1">
        <v>0.5</v>
      </c>
      <c r="F601" s="1">
        <v>4</v>
      </c>
      <c r="G601" s="1">
        <v>2</v>
      </c>
      <c r="I601" s="58" t="str">
        <f t="shared" si="9"/>
        <v>ACME Arb Ltd (Pend Arb Utility)</v>
      </c>
    </row>
    <row r="602" spans="3:9" ht="15.75" customHeight="1" x14ac:dyDescent="0.2">
      <c r="D602" s="1" t="s">
        <v>340</v>
      </c>
      <c r="E602" s="1">
        <v>0.86</v>
      </c>
      <c r="F602" s="1">
        <v>7</v>
      </c>
      <c r="G602" s="1">
        <v>6</v>
      </c>
      <c r="I602" s="58" t="str">
        <f t="shared" si="9"/>
        <v>ACME Arb Ltd (Pend Arb Utility)</v>
      </c>
    </row>
    <row r="603" spans="3:9" ht="15.75" customHeight="1" x14ac:dyDescent="0.2">
      <c r="D603" s="1" t="s">
        <v>336</v>
      </c>
      <c r="E603" s="1">
        <v>1</v>
      </c>
      <c r="F603" s="1">
        <v>6</v>
      </c>
      <c r="G603" s="1">
        <v>6</v>
      </c>
      <c r="I603" s="58" t="str">
        <f t="shared" si="9"/>
        <v>ACME Arb Ltd (Pend Arb Utility)</v>
      </c>
    </row>
    <row r="604" spans="3:9" ht="15.75" customHeight="1" x14ac:dyDescent="0.2">
      <c r="C604" s="1" t="s">
        <v>482</v>
      </c>
      <c r="D604" s="1" t="s">
        <v>334</v>
      </c>
      <c r="E604" s="1">
        <v>0.83</v>
      </c>
      <c r="F604" s="1">
        <v>17</v>
      </c>
      <c r="G604" s="1">
        <v>14</v>
      </c>
      <c r="I604" s="58" t="str">
        <f t="shared" si="9"/>
        <v>ACME Arb Ltd (Pend Arb Utility)</v>
      </c>
    </row>
    <row r="605" spans="3:9" ht="15.75" customHeight="1" x14ac:dyDescent="0.2">
      <c r="D605" s="1" t="s">
        <v>337</v>
      </c>
      <c r="E605" s="1">
        <v>0.5</v>
      </c>
      <c r="F605" s="1">
        <v>4</v>
      </c>
      <c r="G605" s="1">
        <v>2</v>
      </c>
      <c r="I605" s="58" t="str">
        <f t="shared" si="9"/>
        <v>ACME Arb Ltd (Pend Arb Utility)</v>
      </c>
    </row>
    <row r="606" spans="3:9" ht="15.75" customHeight="1" x14ac:dyDescent="0.2">
      <c r="D606" s="1" t="s">
        <v>340</v>
      </c>
      <c r="E606" s="1">
        <v>0.86</v>
      </c>
      <c r="F606" s="1">
        <v>7</v>
      </c>
      <c r="G606" s="1">
        <v>6</v>
      </c>
      <c r="I606" s="58" t="str">
        <f t="shared" si="9"/>
        <v>ACME Arb Ltd (Pend Arb Utility)</v>
      </c>
    </row>
    <row r="607" spans="3:9" ht="15.75" customHeight="1" x14ac:dyDescent="0.2">
      <c r="D607" s="1" t="s">
        <v>336</v>
      </c>
      <c r="E607" s="1">
        <v>1</v>
      </c>
      <c r="F607" s="1">
        <v>6</v>
      </c>
      <c r="G607" s="1">
        <v>6</v>
      </c>
      <c r="I607" s="58" t="str">
        <f t="shared" si="9"/>
        <v>ACME Arb Ltd (Pend Arb Utility)</v>
      </c>
    </row>
    <row r="608" spans="3:9" ht="15.75" customHeight="1" x14ac:dyDescent="0.2">
      <c r="C608" s="1" t="s">
        <v>483</v>
      </c>
      <c r="D608" s="1" t="s">
        <v>334</v>
      </c>
      <c r="E608" s="1">
        <v>0.89</v>
      </c>
      <c r="F608" s="1">
        <v>17</v>
      </c>
      <c r="G608" s="1">
        <v>15</v>
      </c>
      <c r="I608" s="58" t="str">
        <f t="shared" si="9"/>
        <v>ACME Arb Ltd (Pend Arb Utility)</v>
      </c>
    </row>
    <row r="609" spans="2:9" ht="15.75" customHeight="1" x14ac:dyDescent="0.2">
      <c r="D609" s="1" t="s">
        <v>337</v>
      </c>
      <c r="E609" s="1">
        <v>0.5</v>
      </c>
      <c r="F609" s="1">
        <v>4</v>
      </c>
      <c r="G609" s="1">
        <v>2</v>
      </c>
      <c r="I609" s="58" t="str">
        <f t="shared" si="9"/>
        <v>ACME Arb Ltd (Pend Arb Utility)</v>
      </c>
    </row>
    <row r="610" spans="2:9" ht="15.75" customHeight="1" x14ac:dyDescent="0.2">
      <c r="D610" s="1" t="s">
        <v>340</v>
      </c>
      <c r="E610" s="1">
        <v>1</v>
      </c>
      <c r="F610" s="1">
        <v>7</v>
      </c>
      <c r="G610" s="1">
        <v>7</v>
      </c>
      <c r="I610" s="58" t="str">
        <f t="shared" si="9"/>
        <v>ACME Arb Ltd (Pend Arb Utility)</v>
      </c>
    </row>
    <row r="611" spans="2:9" ht="15.75" customHeight="1" x14ac:dyDescent="0.2">
      <c r="D611" s="1" t="s">
        <v>336</v>
      </c>
      <c r="E611" s="1">
        <v>1</v>
      </c>
      <c r="F611" s="1">
        <v>6</v>
      </c>
      <c r="G611" s="1">
        <v>6</v>
      </c>
      <c r="I611" s="58" t="str">
        <f t="shared" si="9"/>
        <v>ACME Arb Ltd (Pend Arb Utility)</v>
      </c>
    </row>
    <row r="612" spans="2:9" ht="15.75" customHeight="1" x14ac:dyDescent="0.2">
      <c r="B612" s="1" t="s">
        <v>98</v>
      </c>
      <c r="C612" s="1" t="s">
        <v>334</v>
      </c>
      <c r="E612" s="1">
        <v>0.65</v>
      </c>
      <c r="F612" s="1">
        <v>274</v>
      </c>
      <c r="G612" s="1">
        <v>176</v>
      </c>
      <c r="H612" s="57">
        <v>41381</v>
      </c>
      <c r="I612" s="58" t="str">
        <f t="shared" si="9"/>
        <v>Bourne VP</v>
      </c>
    </row>
    <row r="613" spans="2:9" ht="15.75" customHeight="1" x14ac:dyDescent="0.2">
      <c r="C613" s="1" t="s">
        <v>484</v>
      </c>
      <c r="D613" s="1" t="s">
        <v>334</v>
      </c>
      <c r="E613" s="1">
        <v>0.42</v>
      </c>
      <c r="F613" s="1">
        <v>17</v>
      </c>
      <c r="G613" s="1">
        <v>7</v>
      </c>
      <c r="I613" s="58" t="str">
        <f t="shared" si="9"/>
        <v>Bourne VP</v>
      </c>
    </row>
    <row r="614" spans="2:9" ht="15.75" customHeight="1" x14ac:dyDescent="0.2">
      <c r="D614" s="1" t="s">
        <v>336</v>
      </c>
      <c r="E614" s="1">
        <v>0.17</v>
      </c>
      <c r="F614" s="1">
        <v>6</v>
      </c>
      <c r="G614" s="1">
        <v>1</v>
      </c>
      <c r="I614" s="58" t="str">
        <f t="shared" si="9"/>
        <v>Bourne VP</v>
      </c>
    </row>
    <row r="615" spans="2:9" ht="15.75" customHeight="1" x14ac:dyDescent="0.2">
      <c r="D615" s="1" t="s">
        <v>337</v>
      </c>
      <c r="E615" s="1">
        <v>0.25</v>
      </c>
      <c r="F615" s="1">
        <v>4</v>
      </c>
      <c r="G615" s="1">
        <v>1</v>
      </c>
      <c r="I615" s="58" t="str">
        <f t="shared" si="9"/>
        <v>Bourne VP</v>
      </c>
    </row>
    <row r="616" spans="2:9" ht="15.75" customHeight="1" x14ac:dyDescent="0.2">
      <c r="D616" s="1" t="s">
        <v>340</v>
      </c>
      <c r="E616" s="1">
        <v>0.72</v>
      </c>
      <c r="F616" s="1">
        <v>7</v>
      </c>
      <c r="G616" s="1">
        <v>5</v>
      </c>
      <c r="I616" s="58" t="str">
        <f t="shared" si="9"/>
        <v>Bourne VP</v>
      </c>
    </row>
    <row r="617" spans="2:9" ht="15.75" customHeight="1" x14ac:dyDescent="0.2">
      <c r="C617" s="1" t="s">
        <v>485</v>
      </c>
      <c r="D617" s="1" t="s">
        <v>334</v>
      </c>
      <c r="E617" s="1">
        <v>0.42</v>
      </c>
      <c r="F617" s="1">
        <v>17</v>
      </c>
      <c r="G617" s="1">
        <v>7</v>
      </c>
      <c r="I617" s="58" t="str">
        <f t="shared" si="9"/>
        <v>Bourne VP</v>
      </c>
    </row>
    <row r="618" spans="2:9" ht="15.75" customHeight="1" x14ac:dyDescent="0.2">
      <c r="D618" s="1" t="s">
        <v>336</v>
      </c>
      <c r="E618" s="1">
        <v>0.17</v>
      </c>
      <c r="F618" s="1">
        <v>6</v>
      </c>
      <c r="G618" s="1">
        <v>1</v>
      </c>
      <c r="I618" s="58" t="str">
        <f t="shared" si="9"/>
        <v>Bourne VP</v>
      </c>
    </row>
    <row r="619" spans="2:9" ht="15.75" customHeight="1" x14ac:dyDescent="0.2">
      <c r="D619" s="1" t="s">
        <v>337</v>
      </c>
      <c r="E619" s="1">
        <v>0.25</v>
      </c>
      <c r="F619" s="1">
        <v>4</v>
      </c>
      <c r="G619" s="1">
        <v>1</v>
      </c>
      <c r="I619" s="58" t="str">
        <f t="shared" si="9"/>
        <v>Bourne VP</v>
      </c>
    </row>
    <row r="620" spans="2:9" ht="15.75" customHeight="1" x14ac:dyDescent="0.2">
      <c r="D620" s="1" t="s">
        <v>340</v>
      </c>
      <c r="E620" s="1">
        <v>0.72</v>
      </c>
      <c r="F620" s="1">
        <v>7</v>
      </c>
      <c r="G620" s="1">
        <v>5</v>
      </c>
      <c r="I620" s="58" t="str">
        <f t="shared" si="9"/>
        <v>Bourne VP</v>
      </c>
    </row>
    <row r="621" spans="2:9" ht="15.75" customHeight="1" x14ac:dyDescent="0.2">
      <c r="C621" s="1" t="s">
        <v>486</v>
      </c>
      <c r="D621" s="1" t="s">
        <v>334</v>
      </c>
      <c r="E621" s="1">
        <v>0.47</v>
      </c>
      <c r="F621" s="1">
        <v>15</v>
      </c>
      <c r="G621" s="1">
        <v>7</v>
      </c>
      <c r="I621" s="58" t="str">
        <f t="shared" si="9"/>
        <v>Bourne VP</v>
      </c>
    </row>
    <row r="622" spans="2:9" ht="15.75" customHeight="1" x14ac:dyDescent="0.2">
      <c r="D622" s="1" t="s">
        <v>337</v>
      </c>
      <c r="E622" s="1">
        <v>0</v>
      </c>
      <c r="F622" s="1">
        <v>4</v>
      </c>
      <c r="G622" s="1">
        <v>0</v>
      </c>
      <c r="I622" s="58" t="str">
        <f t="shared" si="9"/>
        <v>Bourne VP</v>
      </c>
    </row>
    <row r="623" spans="2:9" ht="15.75" customHeight="1" x14ac:dyDescent="0.2">
      <c r="D623" s="1" t="s">
        <v>338</v>
      </c>
      <c r="E623" s="1">
        <v>0.6</v>
      </c>
      <c r="F623" s="1">
        <v>5</v>
      </c>
      <c r="G623" s="1">
        <v>3</v>
      </c>
      <c r="I623" s="58" t="str">
        <f t="shared" si="9"/>
        <v>Bourne VP</v>
      </c>
    </row>
    <row r="624" spans="2:9" ht="15.75" customHeight="1" x14ac:dyDescent="0.2">
      <c r="D624" s="1" t="s">
        <v>336</v>
      </c>
      <c r="E624" s="1">
        <v>0.67</v>
      </c>
      <c r="F624" s="1">
        <v>6</v>
      </c>
      <c r="G624" s="1">
        <v>4</v>
      </c>
      <c r="I624" s="58" t="str">
        <f t="shared" si="9"/>
        <v>Bourne VP</v>
      </c>
    </row>
    <row r="625" spans="3:9" ht="15.75" customHeight="1" x14ac:dyDescent="0.2">
      <c r="C625" s="1" t="s">
        <v>487</v>
      </c>
      <c r="D625" s="1" t="s">
        <v>334</v>
      </c>
      <c r="E625" s="1">
        <v>0.48</v>
      </c>
      <c r="F625" s="1">
        <v>17</v>
      </c>
      <c r="G625" s="1">
        <v>8</v>
      </c>
      <c r="I625" s="58" t="str">
        <f t="shared" si="9"/>
        <v>Bourne VP</v>
      </c>
    </row>
    <row r="626" spans="3:9" ht="15.75" customHeight="1" x14ac:dyDescent="0.2">
      <c r="D626" s="1" t="s">
        <v>337</v>
      </c>
      <c r="E626" s="1">
        <v>0.25</v>
      </c>
      <c r="F626" s="1">
        <v>4</v>
      </c>
      <c r="G626" s="1">
        <v>1</v>
      </c>
      <c r="I626" s="58" t="str">
        <f t="shared" si="9"/>
        <v>Bourne VP</v>
      </c>
    </row>
    <row r="627" spans="3:9" ht="15.75" customHeight="1" x14ac:dyDescent="0.2">
      <c r="D627" s="1" t="s">
        <v>336</v>
      </c>
      <c r="E627" s="1">
        <v>0.34</v>
      </c>
      <c r="F627" s="1">
        <v>6</v>
      </c>
      <c r="G627" s="1">
        <v>2</v>
      </c>
      <c r="I627" s="58" t="str">
        <f t="shared" si="9"/>
        <v>Bourne VP</v>
      </c>
    </row>
    <row r="628" spans="3:9" ht="15.75" customHeight="1" x14ac:dyDescent="0.2">
      <c r="D628" s="1" t="s">
        <v>340</v>
      </c>
      <c r="E628" s="1">
        <v>0.72</v>
      </c>
      <c r="F628" s="1">
        <v>7</v>
      </c>
      <c r="G628" s="1">
        <v>5</v>
      </c>
      <c r="I628" s="58" t="str">
        <f t="shared" si="9"/>
        <v>Bourne VP</v>
      </c>
    </row>
    <row r="629" spans="3:9" ht="15.75" customHeight="1" x14ac:dyDescent="0.2">
      <c r="C629" s="1" t="s">
        <v>488</v>
      </c>
      <c r="D629" s="1" t="s">
        <v>334</v>
      </c>
      <c r="E629" s="1">
        <v>0.53</v>
      </c>
      <c r="F629" s="1">
        <v>17</v>
      </c>
      <c r="G629" s="1">
        <v>9</v>
      </c>
      <c r="I629" s="58" t="str">
        <f t="shared" si="9"/>
        <v>Bourne VP</v>
      </c>
    </row>
    <row r="630" spans="3:9" ht="15.75" customHeight="1" x14ac:dyDescent="0.2">
      <c r="D630" s="1" t="s">
        <v>337</v>
      </c>
      <c r="E630" s="1">
        <v>0.25</v>
      </c>
      <c r="F630" s="1">
        <v>4</v>
      </c>
      <c r="G630" s="1">
        <v>1</v>
      </c>
      <c r="I630" s="58" t="str">
        <f t="shared" si="9"/>
        <v>Bourne VP</v>
      </c>
    </row>
    <row r="631" spans="3:9" ht="15.75" customHeight="1" x14ac:dyDescent="0.2">
      <c r="D631" s="1" t="s">
        <v>340</v>
      </c>
      <c r="E631" s="1">
        <v>0.43</v>
      </c>
      <c r="F631" s="1">
        <v>7</v>
      </c>
      <c r="G631" s="1">
        <v>3</v>
      </c>
      <c r="I631" s="58" t="str">
        <f t="shared" si="9"/>
        <v>Bourne VP</v>
      </c>
    </row>
    <row r="632" spans="3:9" ht="15.75" customHeight="1" x14ac:dyDescent="0.2">
      <c r="D632" s="1" t="s">
        <v>336</v>
      </c>
      <c r="E632" s="1">
        <v>0.84</v>
      </c>
      <c r="F632" s="1">
        <v>6</v>
      </c>
      <c r="G632" s="1">
        <v>5</v>
      </c>
      <c r="I632" s="58" t="str">
        <f t="shared" si="9"/>
        <v>Bourne VP</v>
      </c>
    </row>
    <row r="633" spans="3:9" ht="15.75" customHeight="1" x14ac:dyDescent="0.2">
      <c r="C633" s="1" t="s">
        <v>489</v>
      </c>
      <c r="D633" s="1" t="s">
        <v>334</v>
      </c>
      <c r="E633" s="1">
        <v>0.59</v>
      </c>
      <c r="F633" s="1">
        <v>17</v>
      </c>
      <c r="G633" s="1">
        <v>10</v>
      </c>
      <c r="I633" s="58" t="str">
        <f t="shared" si="9"/>
        <v>Bourne VP</v>
      </c>
    </row>
    <row r="634" spans="3:9" ht="15.75" customHeight="1" x14ac:dyDescent="0.2">
      <c r="D634" s="1" t="s">
        <v>337</v>
      </c>
      <c r="E634" s="1">
        <v>0</v>
      </c>
      <c r="F634" s="1">
        <v>4</v>
      </c>
      <c r="G634" s="1">
        <v>0</v>
      </c>
      <c r="I634" s="58" t="str">
        <f t="shared" si="9"/>
        <v>Bourne VP</v>
      </c>
    </row>
    <row r="635" spans="3:9" ht="15.75" customHeight="1" x14ac:dyDescent="0.2">
      <c r="D635" s="1" t="s">
        <v>340</v>
      </c>
      <c r="E635" s="1">
        <v>0.57999999999999996</v>
      </c>
      <c r="F635" s="1">
        <v>7</v>
      </c>
      <c r="G635" s="1">
        <v>4</v>
      </c>
      <c r="I635" s="58" t="str">
        <f t="shared" si="9"/>
        <v>Bourne VP</v>
      </c>
    </row>
    <row r="636" spans="3:9" ht="15.75" customHeight="1" x14ac:dyDescent="0.2">
      <c r="D636" s="1" t="s">
        <v>336</v>
      </c>
      <c r="E636" s="1">
        <v>1</v>
      </c>
      <c r="F636" s="1">
        <v>6</v>
      </c>
      <c r="G636" s="1">
        <v>6</v>
      </c>
      <c r="I636" s="58" t="str">
        <f t="shared" si="9"/>
        <v>Bourne VP</v>
      </c>
    </row>
    <row r="637" spans="3:9" ht="15.75" customHeight="1" x14ac:dyDescent="0.2">
      <c r="C637" s="1" t="s">
        <v>490</v>
      </c>
      <c r="D637" s="1" t="s">
        <v>334</v>
      </c>
      <c r="E637" s="1">
        <v>0.59</v>
      </c>
      <c r="F637" s="1">
        <v>17</v>
      </c>
      <c r="G637" s="1">
        <v>10</v>
      </c>
      <c r="I637" s="58" t="str">
        <f t="shared" si="9"/>
        <v>Bourne VP</v>
      </c>
    </row>
    <row r="638" spans="3:9" ht="15.75" customHeight="1" x14ac:dyDescent="0.2">
      <c r="D638" s="1" t="s">
        <v>337</v>
      </c>
      <c r="E638" s="1">
        <v>0</v>
      </c>
      <c r="F638" s="1">
        <v>4</v>
      </c>
      <c r="G638" s="1">
        <v>0</v>
      </c>
      <c r="I638" s="58" t="str">
        <f t="shared" si="9"/>
        <v>Bourne VP</v>
      </c>
    </row>
    <row r="639" spans="3:9" ht="15.75" customHeight="1" x14ac:dyDescent="0.2">
      <c r="D639" s="1" t="s">
        <v>340</v>
      </c>
      <c r="E639" s="1">
        <v>0.72</v>
      </c>
      <c r="F639" s="1">
        <v>7</v>
      </c>
      <c r="G639" s="1">
        <v>5</v>
      </c>
      <c r="I639" s="58" t="str">
        <f t="shared" si="9"/>
        <v>Bourne VP</v>
      </c>
    </row>
    <row r="640" spans="3:9" ht="15.75" customHeight="1" x14ac:dyDescent="0.2">
      <c r="D640" s="1" t="s">
        <v>336</v>
      </c>
      <c r="E640" s="1">
        <v>0.84</v>
      </c>
      <c r="F640" s="1">
        <v>6</v>
      </c>
      <c r="G640" s="1">
        <v>5</v>
      </c>
      <c r="I640" s="58" t="str">
        <f t="shared" si="9"/>
        <v>Bourne VP</v>
      </c>
    </row>
    <row r="641" spans="3:9" ht="15.75" customHeight="1" x14ac:dyDescent="0.2">
      <c r="C641" s="1" t="s">
        <v>491</v>
      </c>
      <c r="D641" s="1" t="s">
        <v>334</v>
      </c>
      <c r="E641" s="1">
        <v>0.65</v>
      </c>
      <c r="F641" s="1">
        <v>17</v>
      </c>
      <c r="G641" s="1">
        <v>11</v>
      </c>
      <c r="I641" s="58" t="str">
        <f t="shared" si="9"/>
        <v>Bourne VP</v>
      </c>
    </row>
    <row r="642" spans="3:9" ht="15.75" customHeight="1" x14ac:dyDescent="0.2">
      <c r="D642" s="1" t="s">
        <v>337</v>
      </c>
      <c r="E642" s="1">
        <v>0</v>
      </c>
      <c r="F642" s="1">
        <v>4</v>
      </c>
      <c r="G642" s="1">
        <v>0</v>
      </c>
      <c r="I642" s="58" t="str">
        <f t="shared" si="9"/>
        <v>Bourne VP</v>
      </c>
    </row>
    <row r="643" spans="3:9" ht="15.75" customHeight="1" x14ac:dyDescent="0.2">
      <c r="D643" s="1" t="s">
        <v>336</v>
      </c>
      <c r="E643" s="1">
        <v>0.84</v>
      </c>
      <c r="F643" s="1">
        <v>6</v>
      </c>
      <c r="G643" s="1">
        <v>5</v>
      </c>
      <c r="I643" s="58" t="str">
        <f t="shared" si="9"/>
        <v>Bourne VP</v>
      </c>
    </row>
    <row r="644" spans="3:9" ht="15.75" customHeight="1" x14ac:dyDescent="0.2">
      <c r="D644" s="1" t="s">
        <v>340</v>
      </c>
      <c r="E644" s="1">
        <v>0.86</v>
      </c>
      <c r="F644" s="1">
        <v>7</v>
      </c>
      <c r="G644" s="1">
        <v>6</v>
      </c>
      <c r="I644" s="58" t="str">
        <f t="shared" si="9"/>
        <v>Bourne VP</v>
      </c>
    </row>
    <row r="645" spans="3:9" ht="15.75" customHeight="1" x14ac:dyDescent="0.2">
      <c r="C645" s="1" t="s">
        <v>492</v>
      </c>
      <c r="D645" s="1" t="s">
        <v>334</v>
      </c>
      <c r="E645" s="1">
        <v>0.65</v>
      </c>
      <c r="F645" s="1">
        <v>17</v>
      </c>
      <c r="G645" s="1">
        <v>11</v>
      </c>
      <c r="I645" s="58" t="str">
        <f t="shared" si="9"/>
        <v>Bourne VP</v>
      </c>
    </row>
    <row r="646" spans="3:9" ht="15.75" customHeight="1" x14ac:dyDescent="0.2">
      <c r="D646" s="1" t="s">
        <v>337</v>
      </c>
      <c r="E646" s="1">
        <v>0.25</v>
      </c>
      <c r="F646" s="1">
        <v>4</v>
      </c>
      <c r="G646" s="1">
        <v>1</v>
      </c>
      <c r="I646" s="58" t="str">
        <f t="shared" ref="I646:I709" si="10">IF(B646&lt;&gt;"",B646,I645)</f>
        <v>Bourne VP</v>
      </c>
    </row>
    <row r="647" spans="3:9" ht="15.75" customHeight="1" x14ac:dyDescent="0.2">
      <c r="D647" s="1" t="s">
        <v>336</v>
      </c>
      <c r="E647" s="1">
        <v>0.67</v>
      </c>
      <c r="F647" s="1">
        <v>6</v>
      </c>
      <c r="G647" s="1">
        <v>4</v>
      </c>
      <c r="I647" s="58" t="str">
        <f t="shared" si="10"/>
        <v>Bourne VP</v>
      </c>
    </row>
    <row r="648" spans="3:9" ht="15.75" customHeight="1" x14ac:dyDescent="0.2">
      <c r="D648" s="1" t="s">
        <v>340</v>
      </c>
      <c r="E648" s="1">
        <v>0.86</v>
      </c>
      <c r="F648" s="1">
        <v>7</v>
      </c>
      <c r="G648" s="1">
        <v>6</v>
      </c>
      <c r="I648" s="58" t="str">
        <f t="shared" si="10"/>
        <v>Bourne VP</v>
      </c>
    </row>
    <row r="649" spans="3:9" ht="15.75" customHeight="1" x14ac:dyDescent="0.2">
      <c r="C649" s="1" t="s">
        <v>493</v>
      </c>
      <c r="D649" s="1" t="s">
        <v>334</v>
      </c>
      <c r="E649" s="1">
        <v>0.65</v>
      </c>
      <c r="F649" s="1">
        <v>17</v>
      </c>
      <c r="G649" s="1">
        <v>11</v>
      </c>
      <c r="I649" s="58" t="str">
        <f t="shared" si="10"/>
        <v>Bourne VP</v>
      </c>
    </row>
    <row r="650" spans="3:9" ht="15.75" customHeight="1" x14ac:dyDescent="0.2">
      <c r="D650" s="1" t="s">
        <v>337</v>
      </c>
      <c r="E650" s="1">
        <v>0</v>
      </c>
      <c r="F650" s="1">
        <v>4</v>
      </c>
      <c r="G650" s="1">
        <v>0</v>
      </c>
      <c r="I650" s="58" t="str">
        <f t="shared" si="10"/>
        <v>Bourne VP</v>
      </c>
    </row>
    <row r="651" spans="3:9" ht="15.75" customHeight="1" x14ac:dyDescent="0.2">
      <c r="D651" s="1" t="s">
        <v>336</v>
      </c>
      <c r="E651" s="1">
        <v>0.84</v>
      </c>
      <c r="F651" s="1">
        <v>6</v>
      </c>
      <c r="G651" s="1">
        <v>5</v>
      </c>
      <c r="I651" s="58" t="str">
        <f t="shared" si="10"/>
        <v>Bourne VP</v>
      </c>
    </row>
    <row r="652" spans="3:9" ht="15.75" customHeight="1" x14ac:dyDescent="0.2">
      <c r="D652" s="1" t="s">
        <v>340</v>
      </c>
      <c r="E652" s="1">
        <v>0.86</v>
      </c>
      <c r="F652" s="1">
        <v>7</v>
      </c>
      <c r="G652" s="1">
        <v>6</v>
      </c>
      <c r="I652" s="58" t="str">
        <f t="shared" si="10"/>
        <v>Bourne VP</v>
      </c>
    </row>
    <row r="653" spans="3:9" ht="15.75" customHeight="1" x14ac:dyDescent="0.2">
      <c r="C653" s="1" t="s">
        <v>494</v>
      </c>
      <c r="D653" s="1" t="s">
        <v>334</v>
      </c>
      <c r="E653" s="1">
        <v>0.71</v>
      </c>
      <c r="F653" s="1">
        <v>17</v>
      </c>
      <c r="G653" s="1">
        <v>12</v>
      </c>
      <c r="I653" s="58" t="str">
        <f t="shared" si="10"/>
        <v>Bourne VP</v>
      </c>
    </row>
    <row r="654" spans="3:9" ht="15.75" customHeight="1" x14ac:dyDescent="0.2">
      <c r="D654" s="1" t="s">
        <v>337</v>
      </c>
      <c r="E654" s="1">
        <v>0</v>
      </c>
      <c r="F654" s="1">
        <v>4</v>
      </c>
      <c r="G654" s="1">
        <v>0</v>
      </c>
      <c r="I654" s="58" t="str">
        <f t="shared" si="10"/>
        <v>Bourne VP</v>
      </c>
    </row>
    <row r="655" spans="3:9" ht="15.75" customHeight="1" x14ac:dyDescent="0.2">
      <c r="D655" s="1" t="s">
        <v>340</v>
      </c>
      <c r="E655" s="1">
        <v>0.86</v>
      </c>
      <c r="F655" s="1">
        <v>7</v>
      </c>
      <c r="G655" s="1">
        <v>6</v>
      </c>
      <c r="I655" s="58" t="str">
        <f t="shared" si="10"/>
        <v>Bourne VP</v>
      </c>
    </row>
    <row r="656" spans="3:9" ht="15.75" customHeight="1" x14ac:dyDescent="0.2">
      <c r="D656" s="1" t="s">
        <v>336</v>
      </c>
      <c r="E656" s="1">
        <v>1</v>
      </c>
      <c r="F656" s="1">
        <v>6</v>
      </c>
      <c r="G656" s="1">
        <v>6</v>
      </c>
      <c r="I656" s="58" t="str">
        <f t="shared" si="10"/>
        <v>Bourne VP</v>
      </c>
    </row>
    <row r="657" spans="3:9" ht="15.75" customHeight="1" x14ac:dyDescent="0.2">
      <c r="C657" s="1" t="s">
        <v>98</v>
      </c>
      <c r="D657" s="1" t="s">
        <v>334</v>
      </c>
      <c r="E657" s="1">
        <v>0.75</v>
      </c>
      <c r="F657" s="1">
        <v>4</v>
      </c>
      <c r="G657" s="1">
        <v>3</v>
      </c>
      <c r="I657" s="58" t="str">
        <f t="shared" si="10"/>
        <v>Bourne VP</v>
      </c>
    </row>
    <row r="658" spans="3:9" ht="15.75" customHeight="1" x14ac:dyDescent="0.2">
      <c r="D658" s="1" t="s">
        <v>343</v>
      </c>
      <c r="E658" s="1">
        <v>0.75</v>
      </c>
      <c r="F658" s="1">
        <v>4</v>
      </c>
      <c r="G658" s="1">
        <v>3</v>
      </c>
      <c r="I658" s="58" t="str">
        <f t="shared" si="10"/>
        <v>Bourne VP</v>
      </c>
    </row>
    <row r="659" spans="3:9" ht="15.75" customHeight="1" x14ac:dyDescent="0.2">
      <c r="C659" s="1" t="s">
        <v>495</v>
      </c>
      <c r="D659" s="1" t="s">
        <v>334</v>
      </c>
      <c r="E659" s="1">
        <v>0.77</v>
      </c>
      <c r="F659" s="1">
        <v>17</v>
      </c>
      <c r="G659" s="1">
        <v>13</v>
      </c>
      <c r="I659" s="58" t="str">
        <f t="shared" si="10"/>
        <v>Bourne VP</v>
      </c>
    </row>
    <row r="660" spans="3:9" ht="15.75" customHeight="1" x14ac:dyDescent="0.2">
      <c r="D660" s="1" t="s">
        <v>337</v>
      </c>
      <c r="E660" s="1">
        <v>0.25</v>
      </c>
      <c r="F660" s="1">
        <v>4</v>
      </c>
      <c r="G660" s="1">
        <v>1</v>
      </c>
      <c r="I660" s="58" t="str">
        <f t="shared" si="10"/>
        <v>Bourne VP</v>
      </c>
    </row>
    <row r="661" spans="3:9" ht="15.75" customHeight="1" x14ac:dyDescent="0.2">
      <c r="D661" s="1" t="s">
        <v>340</v>
      </c>
      <c r="E661" s="1">
        <v>0.86</v>
      </c>
      <c r="F661" s="1">
        <v>7</v>
      </c>
      <c r="G661" s="1">
        <v>6</v>
      </c>
      <c r="I661" s="58" t="str">
        <f t="shared" si="10"/>
        <v>Bourne VP</v>
      </c>
    </row>
    <row r="662" spans="3:9" ht="15.75" customHeight="1" x14ac:dyDescent="0.2">
      <c r="D662" s="1" t="s">
        <v>336</v>
      </c>
      <c r="E662" s="1">
        <v>1</v>
      </c>
      <c r="F662" s="1">
        <v>6</v>
      </c>
      <c r="G662" s="1">
        <v>6</v>
      </c>
      <c r="I662" s="58" t="str">
        <f t="shared" si="10"/>
        <v>Bourne VP</v>
      </c>
    </row>
    <row r="663" spans="3:9" ht="15.75" customHeight="1" x14ac:dyDescent="0.2">
      <c r="C663" s="1" t="s">
        <v>496</v>
      </c>
      <c r="D663" s="1" t="s">
        <v>334</v>
      </c>
      <c r="E663" s="1">
        <v>0.77</v>
      </c>
      <c r="F663" s="1">
        <v>17</v>
      </c>
      <c r="G663" s="1">
        <v>13</v>
      </c>
      <c r="I663" s="58" t="str">
        <f t="shared" si="10"/>
        <v>Bourne VP</v>
      </c>
    </row>
    <row r="664" spans="3:9" ht="15.75" customHeight="1" x14ac:dyDescent="0.2">
      <c r="D664" s="1" t="s">
        <v>336</v>
      </c>
      <c r="E664" s="1">
        <v>0.67</v>
      </c>
      <c r="F664" s="1">
        <v>6</v>
      </c>
      <c r="G664" s="1">
        <v>4</v>
      </c>
      <c r="I664" s="58" t="str">
        <f t="shared" si="10"/>
        <v>Bourne VP</v>
      </c>
    </row>
    <row r="665" spans="3:9" ht="15.75" customHeight="1" x14ac:dyDescent="0.2">
      <c r="D665" s="1" t="s">
        <v>340</v>
      </c>
      <c r="E665" s="1">
        <v>0.72</v>
      </c>
      <c r="F665" s="1">
        <v>7</v>
      </c>
      <c r="G665" s="1">
        <v>5</v>
      </c>
      <c r="I665" s="58" t="str">
        <f t="shared" si="10"/>
        <v>Bourne VP</v>
      </c>
    </row>
    <row r="666" spans="3:9" ht="15.75" customHeight="1" x14ac:dyDescent="0.2">
      <c r="D666" s="1" t="s">
        <v>337</v>
      </c>
      <c r="E666" s="1">
        <v>1</v>
      </c>
      <c r="F666" s="1">
        <v>4</v>
      </c>
      <c r="G666" s="1">
        <v>4</v>
      </c>
      <c r="I666" s="58" t="str">
        <f t="shared" si="10"/>
        <v>Bourne VP</v>
      </c>
    </row>
    <row r="667" spans="3:9" ht="15.75" customHeight="1" x14ac:dyDescent="0.2">
      <c r="C667" s="1" t="s">
        <v>497</v>
      </c>
      <c r="D667" s="1" t="s">
        <v>334</v>
      </c>
      <c r="E667" s="1">
        <v>0.77</v>
      </c>
      <c r="F667" s="1">
        <v>17</v>
      </c>
      <c r="G667" s="1">
        <v>13</v>
      </c>
      <c r="I667" s="58" t="str">
        <f t="shared" si="10"/>
        <v>Bourne VP</v>
      </c>
    </row>
    <row r="668" spans="3:9" ht="15.75" customHeight="1" x14ac:dyDescent="0.2">
      <c r="D668" s="1" t="s">
        <v>337</v>
      </c>
      <c r="E668" s="1">
        <v>0.25</v>
      </c>
      <c r="F668" s="1">
        <v>4</v>
      </c>
      <c r="G668" s="1">
        <v>1</v>
      </c>
      <c r="I668" s="58" t="str">
        <f t="shared" si="10"/>
        <v>Bourne VP</v>
      </c>
    </row>
    <row r="669" spans="3:9" ht="15.75" customHeight="1" x14ac:dyDescent="0.2">
      <c r="D669" s="1" t="s">
        <v>336</v>
      </c>
      <c r="E669" s="1">
        <v>0.84</v>
      </c>
      <c r="F669" s="1">
        <v>6</v>
      </c>
      <c r="G669" s="1">
        <v>5</v>
      </c>
      <c r="I669" s="58" t="str">
        <f t="shared" si="10"/>
        <v>Bourne VP</v>
      </c>
    </row>
    <row r="670" spans="3:9" ht="15.75" customHeight="1" x14ac:dyDescent="0.2">
      <c r="D670" s="1" t="s">
        <v>340</v>
      </c>
      <c r="E670" s="1">
        <v>1</v>
      </c>
      <c r="F670" s="1">
        <v>7</v>
      </c>
      <c r="G670" s="1">
        <v>7</v>
      </c>
      <c r="I670" s="58" t="str">
        <f t="shared" si="10"/>
        <v>Bourne VP</v>
      </c>
    </row>
    <row r="671" spans="3:9" ht="15.75" customHeight="1" x14ac:dyDescent="0.2">
      <c r="C671" s="1" t="s">
        <v>498</v>
      </c>
      <c r="D671" s="1" t="s">
        <v>334</v>
      </c>
      <c r="E671" s="1">
        <v>0.89</v>
      </c>
      <c r="F671" s="1">
        <v>17</v>
      </c>
      <c r="G671" s="1">
        <v>15</v>
      </c>
      <c r="I671" s="58" t="str">
        <f t="shared" si="10"/>
        <v>Bourne VP</v>
      </c>
    </row>
    <row r="672" spans="3:9" ht="15.75" customHeight="1" x14ac:dyDescent="0.2">
      <c r="D672" s="1" t="s">
        <v>337</v>
      </c>
      <c r="E672" s="1">
        <v>0.75</v>
      </c>
      <c r="F672" s="1">
        <v>4</v>
      </c>
      <c r="G672" s="1">
        <v>3</v>
      </c>
      <c r="I672" s="58" t="str">
        <f t="shared" si="10"/>
        <v>Bourne VP</v>
      </c>
    </row>
    <row r="673" spans="2:9" ht="15.75" customHeight="1" x14ac:dyDescent="0.2">
      <c r="D673" s="1" t="s">
        <v>336</v>
      </c>
      <c r="E673" s="1">
        <v>0.84</v>
      </c>
      <c r="F673" s="1">
        <v>6</v>
      </c>
      <c r="G673" s="1">
        <v>5</v>
      </c>
      <c r="I673" s="58" t="str">
        <f t="shared" si="10"/>
        <v>Bourne VP</v>
      </c>
    </row>
    <row r="674" spans="2:9" ht="15.75" customHeight="1" x14ac:dyDescent="0.2">
      <c r="D674" s="1" t="s">
        <v>340</v>
      </c>
      <c r="E674" s="1">
        <v>1</v>
      </c>
      <c r="F674" s="1">
        <v>7</v>
      </c>
      <c r="G674" s="1">
        <v>7</v>
      </c>
      <c r="I674" s="58" t="str">
        <f t="shared" si="10"/>
        <v>Bourne VP</v>
      </c>
    </row>
    <row r="675" spans="2:9" ht="15.75" customHeight="1" x14ac:dyDescent="0.2">
      <c r="C675" s="1" t="s">
        <v>499</v>
      </c>
      <c r="D675" s="1" t="s">
        <v>334</v>
      </c>
      <c r="E675" s="1">
        <v>0.95</v>
      </c>
      <c r="F675" s="1">
        <v>17</v>
      </c>
      <c r="G675" s="1">
        <v>16</v>
      </c>
      <c r="I675" s="58" t="str">
        <f t="shared" si="10"/>
        <v>Bourne VP</v>
      </c>
    </row>
    <row r="676" spans="2:9" ht="15.75" customHeight="1" x14ac:dyDescent="0.2">
      <c r="D676" s="1" t="s">
        <v>336</v>
      </c>
      <c r="E676" s="1">
        <v>0.84</v>
      </c>
      <c r="F676" s="1">
        <v>6</v>
      </c>
      <c r="G676" s="1">
        <v>5</v>
      </c>
      <c r="I676" s="58" t="str">
        <f t="shared" si="10"/>
        <v>Bourne VP</v>
      </c>
    </row>
    <row r="677" spans="2:9" ht="15.75" customHeight="1" x14ac:dyDescent="0.2">
      <c r="D677" s="1" t="s">
        <v>340</v>
      </c>
      <c r="E677" s="1">
        <v>1</v>
      </c>
      <c r="F677" s="1">
        <v>7</v>
      </c>
      <c r="G677" s="1">
        <v>7</v>
      </c>
      <c r="I677" s="58" t="str">
        <f t="shared" si="10"/>
        <v>Bourne VP</v>
      </c>
    </row>
    <row r="678" spans="2:9" ht="15.75" customHeight="1" x14ac:dyDescent="0.2">
      <c r="D678" s="1" t="s">
        <v>337</v>
      </c>
      <c r="E678" s="1">
        <v>1</v>
      </c>
      <c r="F678" s="1">
        <v>4</v>
      </c>
      <c r="G678" s="1">
        <v>4</v>
      </c>
      <c r="I678" s="58" t="str">
        <f t="shared" si="10"/>
        <v>Bourne VP</v>
      </c>
    </row>
    <row r="679" spans="2:9" ht="15.75" customHeight="1" x14ac:dyDescent="0.2">
      <c r="B679" s="1" t="s">
        <v>182</v>
      </c>
      <c r="C679" s="1" t="s">
        <v>334</v>
      </c>
      <c r="E679" s="1">
        <v>0.65</v>
      </c>
      <c r="F679" s="1">
        <v>260</v>
      </c>
      <c r="G679" s="1">
        <v>167</v>
      </c>
      <c r="H679" s="57">
        <v>45264</v>
      </c>
      <c r="I679" s="58" t="str">
        <f t="shared" si="10"/>
        <v>Jack Cotterill Tree Services Ltd</v>
      </c>
    </row>
    <row r="680" spans="2:9" ht="15.75" customHeight="1" x14ac:dyDescent="0.2">
      <c r="C680" s="1" t="s">
        <v>500</v>
      </c>
      <c r="D680" s="1" t="s">
        <v>334</v>
      </c>
      <c r="E680" s="1">
        <v>0.06</v>
      </c>
      <c r="F680" s="1">
        <v>17</v>
      </c>
      <c r="G680" s="1">
        <v>1</v>
      </c>
      <c r="I680" s="58" t="str">
        <f t="shared" si="10"/>
        <v>Jack Cotterill Tree Services Ltd</v>
      </c>
    </row>
    <row r="681" spans="2:9" ht="15.75" customHeight="1" x14ac:dyDescent="0.2">
      <c r="D681" s="1" t="s">
        <v>340</v>
      </c>
      <c r="E681" s="1">
        <v>0</v>
      </c>
      <c r="F681" s="1">
        <v>7</v>
      </c>
      <c r="G681" s="1">
        <v>0</v>
      </c>
      <c r="I681" s="58" t="str">
        <f t="shared" si="10"/>
        <v>Jack Cotterill Tree Services Ltd</v>
      </c>
    </row>
    <row r="682" spans="2:9" ht="15.75" customHeight="1" x14ac:dyDescent="0.2">
      <c r="D682" s="1" t="s">
        <v>337</v>
      </c>
      <c r="E682" s="1">
        <v>0</v>
      </c>
      <c r="F682" s="1">
        <v>4</v>
      </c>
      <c r="G682" s="1">
        <v>0</v>
      </c>
      <c r="I682" s="58" t="str">
        <f t="shared" si="10"/>
        <v>Jack Cotterill Tree Services Ltd</v>
      </c>
    </row>
    <row r="683" spans="2:9" ht="15.75" customHeight="1" x14ac:dyDescent="0.2">
      <c r="D683" s="1" t="s">
        <v>336</v>
      </c>
      <c r="E683" s="1">
        <v>0.17</v>
      </c>
      <c r="F683" s="1">
        <v>6</v>
      </c>
      <c r="G683" s="1">
        <v>1</v>
      </c>
      <c r="I683" s="58" t="str">
        <f t="shared" si="10"/>
        <v>Jack Cotterill Tree Services Ltd</v>
      </c>
    </row>
    <row r="684" spans="2:9" ht="15.75" customHeight="1" x14ac:dyDescent="0.2">
      <c r="C684" s="1" t="s">
        <v>501</v>
      </c>
      <c r="D684" s="1" t="s">
        <v>334</v>
      </c>
      <c r="E684" s="1">
        <v>7.0000000000000007E-2</v>
      </c>
      <c r="F684" s="1">
        <v>15</v>
      </c>
      <c r="G684" s="1">
        <v>1</v>
      </c>
      <c r="I684" s="58" t="str">
        <f t="shared" si="10"/>
        <v>Jack Cotterill Tree Services Ltd</v>
      </c>
    </row>
    <row r="685" spans="2:9" ht="15.75" customHeight="1" x14ac:dyDescent="0.2">
      <c r="D685" s="1" t="s">
        <v>337</v>
      </c>
      <c r="E685" s="1">
        <v>0</v>
      </c>
      <c r="F685" s="1">
        <v>4</v>
      </c>
      <c r="G685" s="1">
        <v>0</v>
      </c>
      <c r="I685" s="58" t="str">
        <f t="shared" si="10"/>
        <v>Jack Cotterill Tree Services Ltd</v>
      </c>
    </row>
    <row r="686" spans="2:9" ht="15.75" customHeight="1" x14ac:dyDescent="0.2">
      <c r="D686" s="1" t="s">
        <v>338</v>
      </c>
      <c r="E686" s="1">
        <v>0</v>
      </c>
      <c r="F686" s="1">
        <v>5</v>
      </c>
      <c r="G686" s="1">
        <v>0</v>
      </c>
      <c r="I686" s="58" t="str">
        <f t="shared" si="10"/>
        <v>Jack Cotterill Tree Services Ltd</v>
      </c>
    </row>
    <row r="687" spans="2:9" ht="15.75" customHeight="1" x14ac:dyDescent="0.2">
      <c r="D687" s="1" t="s">
        <v>336</v>
      </c>
      <c r="E687" s="1">
        <v>0.17</v>
      </c>
      <c r="F687" s="1">
        <v>6</v>
      </c>
      <c r="G687" s="1">
        <v>1</v>
      </c>
      <c r="I687" s="58" t="str">
        <f t="shared" si="10"/>
        <v>Jack Cotterill Tree Services Ltd</v>
      </c>
    </row>
    <row r="688" spans="2:9" ht="15.75" customHeight="1" x14ac:dyDescent="0.2">
      <c r="C688" s="1" t="s">
        <v>502</v>
      </c>
      <c r="D688" s="1" t="s">
        <v>334</v>
      </c>
      <c r="E688" s="1">
        <v>0.14000000000000001</v>
      </c>
      <c r="F688" s="1">
        <v>15</v>
      </c>
      <c r="G688" s="1">
        <v>2</v>
      </c>
      <c r="I688" s="58" t="str">
        <f t="shared" si="10"/>
        <v>Jack Cotterill Tree Services Ltd</v>
      </c>
    </row>
    <row r="689" spans="3:9" ht="15.75" customHeight="1" x14ac:dyDescent="0.2">
      <c r="D689" s="1" t="s">
        <v>337</v>
      </c>
      <c r="E689" s="1">
        <v>0</v>
      </c>
      <c r="F689" s="1">
        <v>4</v>
      </c>
      <c r="G689" s="1">
        <v>0</v>
      </c>
      <c r="I689" s="58" t="str">
        <f t="shared" si="10"/>
        <v>Jack Cotterill Tree Services Ltd</v>
      </c>
    </row>
    <row r="690" spans="3:9" ht="15.75" customHeight="1" x14ac:dyDescent="0.2">
      <c r="D690" s="1" t="s">
        <v>336</v>
      </c>
      <c r="E690" s="1">
        <v>0.17</v>
      </c>
      <c r="F690" s="1">
        <v>6</v>
      </c>
      <c r="G690" s="1">
        <v>1</v>
      </c>
      <c r="I690" s="58" t="str">
        <f t="shared" si="10"/>
        <v>Jack Cotterill Tree Services Ltd</v>
      </c>
    </row>
    <row r="691" spans="3:9" ht="15.75" customHeight="1" x14ac:dyDescent="0.2">
      <c r="D691" s="1" t="s">
        <v>338</v>
      </c>
      <c r="E691" s="1">
        <v>0.2</v>
      </c>
      <c r="F691" s="1">
        <v>5</v>
      </c>
      <c r="G691" s="1">
        <v>1</v>
      </c>
      <c r="I691" s="58" t="str">
        <f t="shared" si="10"/>
        <v>Jack Cotterill Tree Services Ltd</v>
      </c>
    </row>
    <row r="692" spans="3:9" ht="15.75" customHeight="1" x14ac:dyDescent="0.2">
      <c r="C692" s="1" t="s">
        <v>503</v>
      </c>
      <c r="D692" s="1" t="s">
        <v>334</v>
      </c>
      <c r="E692" s="1">
        <v>0.34</v>
      </c>
      <c r="F692" s="1">
        <v>15</v>
      </c>
      <c r="G692" s="1">
        <v>5</v>
      </c>
      <c r="I692" s="58" t="str">
        <f t="shared" si="10"/>
        <v>Jack Cotterill Tree Services Ltd</v>
      </c>
    </row>
    <row r="693" spans="3:9" ht="15.75" customHeight="1" x14ac:dyDescent="0.2">
      <c r="D693" s="1" t="s">
        <v>336</v>
      </c>
      <c r="E693" s="1">
        <v>0.17</v>
      </c>
      <c r="F693" s="1">
        <v>6</v>
      </c>
      <c r="G693" s="1">
        <v>1</v>
      </c>
      <c r="I693" s="58" t="str">
        <f t="shared" si="10"/>
        <v>Jack Cotterill Tree Services Ltd</v>
      </c>
    </row>
    <row r="694" spans="3:9" ht="15.75" customHeight="1" x14ac:dyDescent="0.2">
      <c r="D694" s="1" t="s">
        <v>337</v>
      </c>
      <c r="E694" s="1">
        <v>0.25</v>
      </c>
      <c r="F694" s="1">
        <v>4</v>
      </c>
      <c r="G694" s="1">
        <v>1</v>
      </c>
      <c r="I694" s="58" t="str">
        <f t="shared" si="10"/>
        <v>Jack Cotterill Tree Services Ltd</v>
      </c>
    </row>
    <row r="695" spans="3:9" ht="15.75" customHeight="1" x14ac:dyDescent="0.2">
      <c r="D695" s="1" t="s">
        <v>338</v>
      </c>
      <c r="E695" s="1">
        <v>0.6</v>
      </c>
      <c r="F695" s="1">
        <v>5</v>
      </c>
      <c r="G695" s="1">
        <v>3</v>
      </c>
      <c r="I695" s="58" t="str">
        <f t="shared" si="10"/>
        <v>Jack Cotterill Tree Services Ltd</v>
      </c>
    </row>
    <row r="696" spans="3:9" ht="15.75" customHeight="1" x14ac:dyDescent="0.2">
      <c r="C696" s="1" t="s">
        <v>504</v>
      </c>
      <c r="D696" s="1" t="s">
        <v>334</v>
      </c>
      <c r="E696" s="1">
        <v>0.34</v>
      </c>
      <c r="F696" s="1">
        <v>15</v>
      </c>
      <c r="G696" s="1">
        <v>5</v>
      </c>
      <c r="I696" s="58" t="str">
        <f t="shared" si="10"/>
        <v>Jack Cotterill Tree Services Ltd</v>
      </c>
    </row>
    <row r="697" spans="3:9" ht="15.75" customHeight="1" x14ac:dyDescent="0.2">
      <c r="D697" s="1" t="s">
        <v>336</v>
      </c>
      <c r="E697" s="1">
        <v>0.17</v>
      </c>
      <c r="F697" s="1">
        <v>6</v>
      </c>
      <c r="G697" s="1">
        <v>1</v>
      </c>
      <c r="I697" s="58" t="str">
        <f t="shared" si="10"/>
        <v>Jack Cotterill Tree Services Ltd</v>
      </c>
    </row>
    <row r="698" spans="3:9" ht="15.75" customHeight="1" x14ac:dyDescent="0.2">
      <c r="D698" s="1" t="s">
        <v>337</v>
      </c>
      <c r="E698" s="1">
        <v>0.25</v>
      </c>
      <c r="F698" s="1">
        <v>4</v>
      </c>
      <c r="G698" s="1">
        <v>1</v>
      </c>
      <c r="I698" s="58" t="str">
        <f t="shared" si="10"/>
        <v>Jack Cotterill Tree Services Ltd</v>
      </c>
    </row>
    <row r="699" spans="3:9" ht="15.75" customHeight="1" x14ac:dyDescent="0.2">
      <c r="D699" s="1" t="s">
        <v>338</v>
      </c>
      <c r="E699" s="1">
        <v>0.6</v>
      </c>
      <c r="F699" s="1">
        <v>5</v>
      </c>
      <c r="G699" s="1">
        <v>3</v>
      </c>
      <c r="I699" s="58" t="str">
        <f t="shared" si="10"/>
        <v>Jack Cotterill Tree Services Ltd</v>
      </c>
    </row>
    <row r="700" spans="3:9" ht="15.75" customHeight="1" x14ac:dyDescent="0.2">
      <c r="C700" s="1" t="s">
        <v>505</v>
      </c>
      <c r="D700" s="1" t="s">
        <v>334</v>
      </c>
      <c r="E700" s="1">
        <v>0.42</v>
      </c>
      <c r="F700" s="1">
        <v>17</v>
      </c>
      <c r="G700" s="1">
        <v>7</v>
      </c>
      <c r="I700" s="58" t="str">
        <f t="shared" si="10"/>
        <v>Jack Cotterill Tree Services Ltd</v>
      </c>
    </row>
    <row r="701" spans="3:9" ht="15.75" customHeight="1" x14ac:dyDescent="0.2">
      <c r="D701" s="1" t="s">
        <v>336</v>
      </c>
      <c r="E701" s="1">
        <v>0.17</v>
      </c>
      <c r="F701" s="1">
        <v>6</v>
      </c>
      <c r="G701" s="1">
        <v>1</v>
      </c>
      <c r="I701" s="58" t="str">
        <f t="shared" si="10"/>
        <v>Jack Cotterill Tree Services Ltd</v>
      </c>
    </row>
    <row r="702" spans="3:9" ht="15.75" customHeight="1" x14ac:dyDescent="0.2">
      <c r="D702" s="1" t="s">
        <v>337</v>
      </c>
      <c r="E702" s="1">
        <v>0.25</v>
      </c>
      <c r="F702" s="1">
        <v>4</v>
      </c>
      <c r="G702" s="1">
        <v>1</v>
      </c>
      <c r="I702" s="58" t="str">
        <f t="shared" si="10"/>
        <v>Jack Cotterill Tree Services Ltd</v>
      </c>
    </row>
    <row r="703" spans="3:9" ht="15.75" customHeight="1" x14ac:dyDescent="0.2">
      <c r="D703" s="1" t="s">
        <v>340</v>
      </c>
      <c r="E703" s="1">
        <v>0.72</v>
      </c>
      <c r="F703" s="1">
        <v>7</v>
      </c>
      <c r="G703" s="1">
        <v>5</v>
      </c>
      <c r="I703" s="58" t="str">
        <f t="shared" si="10"/>
        <v>Jack Cotterill Tree Services Ltd</v>
      </c>
    </row>
    <row r="704" spans="3:9" ht="15.75" customHeight="1" x14ac:dyDescent="0.2">
      <c r="C704" s="1" t="s">
        <v>506</v>
      </c>
      <c r="D704" s="1" t="s">
        <v>334</v>
      </c>
      <c r="E704" s="1">
        <v>0.54</v>
      </c>
      <c r="F704" s="1">
        <v>15</v>
      </c>
      <c r="G704" s="1">
        <v>8</v>
      </c>
      <c r="I704" s="58" t="str">
        <f t="shared" si="10"/>
        <v>Jack Cotterill Tree Services Ltd</v>
      </c>
    </row>
    <row r="705" spans="3:9" ht="15.75" customHeight="1" x14ac:dyDescent="0.2">
      <c r="D705" s="1" t="s">
        <v>337</v>
      </c>
      <c r="E705" s="1">
        <v>0.25</v>
      </c>
      <c r="F705" s="1">
        <v>4</v>
      </c>
      <c r="G705" s="1">
        <v>1</v>
      </c>
      <c r="I705" s="58" t="str">
        <f t="shared" si="10"/>
        <v>Jack Cotterill Tree Services Ltd</v>
      </c>
    </row>
    <row r="706" spans="3:9" ht="15.75" customHeight="1" x14ac:dyDescent="0.2">
      <c r="D706" s="1" t="s">
        <v>338</v>
      </c>
      <c r="E706" s="1">
        <v>0.6</v>
      </c>
      <c r="F706" s="1">
        <v>5</v>
      </c>
      <c r="G706" s="1">
        <v>3</v>
      </c>
      <c r="I706" s="58" t="str">
        <f t="shared" si="10"/>
        <v>Jack Cotterill Tree Services Ltd</v>
      </c>
    </row>
    <row r="707" spans="3:9" ht="15.75" customHeight="1" x14ac:dyDescent="0.2">
      <c r="D707" s="1" t="s">
        <v>336</v>
      </c>
      <c r="E707" s="1">
        <v>0.67</v>
      </c>
      <c r="F707" s="1">
        <v>6</v>
      </c>
      <c r="G707" s="1">
        <v>4</v>
      </c>
      <c r="I707" s="58" t="str">
        <f t="shared" si="10"/>
        <v>Jack Cotterill Tree Services Ltd</v>
      </c>
    </row>
    <row r="708" spans="3:9" ht="15.75" customHeight="1" x14ac:dyDescent="0.2">
      <c r="C708" s="1" t="s">
        <v>507</v>
      </c>
      <c r="D708" s="1" t="s">
        <v>334</v>
      </c>
      <c r="E708" s="1">
        <v>0.65</v>
      </c>
      <c r="F708" s="1">
        <v>17</v>
      </c>
      <c r="G708" s="1">
        <v>11</v>
      </c>
      <c r="I708" s="58" t="str">
        <f t="shared" si="10"/>
        <v>Jack Cotterill Tree Services Ltd</v>
      </c>
    </row>
    <row r="709" spans="3:9" ht="15.75" customHeight="1" x14ac:dyDescent="0.2">
      <c r="D709" s="1" t="s">
        <v>337</v>
      </c>
      <c r="E709" s="1">
        <v>0.25</v>
      </c>
      <c r="F709" s="1">
        <v>4</v>
      </c>
      <c r="G709" s="1">
        <v>1</v>
      </c>
      <c r="I709" s="58" t="str">
        <f t="shared" si="10"/>
        <v>Jack Cotterill Tree Services Ltd</v>
      </c>
    </row>
    <row r="710" spans="3:9" ht="15.75" customHeight="1" x14ac:dyDescent="0.2">
      <c r="D710" s="1" t="s">
        <v>336</v>
      </c>
      <c r="E710" s="1">
        <v>0.67</v>
      </c>
      <c r="F710" s="1">
        <v>6</v>
      </c>
      <c r="G710" s="1">
        <v>4</v>
      </c>
      <c r="I710" s="58" t="str">
        <f t="shared" ref="I710:I773" si="11">IF(B710&lt;&gt;"",B710,I709)</f>
        <v>Jack Cotterill Tree Services Ltd</v>
      </c>
    </row>
    <row r="711" spans="3:9" ht="15.75" customHeight="1" x14ac:dyDescent="0.2">
      <c r="D711" s="1" t="s">
        <v>340</v>
      </c>
      <c r="E711" s="1">
        <v>0.86</v>
      </c>
      <c r="F711" s="1">
        <v>7</v>
      </c>
      <c r="G711" s="1">
        <v>6</v>
      </c>
      <c r="I711" s="58" t="str">
        <f t="shared" si="11"/>
        <v>Jack Cotterill Tree Services Ltd</v>
      </c>
    </row>
    <row r="712" spans="3:9" ht="15.75" customHeight="1" x14ac:dyDescent="0.2">
      <c r="C712" s="1" t="s">
        <v>508</v>
      </c>
      <c r="D712" s="1" t="s">
        <v>334</v>
      </c>
      <c r="E712" s="1">
        <v>0.77</v>
      </c>
      <c r="F712" s="1">
        <v>17</v>
      </c>
      <c r="G712" s="1">
        <v>13</v>
      </c>
      <c r="I712" s="58" t="str">
        <f t="shared" si="11"/>
        <v>Jack Cotterill Tree Services Ltd</v>
      </c>
    </row>
    <row r="713" spans="3:9" ht="15.75" customHeight="1" x14ac:dyDescent="0.2">
      <c r="D713" s="1" t="s">
        <v>337</v>
      </c>
      <c r="E713" s="1">
        <v>0.25</v>
      </c>
      <c r="F713" s="1">
        <v>4</v>
      </c>
      <c r="G713" s="1">
        <v>1</v>
      </c>
      <c r="I713" s="58" t="str">
        <f t="shared" si="11"/>
        <v>Jack Cotterill Tree Services Ltd</v>
      </c>
    </row>
    <row r="714" spans="3:9" ht="15.75" customHeight="1" x14ac:dyDescent="0.2">
      <c r="D714" s="1" t="s">
        <v>340</v>
      </c>
      <c r="E714" s="1">
        <v>0.86</v>
      </c>
      <c r="F714" s="1">
        <v>7</v>
      </c>
      <c r="G714" s="1">
        <v>6</v>
      </c>
      <c r="I714" s="58" t="str">
        <f t="shared" si="11"/>
        <v>Jack Cotterill Tree Services Ltd</v>
      </c>
    </row>
    <row r="715" spans="3:9" ht="15.75" customHeight="1" x14ac:dyDescent="0.2">
      <c r="D715" s="1" t="s">
        <v>336</v>
      </c>
      <c r="E715" s="1">
        <v>1</v>
      </c>
      <c r="F715" s="1">
        <v>6</v>
      </c>
      <c r="G715" s="1">
        <v>6</v>
      </c>
      <c r="I715" s="58" t="str">
        <f t="shared" si="11"/>
        <v>Jack Cotterill Tree Services Ltd</v>
      </c>
    </row>
    <row r="716" spans="3:9" ht="15.75" customHeight="1" x14ac:dyDescent="0.2">
      <c r="C716" s="1" t="s">
        <v>509</v>
      </c>
      <c r="D716" s="1" t="s">
        <v>334</v>
      </c>
      <c r="E716" s="1">
        <v>0.8</v>
      </c>
      <c r="F716" s="1">
        <v>15</v>
      </c>
      <c r="G716" s="1">
        <v>12</v>
      </c>
      <c r="I716" s="58" t="str">
        <f t="shared" si="11"/>
        <v>Jack Cotterill Tree Services Ltd</v>
      </c>
    </row>
    <row r="717" spans="3:9" ht="15.75" customHeight="1" x14ac:dyDescent="0.2">
      <c r="D717" s="1" t="s">
        <v>337</v>
      </c>
      <c r="E717" s="1">
        <v>0.25</v>
      </c>
      <c r="F717" s="1">
        <v>4</v>
      </c>
      <c r="G717" s="1">
        <v>1</v>
      </c>
      <c r="I717" s="58" t="str">
        <f t="shared" si="11"/>
        <v>Jack Cotterill Tree Services Ltd</v>
      </c>
    </row>
    <row r="718" spans="3:9" ht="15.75" customHeight="1" x14ac:dyDescent="0.2">
      <c r="D718" s="1" t="s">
        <v>336</v>
      </c>
      <c r="E718" s="1">
        <v>1</v>
      </c>
      <c r="F718" s="1">
        <v>6</v>
      </c>
      <c r="G718" s="1">
        <v>6</v>
      </c>
      <c r="I718" s="58" t="str">
        <f t="shared" si="11"/>
        <v>Jack Cotterill Tree Services Ltd</v>
      </c>
    </row>
    <row r="719" spans="3:9" ht="15.75" customHeight="1" x14ac:dyDescent="0.2">
      <c r="D719" s="1" t="s">
        <v>338</v>
      </c>
      <c r="E719" s="1">
        <v>1</v>
      </c>
      <c r="F719" s="1">
        <v>5</v>
      </c>
      <c r="G719" s="1">
        <v>5</v>
      </c>
      <c r="I719" s="58" t="str">
        <f t="shared" si="11"/>
        <v>Jack Cotterill Tree Services Ltd</v>
      </c>
    </row>
    <row r="720" spans="3:9" ht="15.75" customHeight="1" x14ac:dyDescent="0.2">
      <c r="C720" s="1" t="s">
        <v>510</v>
      </c>
      <c r="D720" s="1" t="s">
        <v>334</v>
      </c>
      <c r="E720" s="1">
        <v>1</v>
      </c>
      <c r="F720" s="1">
        <v>17</v>
      </c>
      <c r="G720" s="1">
        <v>17</v>
      </c>
      <c r="I720" s="58" t="str">
        <f t="shared" si="11"/>
        <v>Jack Cotterill Tree Services Ltd</v>
      </c>
    </row>
    <row r="721" spans="3:9" ht="15.75" customHeight="1" x14ac:dyDescent="0.2">
      <c r="D721" s="1" t="s">
        <v>340</v>
      </c>
      <c r="E721" s="1">
        <v>1</v>
      </c>
      <c r="F721" s="1">
        <v>7</v>
      </c>
      <c r="G721" s="1">
        <v>7</v>
      </c>
      <c r="I721" s="58" t="str">
        <f t="shared" si="11"/>
        <v>Jack Cotterill Tree Services Ltd</v>
      </c>
    </row>
    <row r="722" spans="3:9" ht="15.75" customHeight="1" x14ac:dyDescent="0.2">
      <c r="D722" s="1" t="s">
        <v>336</v>
      </c>
      <c r="E722" s="1">
        <v>1</v>
      </c>
      <c r="F722" s="1">
        <v>6</v>
      </c>
      <c r="G722" s="1">
        <v>6</v>
      </c>
      <c r="I722" s="58" t="str">
        <f t="shared" si="11"/>
        <v>Jack Cotterill Tree Services Ltd</v>
      </c>
    </row>
    <row r="723" spans="3:9" ht="15.75" customHeight="1" x14ac:dyDescent="0.2">
      <c r="D723" s="1" t="s">
        <v>337</v>
      </c>
      <c r="E723" s="1">
        <v>1</v>
      </c>
      <c r="F723" s="1">
        <v>4</v>
      </c>
      <c r="G723" s="1">
        <v>4</v>
      </c>
      <c r="I723" s="58" t="str">
        <f t="shared" si="11"/>
        <v>Jack Cotterill Tree Services Ltd</v>
      </c>
    </row>
    <row r="724" spans="3:9" ht="15.75" customHeight="1" x14ac:dyDescent="0.2">
      <c r="C724" s="1" t="s">
        <v>511</v>
      </c>
      <c r="D724" s="1" t="s">
        <v>334</v>
      </c>
      <c r="E724" s="1">
        <v>1</v>
      </c>
      <c r="F724" s="1">
        <v>4</v>
      </c>
      <c r="G724" s="1">
        <v>4</v>
      </c>
      <c r="I724" s="58" t="str">
        <f t="shared" si="11"/>
        <v>Jack Cotterill Tree Services Ltd</v>
      </c>
    </row>
    <row r="725" spans="3:9" ht="15.75" customHeight="1" x14ac:dyDescent="0.2">
      <c r="D725" s="1" t="s">
        <v>343</v>
      </c>
      <c r="E725" s="1">
        <v>1</v>
      </c>
      <c r="F725" s="1">
        <v>4</v>
      </c>
      <c r="G725" s="1">
        <v>4</v>
      </c>
      <c r="I725" s="58" t="str">
        <f t="shared" si="11"/>
        <v>Jack Cotterill Tree Services Ltd</v>
      </c>
    </row>
    <row r="726" spans="3:9" ht="15.75" customHeight="1" x14ac:dyDescent="0.2">
      <c r="C726" s="1" t="s">
        <v>512</v>
      </c>
      <c r="D726" s="1" t="s">
        <v>334</v>
      </c>
      <c r="E726" s="1">
        <v>1</v>
      </c>
      <c r="F726" s="1">
        <v>17</v>
      </c>
      <c r="G726" s="1">
        <v>17</v>
      </c>
      <c r="I726" s="58" t="str">
        <f t="shared" si="11"/>
        <v>Jack Cotterill Tree Services Ltd</v>
      </c>
    </row>
    <row r="727" spans="3:9" ht="15.75" customHeight="1" x14ac:dyDescent="0.2">
      <c r="D727" s="1" t="s">
        <v>340</v>
      </c>
      <c r="E727" s="1">
        <v>1</v>
      </c>
      <c r="F727" s="1">
        <v>7</v>
      </c>
      <c r="G727" s="1">
        <v>7</v>
      </c>
      <c r="I727" s="58" t="str">
        <f t="shared" si="11"/>
        <v>Jack Cotterill Tree Services Ltd</v>
      </c>
    </row>
    <row r="728" spans="3:9" ht="15.75" customHeight="1" x14ac:dyDescent="0.2">
      <c r="D728" s="1" t="s">
        <v>336</v>
      </c>
      <c r="E728" s="1">
        <v>1</v>
      </c>
      <c r="F728" s="1">
        <v>6</v>
      </c>
      <c r="G728" s="1">
        <v>6</v>
      </c>
      <c r="I728" s="58" t="str">
        <f t="shared" si="11"/>
        <v>Jack Cotterill Tree Services Ltd</v>
      </c>
    </row>
    <row r="729" spans="3:9" ht="15.75" customHeight="1" x14ac:dyDescent="0.2">
      <c r="D729" s="1" t="s">
        <v>337</v>
      </c>
      <c r="E729" s="1">
        <v>1</v>
      </c>
      <c r="F729" s="1">
        <v>4</v>
      </c>
      <c r="G729" s="1">
        <v>4</v>
      </c>
      <c r="I729" s="58" t="str">
        <f t="shared" si="11"/>
        <v>Jack Cotterill Tree Services Ltd</v>
      </c>
    </row>
    <row r="730" spans="3:9" ht="15.75" customHeight="1" x14ac:dyDescent="0.2">
      <c r="C730" s="1" t="s">
        <v>513</v>
      </c>
      <c r="D730" s="1" t="s">
        <v>334</v>
      </c>
      <c r="E730" s="1">
        <v>1</v>
      </c>
      <c r="F730" s="1">
        <v>15</v>
      </c>
      <c r="G730" s="1">
        <v>15</v>
      </c>
      <c r="I730" s="58" t="str">
        <f t="shared" si="11"/>
        <v>Jack Cotterill Tree Services Ltd</v>
      </c>
    </row>
    <row r="731" spans="3:9" ht="15.75" customHeight="1" x14ac:dyDescent="0.2">
      <c r="D731" s="1" t="s">
        <v>336</v>
      </c>
      <c r="E731" s="1">
        <v>1</v>
      </c>
      <c r="F731" s="1">
        <v>6</v>
      </c>
      <c r="G731" s="1">
        <v>6</v>
      </c>
      <c r="I731" s="58" t="str">
        <f t="shared" si="11"/>
        <v>Jack Cotterill Tree Services Ltd</v>
      </c>
    </row>
    <row r="732" spans="3:9" ht="15.75" customHeight="1" x14ac:dyDescent="0.2">
      <c r="D732" s="1" t="s">
        <v>337</v>
      </c>
      <c r="E732" s="1">
        <v>1</v>
      </c>
      <c r="F732" s="1">
        <v>4</v>
      </c>
      <c r="G732" s="1">
        <v>4</v>
      </c>
      <c r="I732" s="58" t="str">
        <f t="shared" si="11"/>
        <v>Jack Cotterill Tree Services Ltd</v>
      </c>
    </row>
    <row r="733" spans="3:9" ht="15.75" customHeight="1" x14ac:dyDescent="0.2">
      <c r="D733" s="1" t="s">
        <v>338</v>
      </c>
      <c r="E733" s="1">
        <v>1</v>
      </c>
      <c r="F733" s="1">
        <v>5</v>
      </c>
      <c r="G733" s="1">
        <v>5</v>
      </c>
      <c r="I733" s="58" t="str">
        <f t="shared" si="11"/>
        <v>Jack Cotterill Tree Services Ltd</v>
      </c>
    </row>
    <row r="734" spans="3:9" ht="15.75" customHeight="1" x14ac:dyDescent="0.2">
      <c r="C734" s="1" t="s">
        <v>514</v>
      </c>
      <c r="D734" s="1" t="s">
        <v>334</v>
      </c>
      <c r="E734" s="1">
        <v>1</v>
      </c>
      <c r="F734" s="1">
        <v>17</v>
      </c>
      <c r="G734" s="1">
        <v>17</v>
      </c>
      <c r="I734" s="58" t="str">
        <f t="shared" si="11"/>
        <v>Jack Cotterill Tree Services Ltd</v>
      </c>
    </row>
    <row r="735" spans="3:9" ht="15.75" customHeight="1" x14ac:dyDescent="0.2">
      <c r="D735" s="1" t="s">
        <v>340</v>
      </c>
      <c r="E735" s="1">
        <v>1</v>
      </c>
      <c r="F735" s="1">
        <v>7</v>
      </c>
      <c r="G735" s="1">
        <v>7</v>
      </c>
      <c r="I735" s="58" t="str">
        <f t="shared" si="11"/>
        <v>Jack Cotterill Tree Services Ltd</v>
      </c>
    </row>
    <row r="736" spans="3:9" ht="15.75" customHeight="1" x14ac:dyDescent="0.2">
      <c r="D736" s="1" t="s">
        <v>336</v>
      </c>
      <c r="E736" s="1">
        <v>1</v>
      </c>
      <c r="F736" s="1">
        <v>6</v>
      </c>
      <c r="G736" s="1">
        <v>6</v>
      </c>
      <c r="I736" s="58" t="str">
        <f t="shared" si="11"/>
        <v>Jack Cotterill Tree Services Ltd</v>
      </c>
    </row>
    <row r="737" spans="2:9" ht="15.75" customHeight="1" x14ac:dyDescent="0.2">
      <c r="D737" s="1" t="s">
        <v>337</v>
      </c>
      <c r="E737" s="1">
        <v>1</v>
      </c>
      <c r="F737" s="1">
        <v>4</v>
      </c>
      <c r="G737" s="1">
        <v>4</v>
      </c>
      <c r="I737" s="58" t="str">
        <f t="shared" si="11"/>
        <v>Jack Cotterill Tree Services Ltd</v>
      </c>
    </row>
    <row r="738" spans="2:9" ht="15.75" customHeight="1" x14ac:dyDescent="0.2">
      <c r="C738" s="1" t="s">
        <v>515</v>
      </c>
      <c r="D738" s="1" t="s">
        <v>334</v>
      </c>
      <c r="E738" s="1">
        <v>1</v>
      </c>
      <c r="F738" s="1">
        <v>17</v>
      </c>
      <c r="G738" s="1">
        <v>17</v>
      </c>
      <c r="I738" s="58" t="str">
        <f t="shared" si="11"/>
        <v>Jack Cotterill Tree Services Ltd</v>
      </c>
    </row>
    <row r="739" spans="2:9" ht="15.75" customHeight="1" x14ac:dyDescent="0.2">
      <c r="D739" s="1" t="s">
        <v>340</v>
      </c>
      <c r="E739" s="1">
        <v>1</v>
      </c>
      <c r="F739" s="1">
        <v>7</v>
      </c>
      <c r="G739" s="1">
        <v>7</v>
      </c>
      <c r="I739" s="58" t="str">
        <f t="shared" si="11"/>
        <v>Jack Cotterill Tree Services Ltd</v>
      </c>
    </row>
    <row r="740" spans="2:9" ht="15.75" customHeight="1" x14ac:dyDescent="0.2">
      <c r="D740" s="1" t="s">
        <v>336</v>
      </c>
      <c r="E740" s="1">
        <v>1</v>
      </c>
      <c r="F740" s="1">
        <v>6</v>
      </c>
      <c r="G740" s="1">
        <v>6</v>
      </c>
      <c r="I740" s="58" t="str">
        <f t="shared" si="11"/>
        <v>Jack Cotterill Tree Services Ltd</v>
      </c>
    </row>
    <row r="741" spans="2:9" ht="15.75" customHeight="1" x14ac:dyDescent="0.2">
      <c r="D741" s="1" t="s">
        <v>337</v>
      </c>
      <c r="E741" s="1">
        <v>1</v>
      </c>
      <c r="F741" s="1">
        <v>4</v>
      </c>
      <c r="G741" s="1">
        <v>4</v>
      </c>
      <c r="I741" s="58" t="str">
        <f t="shared" si="11"/>
        <v>Jack Cotterill Tree Services Ltd</v>
      </c>
    </row>
    <row r="742" spans="2:9" ht="15.75" customHeight="1" x14ac:dyDescent="0.2">
      <c r="C742" s="1" t="s">
        <v>516</v>
      </c>
      <c r="D742" s="1" t="s">
        <v>334</v>
      </c>
      <c r="E742" s="1">
        <v>1</v>
      </c>
      <c r="F742" s="1">
        <v>15</v>
      </c>
      <c r="G742" s="1">
        <v>15</v>
      </c>
      <c r="I742" s="58" t="str">
        <f t="shared" si="11"/>
        <v>Jack Cotterill Tree Services Ltd</v>
      </c>
    </row>
    <row r="743" spans="2:9" ht="15.75" customHeight="1" x14ac:dyDescent="0.2">
      <c r="D743" s="1" t="s">
        <v>336</v>
      </c>
      <c r="E743" s="1">
        <v>1</v>
      </c>
      <c r="F743" s="1">
        <v>6</v>
      </c>
      <c r="G743" s="1">
        <v>6</v>
      </c>
      <c r="I743" s="58" t="str">
        <f t="shared" si="11"/>
        <v>Jack Cotterill Tree Services Ltd</v>
      </c>
    </row>
    <row r="744" spans="2:9" ht="15.75" customHeight="1" x14ac:dyDescent="0.2">
      <c r="D744" s="1" t="s">
        <v>337</v>
      </c>
      <c r="E744" s="1">
        <v>1</v>
      </c>
      <c r="F744" s="1">
        <v>4</v>
      </c>
      <c r="G744" s="1">
        <v>4</v>
      </c>
      <c r="I744" s="58" t="str">
        <f t="shared" si="11"/>
        <v>Jack Cotterill Tree Services Ltd</v>
      </c>
    </row>
    <row r="745" spans="2:9" ht="15.75" customHeight="1" x14ac:dyDescent="0.2">
      <c r="D745" s="1" t="s">
        <v>338</v>
      </c>
      <c r="E745" s="1">
        <v>1</v>
      </c>
      <c r="F745" s="1">
        <v>5</v>
      </c>
      <c r="G745" s="1">
        <v>5</v>
      </c>
      <c r="I745" s="58" t="str">
        <f t="shared" si="11"/>
        <v>Jack Cotterill Tree Services Ltd</v>
      </c>
    </row>
    <row r="746" spans="2:9" ht="15.75" customHeight="1" x14ac:dyDescent="0.2">
      <c r="B746" s="1" t="s">
        <v>168</v>
      </c>
      <c r="C746" s="1" t="s">
        <v>334</v>
      </c>
      <c r="E746" s="1">
        <v>0.65</v>
      </c>
      <c r="F746" s="1">
        <v>128</v>
      </c>
      <c r="G746" s="1">
        <v>82</v>
      </c>
      <c r="H746" s="57">
        <v>41701</v>
      </c>
      <c r="I746" s="58" t="str">
        <f t="shared" si="11"/>
        <v>Lincolnshire Hardwoods Jim</v>
      </c>
    </row>
    <row r="747" spans="2:9" ht="15.75" customHeight="1" x14ac:dyDescent="0.2">
      <c r="C747" s="1" t="s">
        <v>517</v>
      </c>
      <c r="D747" s="1" t="s">
        <v>334</v>
      </c>
      <c r="E747" s="1">
        <v>0.4</v>
      </c>
      <c r="F747" s="1">
        <v>15</v>
      </c>
      <c r="G747" s="1">
        <v>6</v>
      </c>
      <c r="I747" s="58" t="str">
        <f t="shared" si="11"/>
        <v>Lincolnshire Hardwoods Jim</v>
      </c>
    </row>
    <row r="748" spans="2:9" ht="15.75" customHeight="1" x14ac:dyDescent="0.2">
      <c r="D748" s="1" t="s">
        <v>337</v>
      </c>
      <c r="E748" s="1">
        <v>0</v>
      </c>
      <c r="F748" s="1">
        <v>4</v>
      </c>
      <c r="G748" s="1">
        <v>0</v>
      </c>
      <c r="I748" s="58" t="str">
        <f t="shared" si="11"/>
        <v>Lincolnshire Hardwoods Jim</v>
      </c>
    </row>
    <row r="749" spans="2:9" ht="15.75" customHeight="1" x14ac:dyDescent="0.2">
      <c r="D749" s="1" t="s">
        <v>338</v>
      </c>
      <c r="E749" s="1">
        <v>0.2</v>
      </c>
      <c r="F749" s="1">
        <v>5</v>
      </c>
      <c r="G749" s="1">
        <v>1</v>
      </c>
      <c r="I749" s="58" t="str">
        <f t="shared" si="11"/>
        <v>Lincolnshire Hardwoods Jim</v>
      </c>
    </row>
    <row r="750" spans="2:9" ht="15.75" customHeight="1" x14ac:dyDescent="0.2">
      <c r="D750" s="1" t="s">
        <v>336</v>
      </c>
      <c r="E750" s="1">
        <v>0.84</v>
      </c>
      <c r="F750" s="1">
        <v>6</v>
      </c>
      <c r="G750" s="1">
        <v>5</v>
      </c>
      <c r="I750" s="58" t="str">
        <f t="shared" si="11"/>
        <v>Lincolnshire Hardwoods Jim</v>
      </c>
    </row>
    <row r="751" spans="2:9" ht="15.75" customHeight="1" x14ac:dyDescent="0.2">
      <c r="C751" s="1" t="s">
        <v>518</v>
      </c>
      <c r="D751" s="1" t="s">
        <v>334</v>
      </c>
      <c r="E751" s="1">
        <v>0.54</v>
      </c>
      <c r="F751" s="1">
        <v>15</v>
      </c>
      <c r="G751" s="1">
        <v>8</v>
      </c>
      <c r="I751" s="58" t="str">
        <f t="shared" si="11"/>
        <v>Lincolnshire Hardwoods Jim</v>
      </c>
    </row>
    <row r="752" spans="2:9" ht="15.75" customHeight="1" x14ac:dyDescent="0.2">
      <c r="D752" s="1" t="s">
        <v>337</v>
      </c>
      <c r="E752" s="1">
        <v>0.25</v>
      </c>
      <c r="F752" s="1">
        <v>4</v>
      </c>
      <c r="G752" s="1">
        <v>1</v>
      </c>
      <c r="I752" s="58" t="str">
        <f t="shared" si="11"/>
        <v>Lincolnshire Hardwoods Jim</v>
      </c>
    </row>
    <row r="753" spans="3:9" ht="15.75" customHeight="1" x14ac:dyDescent="0.2">
      <c r="D753" s="1" t="s">
        <v>338</v>
      </c>
      <c r="E753" s="1">
        <v>0.4</v>
      </c>
      <c r="F753" s="1">
        <v>5</v>
      </c>
      <c r="G753" s="1">
        <v>2</v>
      </c>
      <c r="I753" s="58" t="str">
        <f t="shared" si="11"/>
        <v>Lincolnshire Hardwoods Jim</v>
      </c>
    </row>
    <row r="754" spans="3:9" ht="15.75" customHeight="1" x14ac:dyDescent="0.2">
      <c r="D754" s="1" t="s">
        <v>336</v>
      </c>
      <c r="E754" s="1">
        <v>0.84</v>
      </c>
      <c r="F754" s="1">
        <v>6</v>
      </c>
      <c r="G754" s="1">
        <v>5</v>
      </c>
      <c r="I754" s="58" t="str">
        <f t="shared" si="11"/>
        <v>Lincolnshire Hardwoods Jim</v>
      </c>
    </row>
    <row r="755" spans="3:9" ht="15.75" customHeight="1" x14ac:dyDescent="0.2">
      <c r="C755" s="1" t="s">
        <v>519</v>
      </c>
      <c r="D755" s="1" t="s">
        <v>334</v>
      </c>
      <c r="E755" s="1">
        <v>0.6</v>
      </c>
      <c r="F755" s="1">
        <v>15</v>
      </c>
      <c r="G755" s="1">
        <v>9</v>
      </c>
      <c r="I755" s="58" t="str">
        <f t="shared" si="11"/>
        <v>Lincolnshire Hardwoods Jim</v>
      </c>
    </row>
    <row r="756" spans="3:9" ht="15.75" customHeight="1" x14ac:dyDescent="0.2">
      <c r="D756" s="1" t="s">
        <v>337</v>
      </c>
      <c r="E756" s="1">
        <v>0.25</v>
      </c>
      <c r="F756" s="1">
        <v>4</v>
      </c>
      <c r="G756" s="1">
        <v>1</v>
      </c>
      <c r="I756" s="58" t="str">
        <f t="shared" si="11"/>
        <v>Lincolnshire Hardwoods Jim</v>
      </c>
    </row>
    <row r="757" spans="3:9" ht="15.75" customHeight="1" x14ac:dyDescent="0.2">
      <c r="D757" s="1" t="s">
        <v>336</v>
      </c>
      <c r="E757" s="1">
        <v>0.67</v>
      </c>
      <c r="F757" s="1">
        <v>6</v>
      </c>
      <c r="G757" s="1">
        <v>4</v>
      </c>
      <c r="I757" s="58" t="str">
        <f t="shared" si="11"/>
        <v>Lincolnshire Hardwoods Jim</v>
      </c>
    </row>
    <row r="758" spans="3:9" ht="15.75" customHeight="1" x14ac:dyDescent="0.2">
      <c r="D758" s="1" t="s">
        <v>338</v>
      </c>
      <c r="E758" s="1">
        <v>0.8</v>
      </c>
      <c r="F758" s="1">
        <v>5</v>
      </c>
      <c r="G758" s="1">
        <v>4</v>
      </c>
      <c r="I758" s="58" t="str">
        <f t="shared" si="11"/>
        <v>Lincolnshire Hardwoods Jim</v>
      </c>
    </row>
    <row r="759" spans="3:9" ht="15.75" customHeight="1" x14ac:dyDescent="0.2">
      <c r="C759" s="1" t="s">
        <v>520</v>
      </c>
      <c r="D759" s="1" t="s">
        <v>334</v>
      </c>
      <c r="E759" s="1">
        <v>0.6</v>
      </c>
      <c r="F759" s="1">
        <v>15</v>
      </c>
      <c r="G759" s="1">
        <v>9</v>
      </c>
      <c r="I759" s="58" t="str">
        <f t="shared" si="11"/>
        <v>Lincolnshire Hardwoods Jim</v>
      </c>
    </row>
    <row r="760" spans="3:9" ht="15.75" customHeight="1" x14ac:dyDescent="0.2">
      <c r="D760" s="1" t="s">
        <v>337</v>
      </c>
      <c r="E760" s="1">
        <v>0.25</v>
      </c>
      <c r="F760" s="1">
        <v>4</v>
      </c>
      <c r="G760" s="1">
        <v>1</v>
      </c>
      <c r="I760" s="58" t="str">
        <f t="shared" si="11"/>
        <v>Lincolnshire Hardwoods Jim</v>
      </c>
    </row>
    <row r="761" spans="3:9" ht="15.75" customHeight="1" x14ac:dyDescent="0.2">
      <c r="D761" s="1" t="s">
        <v>338</v>
      </c>
      <c r="E761" s="1">
        <v>0.6</v>
      </c>
      <c r="F761" s="1">
        <v>5</v>
      </c>
      <c r="G761" s="1">
        <v>3</v>
      </c>
      <c r="I761" s="58" t="str">
        <f t="shared" si="11"/>
        <v>Lincolnshire Hardwoods Jim</v>
      </c>
    </row>
    <row r="762" spans="3:9" ht="15.75" customHeight="1" x14ac:dyDescent="0.2">
      <c r="D762" s="1" t="s">
        <v>336</v>
      </c>
      <c r="E762" s="1">
        <v>0.84</v>
      </c>
      <c r="F762" s="1">
        <v>6</v>
      </c>
      <c r="G762" s="1">
        <v>5</v>
      </c>
      <c r="I762" s="58" t="str">
        <f t="shared" si="11"/>
        <v>Lincolnshire Hardwoods Jim</v>
      </c>
    </row>
    <row r="763" spans="3:9" ht="15.75" customHeight="1" x14ac:dyDescent="0.2">
      <c r="C763" s="1" t="s">
        <v>521</v>
      </c>
      <c r="D763" s="1" t="s">
        <v>334</v>
      </c>
      <c r="E763" s="1">
        <v>0.6</v>
      </c>
      <c r="F763" s="1">
        <v>15</v>
      </c>
      <c r="G763" s="1">
        <v>9</v>
      </c>
      <c r="I763" s="58" t="str">
        <f t="shared" si="11"/>
        <v>Lincolnshire Hardwoods Jim</v>
      </c>
    </row>
    <row r="764" spans="3:9" ht="15.75" customHeight="1" x14ac:dyDescent="0.2">
      <c r="D764" s="1" t="s">
        <v>337</v>
      </c>
      <c r="E764" s="1">
        <v>0.25</v>
      </c>
      <c r="F764" s="1">
        <v>4</v>
      </c>
      <c r="G764" s="1">
        <v>1</v>
      </c>
      <c r="I764" s="58" t="str">
        <f t="shared" si="11"/>
        <v>Lincolnshire Hardwoods Jim</v>
      </c>
    </row>
    <row r="765" spans="3:9" ht="15.75" customHeight="1" x14ac:dyDescent="0.2">
      <c r="D765" s="1" t="s">
        <v>336</v>
      </c>
      <c r="E765" s="1">
        <v>0.67</v>
      </c>
      <c r="F765" s="1">
        <v>6</v>
      </c>
      <c r="G765" s="1">
        <v>4</v>
      </c>
      <c r="I765" s="58" t="str">
        <f t="shared" si="11"/>
        <v>Lincolnshire Hardwoods Jim</v>
      </c>
    </row>
    <row r="766" spans="3:9" ht="15.75" customHeight="1" x14ac:dyDescent="0.2">
      <c r="D766" s="1" t="s">
        <v>338</v>
      </c>
      <c r="E766" s="1">
        <v>0.8</v>
      </c>
      <c r="F766" s="1">
        <v>5</v>
      </c>
      <c r="G766" s="1">
        <v>4</v>
      </c>
      <c r="I766" s="58" t="str">
        <f t="shared" si="11"/>
        <v>Lincolnshire Hardwoods Jim</v>
      </c>
    </row>
    <row r="767" spans="3:9" ht="15.75" customHeight="1" x14ac:dyDescent="0.2">
      <c r="C767" s="1" t="s">
        <v>522</v>
      </c>
      <c r="D767" s="1" t="s">
        <v>334</v>
      </c>
      <c r="E767" s="1">
        <v>0.74</v>
      </c>
      <c r="F767" s="1">
        <v>15</v>
      </c>
      <c r="G767" s="1">
        <v>11</v>
      </c>
      <c r="I767" s="58" t="str">
        <f t="shared" si="11"/>
        <v>Lincolnshire Hardwoods Jim</v>
      </c>
    </row>
    <row r="768" spans="3:9" ht="15.75" customHeight="1" x14ac:dyDescent="0.2">
      <c r="D768" s="1" t="s">
        <v>338</v>
      </c>
      <c r="E768" s="1">
        <v>0.6</v>
      </c>
      <c r="F768" s="1">
        <v>5</v>
      </c>
      <c r="G768" s="1">
        <v>3</v>
      </c>
      <c r="I768" s="58" t="str">
        <f t="shared" si="11"/>
        <v>Lincolnshire Hardwoods Jim</v>
      </c>
    </row>
    <row r="769" spans="2:9" ht="15.75" customHeight="1" x14ac:dyDescent="0.2">
      <c r="D769" s="1" t="s">
        <v>336</v>
      </c>
      <c r="E769" s="1">
        <v>0.67</v>
      </c>
      <c r="F769" s="1">
        <v>6</v>
      </c>
      <c r="G769" s="1">
        <v>4</v>
      </c>
      <c r="I769" s="58" t="str">
        <f t="shared" si="11"/>
        <v>Lincolnshire Hardwoods Jim</v>
      </c>
    </row>
    <row r="770" spans="2:9" ht="15.75" customHeight="1" x14ac:dyDescent="0.2">
      <c r="D770" s="1" t="s">
        <v>337</v>
      </c>
      <c r="E770" s="1">
        <v>1</v>
      </c>
      <c r="F770" s="1">
        <v>4</v>
      </c>
      <c r="G770" s="1">
        <v>4</v>
      </c>
      <c r="I770" s="58" t="str">
        <f t="shared" si="11"/>
        <v>Lincolnshire Hardwoods Jim</v>
      </c>
    </row>
    <row r="771" spans="2:9" ht="15.75" customHeight="1" x14ac:dyDescent="0.2">
      <c r="C771" s="1" t="s">
        <v>523</v>
      </c>
      <c r="D771" s="1" t="s">
        <v>334</v>
      </c>
      <c r="E771" s="1">
        <v>0.77</v>
      </c>
      <c r="F771" s="1">
        <v>17</v>
      </c>
      <c r="G771" s="1">
        <v>13</v>
      </c>
      <c r="I771" s="58" t="str">
        <f t="shared" si="11"/>
        <v>Lincolnshire Hardwoods Jim</v>
      </c>
    </row>
    <row r="772" spans="2:9" ht="15.75" customHeight="1" x14ac:dyDescent="0.2">
      <c r="D772" s="1" t="s">
        <v>336</v>
      </c>
      <c r="E772" s="1">
        <v>0.67</v>
      </c>
      <c r="F772" s="1">
        <v>6</v>
      </c>
      <c r="G772" s="1">
        <v>4</v>
      </c>
      <c r="I772" s="58" t="str">
        <f t="shared" si="11"/>
        <v>Lincolnshire Hardwoods Jim</v>
      </c>
    </row>
    <row r="773" spans="2:9" ht="15.75" customHeight="1" x14ac:dyDescent="0.2">
      <c r="D773" s="1" t="s">
        <v>340</v>
      </c>
      <c r="E773" s="1">
        <v>0.72</v>
      </c>
      <c r="F773" s="1">
        <v>7</v>
      </c>
      <c r="G773" s="1">
        <v>5</v>
      </c>
      <c r="I773" s="58" t="str">
        <f t="shared" si="11"/>
        <v>Lincolnshire Hardwoods Jim</v>
      </c>
    </row>
    <row r="774" spans="2:9" ht="15.75" customHeight="1" x14ac:dyDescent="0.2">
      <c r="D774" s="1" t="s">
        <v>337</v>
      </c>
      <c r="E774" s="1">
        <v>1</v>
      </c>
      <c r="F774" s="1">
        <v>4</v>
      </c>
      <c r="G774" s="1">
        <v>4</v>
      </c>
      <c r="I774" s="58" t="str">
        <f t="shared" ref="I774:I837" si="12">IF(B774&lt;&gt;"",B774,I773)</f>
        <v>Lincolnshire Hardwoods Jim</v>
      </c>
    </row>
    <row r="775" spans="2:9" ht="15.75" customHeight="1" x14ac:dyDescent="0.2">
      <c r="C775" s="1" t="s">
        <v>524</v>
      </c>
      <c r="D775" s="1" t="s">
        <v>334</v>
      </c>
      <c r="E775" s="1">
        <v>0.77</v>
      </c>
      <c r="F775" s="1">
        <v>17</v>
      </c>
      <c r="G775" s="1">
        <v>13</v>
      </c>
      <c r="I775" s="58" t="str">
        <f t="shared" si="12"/>
        <v>Lincolnshire Hardwoods Jim</v>
      </c>
    </row>
    <row r="776" spans="2:9" ht="15.75" customHeight="1" x14ac:dyDescent="0.2">
      <c r="D776" s="1" t="s">
        <v>336</v>
      </c>
      <c r="E776" s="1">
        <v>0.67</v>
      </c>
      <c r="F776" s="1">
        <v>6</v>
      </c>
      <c r="G776" s="1">
        <v>4</v>
      </c>
      <c r="I776" s="58" t="str">
        <f t="shared" si="12"/>
        <v>Lincolnshire Hardwoods Jim</v>
      </c>
    </row>
    <row r="777" spans="2:9" ht="15.75" customHeight="1" x14ac:dyDescent="0.2">
      <c r="D777" s="1" t="s">
        <v>340</v>
      </c>
      <c r="E777" s="1">
        <v>0.72</v>
      </c>
      <c r="F777" s="1">
        <v>7</v>
      </c>
      <c r="G777" s="1">
        <v>5</v>
      </c>
      <c r="I777" s="58" t="str">
        <f t="shared" si="12"/>
        <v>Lincolnshire Hardwoods Jim</v>
      </c>
    </row>
    <row r="778" spans="2:9" ht="15.75" customHeight="1" x14ac:dyDescent="0.2">
      <c r="D778" s="1" t="s">
        <v>337</v>
      </c>
      <c r="E778" s="1">
        <v>1</v>
      </c>
      <c r="F778" s="1">
        <v>4</v>
      </c>
      <c r="G778" s="1">
        <v>4</v>
      </c>
      <c r="I778" s="58" t="str">
        <f t="shared" si="12"/>
        <v>Lincolnshire Hardwoods Jim</v>
      </c>
    </row>
    <row r="779" spans="2:9" ht="15.75" customHeight="1" x14ac:dyDescent="0.2">
      <c r="C779" s="1" t="s">
        <v>168</v>
      </c>
      <c r="D779" s="1" t="s">
        <v>334</v>
      </c>
      <c r="E779" s="1">
        <v>1</v>
      </c>
      <c r="F779" s="1">
        <v>4</v>
      </c>
      <c r="G779" s="1">
        <v>4</v>
      </c>
      <c r="I779" s="58" t="str">
        <f t="shared" si="12"/>
        <v>Lincolnshire Hardwoods Jim</v>
      </c>
    </row>
    <row r="780" spans="2:9" ht="15.75" customHeight="1" x14ac:dyDescent="0.2">
      <c r="D780" s="1" t="s">
        <v>343</v>
      </c>
      <c r="E780" s="1">
        <v>1</v>
      </c>
      <c r="F780" s="1">
        <v>4</v>
      </c>
      <c r="G780" s="1">
        <v>4</v>
      </c>
      <c r="I780" s="58" t="str">
        <f t="shared" si="12"/>
        <v>Lincolnshire Hardwoods Jim</v>
      </c>
    </row>
    <row r="781" spans="2:9" ht="15.75" customHeight="1" x14ac:dyDescent="0.2">
      <c r="B781" s="1" t="s">
        <v>174</v>
      </c>
      <c r="C781" s="1" t="s">
        <v>334</v>
      </c>
      <c r="E781" s="1">
        <v>0.67</v>
      </c>
      <c r="F781" s="1">
        <v>51</v>
      </c>
      <c r="G781" s="1">
        <v>34</v>
      </c>
      <c r="H781" s="57">
        <v>46030</v>
      </c>
      <c r="I781" s="58" t="str">
        <f t="shared" si="12"/>
        <v>OJ Morgan Services Ltd</v>
      </c>
    </row>
    <row r="782" spans="2:9" ht="15.75" customHeight="1" x14ac:dyDescent="0.2">
      <c r="C782" s="1" t="s">
        <v>525</v>
      </c>
      <c r="D782" s="1" t="s">
        <v>334</v>
      </c>
      <c r="E782" s="1">
        <v>0.5</v>
      </c>
      <c r="F782" s="1">
        <v>4</v>
      </c>
      <c r="G782" s="1">
        <v>2</v>
      </c>
      <c r="I782" s="58" t="str">
        <f t="shared" si="12"/>
        <v>OJ Morgan Services Ltd</v>
      </c>
    </row>
    <row r="783" spans="2:9" ht="15.75" customHeight="1" x14ac:dyDescent="0.2">
      <c r="D783" s="1" t="s">
        <v>343</v>
      </c>
      <c r="E783" s="1">
        <v>0.5</v>
      </c>
      <c r="F783" s="1">
        <v>4</v>
      </c>
      <c r="G783" s="1">
        <v>2</v>
      </c>
      <c r="I783" s="58" t="str">
        <f t="shared" si="12"/>
        <v>OJ Morgan Services Ltd</v>
      </c>
    </row>
    <row r="784" spans="2:9" ht="15.75" customHeight="1" x14ac:dyDescent="0.2">
      <c r="C784" s="1" t="s">
        <v>526</v>
      </c>
      <c r="D784" s="1" t="s">
        <v>334</v>
      </c>
      <c r="E784" s="1">
        <v>0.67</v>
      </c>
      <c r="F784" s="1">
        <v>15</v>
      </c>
      <c r="G784" s="1">
        <v>10</v>
      </c>
      <c r="I784" s="58" t="str">
        <f t="shared" si="12"/>
        <v>OJ Morgan Services Ltd</v>
      </c>
    </row>
    <row r="785" spans="2:9" ht="15.75" customHeight="1" x14ac:dyDescent="0.2">
      <c r="D785" s="1" t="s">
        <v>337</v>
      </c>
      <c r="E785" s="1">
        <v>0</v>
      </c>
      <c r="F785" s="1">
        <v>4</v>
      </c>
      <c r="G785" s="1">
        <v>0</v>
      </c>
      <c r="I785" s="58" t="str">
        <f t="shared" si="12"/>
        <v>OJ Morgan Services Ltd</v>
      </c>
    </row>
    <row r="786" spans="2:9" ht="15.75" customHeight="1" x14ac:dyDescent="0.2">
      <c r="D786" s="1" t="s">
        <v>338</v>
      </c>
      <c r="E786" s="1">
        <v>0.8</v>
      </c>
      <c r="F786" s="1">
        <v>5</v>
      </c>
      <c r="G786" s="1">
        <v>4</v>
      </c>
      <c r="I786" s="58" t="str">
        <f t="shared" si="12"/>
        <v>OJ Morgan Services Ltd</v>
      </c>
    </row>
    <row r="787" spans="2:9" ht="15.75" customHeight="1" x14ac:dyDescent="0.2">
      <c r="D787" s="1" t="s">
        <v>336</v>
      </c>
      <c r="E787" s="1">
        <v>1</v>
      </c>
      <c r="F787" s="1">
        <v>6</v>
      </c>
      <c r="G787" s="1">
        <v>6</v>
      </c>
      <c r="I787" s="58" t="str">
        <f t="shared" si="12"/>
        <v>OJ Morgan Services Ltd</v>
      </c>
    </row>
    <row r="788" spans="2:9" ht="15.75" customHeight="1" x14ac:dyDescent="0.2">
      <c r="C788" s="1" t="s">
        <v>527</v>
      </c>
      <c r="D788" s="1" t="s">
        <v>334</v>
      </c>
      <c r="E788" s="1">
        <v>0.67</v>
      </c>
      <c r="F788" s="1">
        <v>15</v>
      </c>
      <c r="G788" s="1">
        <v>10</v>
      </c>
      <c r="I788" s="58" t="str">
        <f t="shared" si="12"/>
        <v>OJ Morgan Services Ltd</v>
      </c>
    </row>
    <row r="789" spans="2:9" ht="15.75" customHeight="1" x14ac:dyDescent="0.2">
      <c r="D789" s="1" t="s">
        <v>337</v>
      </c>
      <c r="E789" s="1">
        <v>0</v>
      </c>
      <c r="F789" s="1">
        <v>4</v>
      </c>
      <c r="G789" s="1">
        <v>0</v>
      </c>
      <c r="I789" s="58" t="str">
        <f t="shared" si="12"/>
        <v>OJ Morgan Services Ltd</v>
      </c>
    </row>
    <row r="790" spans="2:9" ht="15.75" customHeight="1" x14ac:dyDescent="0.2">
      <c r="D790" s="1" t="s">
        <v>338</v>
      </c>
      <c r="E790" s="1">
        <v>0.8</v>
      </c>
      <c r="F790" s="1">
        <v>5</v>
      </c>
      <c r="G790" s="1">
        <v>4</v>
      </c>
      <c r="I790" s="58" t="str">
        <f t="shared" si="12"/>
        <v>OJ Morgan Services Ltd</v>
      </c>
    </row>
    <row r="791" spans="2:9" ht="15.75" customHeight="1" x14ac:dyDescent="0.2">
      <c r="D791" s="1" t="s">
        <v>336</v>
      </c>
      <c r="E791" s="1">
        <v>1</v>
      </c>
      <c r="F791" s="1">
        <v>6</v>
      </c>
      <c r="G791" s="1">
        <v>6</v>
      </c>
      <c r="I791" s="58" t="str">
        <f t="shared" si="12"/>
        <v>OJ Morgan Services Ltd</v>
      </c>
    </row>
    <row r="792" spans="2:9" ht="15.75" customHeight="1" x14ac:dyDescent="0.2">
      <c r="C792" s="1" t="s">
        <v>528</v>
      </c>
      <c r="D792" s="1" t="s">
        <v>334</v>
      </c>
      <c r="E792" s="1">
        <v>0.71</v>
      </c>
      <c r="F792" s="1">
        <v>17</v>
      </c>
      <c r="G792" s="1">
        <v>12</v>
      </c>
      <c r="I792" s="58" t="str">
        <f t="shared" si="12"/>
        <v>OJ Morgan Services Ltd</v>
      </c>
    </row>
    <row r="793" spans="2:9" ht="15.75" customHeight="1" x14ac:dyDescent="0.2">
      <c r="D793" s="1" t="s">
        <v>337</v>
      </c>
      <c r="E793" s="1">
        <v>0</v>
      </c>
      <c r="F793" s="1">
        <v>4</v>
      </c>
      <c r="G793" s="1">
        <v>0</v>
      </c>
      <c r="I793" s="58" t="str">
        <f t="shared" si="12"/>
        <v>OJ Morgan Services Ltd</v>
      </c>
    </row>
    <row r="794" spans="2:9" ht="15.75" customHeight="1" x14ac:dyDescent="0.2">
      <c r="D794" s="1" t="s">
        <v>340</v>
      </c>
      <c r="E794" s="1">
        <v>0.86</v>
      </c>
      <c r="F794" s="1">
        <v>7</v>
      </c>
      <c r="G794" s="1">
        <v>6</v>
      </c>
      <c r="I794" s="58" t="str">
        <f t="shared" si="12"/>
        <v>OJ Morgan Services Ltd</v>
      </c>
    </row>
    <row r="795" spans="2:9" ht="15.75" customHeight="1" x14ac:dyDescent="0.2">
      <c r="D795" s="1" t="s">
        <v>336</v>
      </c>
      <c r="E795" s="1">
        <v>1</v>
      </c>
      <c r="F795" s="1">
        <v>6</v>
      </c>
      <c r="G795" s="1">
        <v>6</v>
      </c>
      <c r="I795" s="58" t="str">
        <f t="shared" si="12"/>
        <v>OJ Morgan Services Ltd</v>
      </c>
    </row>
    <row r="796" spans="2:9" ht="15.75" customHeight="1" x14ac:dyDescent="0.2">
      <c r="B796" s="1" t="s">
        <v>166</v>
      </c>
      <c r="C796" s="1" t="s">
        <v>334</v>
      </c>
      <c r="E796" s="1">
        <v>0.69</v>
      </c>
      <c r="F796" s="1">
        <v>97</v>
      </c>
      <c r="G796" s="1">
        <v>66</v>
      </c>
      <c r="H796" s="57">
        <v>43396</v>
      </c>
      <c r="I796" s="58" t="str">
        <f t="shared" si="12"/>
        <v>J Ashby Tree Services</v>
      </c>
    </row>
    <row r="797" spans="2:9" ht="15.75" customHeight="1" x14ac:dyDescent="0.2">
      <c r="C797" s="1" t="s">
        <v>166</v>
      </c>
      <c r="D797" s="1" t="s">
        <v>334</v>
      </c>
      <c r="E797" s="1">
        <v>0.5</v>
      </c>
      <c r="F797" s="1">
        <v>4</v>
      </c>
      <c r="G797" s="1">
        <v>2</v>
      </c>
      <c r="I797" s="58" t="str">
        <f t="shared" si="12"/>
        <v>J Ashby Tree Services</v>
      </c>
    </row>
    <row r="798" spans="2:9" ht="15.75" customHeight="1" x14ac:dyDescent="0.2">
      <c r="D798" s="1" t="s">
        <v>343</v>
      </c>
      <c r="E798" s="1">
        <v>0.5</v>
      </c>
      <c r="F798" s="1">
        <v>4</v>
      </c>
      <c r="G798" s="1">
        <v>2</v>
      </c>
      <c r="I798" s="58" t="str">
        <f t="shared" si="12"/>
        <v>J Ashby Tree Services</v>
      </c>
    </row>
    <row r="799" spans="2:9" ht="15.75" customHeight="1" x14ac:dyDescent="0.2">
      <c r="C799" s="1" t="s">
        <v>529</v>
      </c>
      <c r="D799" s="1" t="s">
        <v>334</v>
      </c>
      <c r="E799" s="1">
        <v>0.5</v>
      </c>
      <c r="F799" s="1">
        <v>10</v>
      </c>
      <c r="G799" s="1">
        <v>5</v>
      </c>
      <c r="I799" s="58" t="str">
        <f t="shared" si="12"/>
        <v>J Ashby Tree Services</v>
      </c>
    </row>
    <row r="800" spans="2:9" ht="15.75" customHeight="1" x14ac:dyDescent="0.2">
      <c r="D800" s="1" t="s">
        <v>337</v>
      </c>
      <c r="E800" s="1">
        <v>0</v>
      </c>
      <c r="F800" s="1">
        <v>4</v>
      </c>
      <c r="G800" s="1">
        <v>0</v>
      </c>
      <c r="I800" s="58" t="str">
        <f t="shared" si="12"/>
        <v>J Ashby Tree Services</v>
      </c>
    </row>
    <row r="801" spans="3:9" ht="15.75" customHeight="1" x14ac:dyDescent="0.2">
      <c r="D801" s="1" t="s">
        <v>336</v>
      </c>
      <c r="E801" s="1">
        <v>0.84</v>
      </c>
      <c r="F801" s="1">
        <v>6</v>
      </c>
      <c r="G801" s="1">
        <v>5</v>
      </c>
      <c r="I801" s="58" t="str">
        <f t="shared" si="12"/>
        <v>J Ashby Tree Services</v>
      </c>
    </row>
    <row r="802" spans="3:9" ht="15.75" customHeight="1" x14ac:dyDescent="0.2">
      <c r="C802" s="1" t="s">
        <v>530</v>
      </c>
      <c r="D802" s="1" t="s">
        <v>334</v>
      </c>
      <c r="E802" s="1">
        <v>0.53</v>
      </c>
      <c r="F802" s="1">
        <v>17</v>
      </c>
      <c r="G802" s="1">
        <v>9</v>
      </c>
      <c r="I802" s="58" t="str">
        <f t="shared" si="12"/>
        <v>J Ashby Tree Services</v>
      </c>
    </row>
    <row r="803" spans="3:9" ht="15.75" customHeight="1" x14ac:dyDescent="0.2">
      <c r="D803" s="1" t="s">
        <v>340</v>
      </c>
      <c r="E803" s="1">
        <v>0.43</v>
      </c>
      <c r="F803" s="1">
        <v>7</v>
      </c>
      <c r="G803" s="1">
        <v>3</v>
      </c>
      <c r="I803" s="58" t="str">
        <f t="shared" si="12"/>
        <v>J Ashby Tree Services</v>
      </c>
    </row>
    <row r="804" spans="3:9" ht="15.75" customHeight="1" x14ac:dyDescent="0.2">
      <c r="D804" s="1" t="s">
        <v>337</v>
      </c>
      <c r="E804" s="1">
        <v>0.5</v>
      </c>
      <c r="F804" s="1">
        <v>4</v>
      </c>
      <c r="G804" s="1">
        <v>2</v>
      </c>
      <c r="I804" s="58" t="str">
        <f t="shared" si="12"/>
        <v>J Ashby Tree Services</v>
      </c>
    </row>
    <row r="805" spans="3:9" ht="15.75" customHeight="1" x14ac:dyDescent="0.2">
      <c r="D805" s="1" t="s">
        <v>336</v>
      </c>
      <c r="E805" s="1">
        <v>0.67</v>
      </c>
      <c r="F805" s="1">
        <v>6</v>
      </c>
      <c r="G805" s="1">
        <v>4</v>
      </c>
      <c r="I805" s="58" t="str">
        <f t="shared" si="12"/>
        <v>J Ashby Tree Services</v>
      </c>
    </row>
    <row r="806" spans="3:9" ht="15.75" customHeight="1" x14ac:dyDescent="0.2">
      <c r="C806" s="1" t="s">
        <v>531</v>
      </c>
      <c r="D806" s="1" t="s">
        <v>334</v>
      </c>
      <c r="E806" s="1">
        <v>0.67</v>
      </c>
      <c r="F806" s="1">
        <v>15</v>
      </c>
      <c r="G806" s="1">
        <v>10</v>
      </c>
      <c r="I806" s="58" t="str">
        <f t="shared" si="12"/>
        <v>J Ashby Tree Services</v>
      </c>
    </row>
    <row r="807" spans="3:9" ht="15.75" customHeight="1" x14ac:dyDescent="0.2">
      <c r="D807" s="1" t="s">
        <v>337</v>
      </c>
      <c r="E807" s="1">
        <v>0.25</v>
      </c>
      <c r="F807" s="1">
        <v>4</v>
      </c>
      <c r="G807" s="1">
        <v>1</v>
      </c>
      <c r="I807" s="58" t="str">
        <f t="shared" si="12"/>
        <v>J Ashby Tree Services</v>
      </c>
    </row>
    <row r="808" spans="3:9" ht="15.75" customHeight="1" x14ac:dyDescent="0.2">
      <c r="D808" s="1" t="s">
        <v>338</v>
      </c>
      <c r="E808" s="1">
        <v>0.8</v>
      </c>
      <c r="F808" s="1">
        <v>5</v>
      </c>
      <c r="G808" s="1">
        <v>4</v>
      </c>
      <c r="I808" s="58" t="str">
        <f t="shared" si="12"/>
        <v>J Ashby Tree Services</v>
      </c>
    </row>
    <row r="809" spans="3:9" ht="15.75" customHeight="1" x14ac:dyDescent="0.2">
      <c r="D809" s="1" t="s">
        <v>336</v>
      </c>
      <c r="E809" s="1">
        <v>0.84</v>
      </c>
      <c r="F809" s="1">
        <v>6</v>
      </c>
      <c r="G809" s="1">
        <v>5</v>
      </c>
      <c r="I809" s="58" t="str">
        <f t="shared" si="12"/>
        <v>J Ashby Tree Services</v>
      </c>
    </row>
    <row r="810" spans="3:9" ht="15.75" customHeight="1" x14ac:dyDescent="0.2">
      <c r="C810" s="1" t="s">
        <v>532</v>
      </c>
      <c r="D810" s="1" t="s">
        <v>334</v>
      </c>
      <c r="E810" s="1">
        <v>0.71</v>
      </c>
      <c r="F810" s="1">
        <v>17</v>
      </c>
      <c r="G810" s="1">
        <v>12</v>
      </c>
      <c r="I810" s="58" t="str">
        <f t="shared" si="12"/>
        <v>J Ashby Tree Services</v>
      </c>
    </row>
    <row r="811" spans="3:9" ht="15.75" customHeight="1" x14ac:dyDescent="0.2">
      <c r="D811" s="1" t="s">
        <v>337</v>
      </c>
      <c r="E811" s="1">
        <v>0.25</v>
      </c>
      <c r="F811" s="1">
        <v>4</v>
      </c>
      <c r="G811" s="1">
        <v>1</v>
      </c>
      <c r="I811" s="58" t="str">
        <f t="shared" si="12"/>
        <v>J Ashby Tree Services</v>
      </c>
    </row>
    <row r="812" spans="3:9" ht="15.75" customHeight="1" x14ac:dyDescent="0.2">
      <c r="D812" s="1" t="s">
        <v>336</v>
      </c>
      <c r="E812" s="1">
        <v>0.84</v>
      </c>
      <c r="F812" s="1">
        <v>6</v>
      </c>
      <c r="G812" s="1">
        <v>5</v>
      </c>
      <c r="I812" s="58" t="str">
        <f t="shared" si="12"/>
        <v>J Ashby Tree Services</v>
      </c>
    </row>
    <row r="813" spans="3:9" ht="15.75" customHeight="1" x14ac:dyDescent="0.2">
      <c r="D813" s="1" t="s">
        <v>340</v>
      </c>
      <c r="E813" s="1">
        <v>0.86</v>
      </c>
      <c r="F813" s="1">
        <v>7</v>
      </c>
      <c r="G813" s="1">
        <v>6</v>
      </c>
      <c r="I813" s="58" t="str">
        <f t="shared" si="12"/>
        <v>J Ashby Tree Services</v>
      </c>
    </row>
    <row r="814" spans="3:9" ht="15.75" customHeight="1" x14ac:dyDescent="0.2">
      <c r="C814" s="1" t="s">
        <v>533</v>
      </c>
      <c r="D814" s="1" t="s">
        <v>334</v>
      </c>
      <c r="E814" s="1">
        <v>0.77</v>
      </c>
      <c r="F814" s="1">
        <v>17</v>
      </c>
      <c r="G814" s="1">
        <v>13</v>
      </c>
      <c r="I814" s="58" t="str">
        <f t="shared" si="12"/>
        <v>J Ashby Tree Services</v>
      </c>
    </row>
    <row r="815" spans="3:9" ht="15.75" customHeight="1" x14ac:dyDescent="0.2">
      <c r="D815" s="1" t="s">
        <v>336</v>
      </c>
      <c r="E815" s="1">
        <v>0.67</v>
      </c>
      <c r="F815" s="1">
        <v>6</v>
      </c>
      <c r="G815" s="1">
        <v>4</v>
      </c>
      <c r="I815" s="58" t="str">
        <f t="shared" si="12"/>
        <v>J Ashby Tree Services</v>
      </c>
    </row>
    <row r="816" spans="3:9" ht="15.75" customHeight="1" x14ac:dyDescent="0.2">
      <c r="D816" s="1" t="s">
        <v>340</v>
      </c>
      <c r="E816" s="1">
        <v>0.72</v>
      </c>
      <c r="F816" s="1">
        <v>7</v>
      </c>
      <c r="G816" s="1">
        <v>5</v>
      </c>
      <c r="I816" s="58" t="str">
        <f t="shared" si="12"/>
        <v>J Ashby Tree Services</v>
      </c>
    </row>
    <row r="817" spans="2:9" ht="15.75" customHeight="1" x14ac:dyDescent="0.2">
      <c r="D817" s="1" t="s">
        <v>337</v>
      </c>
      <c r="E817" s="1">
        <v>1</v>
      </c>
      <c r="F817" s="1">
        <v>4</v>
      </c>
      <c r="G817" s="1">
        <v>4</v>
      </c>
      <c r="I817" s="58" t="str">
        <f t="shared" si="12"/>
        <v>J Ashby Tree Services</v>
      </c>
    </row>
    <row r="818" spans="2:9" ht="15.75" customHeight="1" x14ac:dyDescent="0.2">
      <c r="C818" s="1" t="s">
        <v>534</v>
      </c>
      <c r="D818" s="1" t="s">
        <v>334</v>
      </c>
      <c r="E818" s="1">
        <v>0.89</v>
      </c>
      <c r="F818" s="1">
        <v>17</v>
      </c>
      <c r="G818" s="1">
        <v>15</v>
      </c>
      <c r="I818" s="58" t="str">
        <f t="shared" si="12"/>
        <v>J Ashby Tree Services</v>
      </c>
    </row>
    <row r="819" spans="2:9" ht="15.75" customHeight="1" x14ac:dyDescent="0.2">
      <c r="D819" s="1" t="s">
        <v>337</v>
      </c>
      <c r="E819" s="1">
        <v>0.75</v>
      </c>
      <c r="F819" s="1">
        <v>4</v>
      </c>
      <c r="G819" s="1">
        <v>3</v>
      </c>
      <c r="I819" s="58" t="str">
        <f t="shared" si="12"/>
        <v>J Ashby Tree Services</v>
      </c>
    </row>
    <row r="820" spans="2:9" ht="15.75" customHeight="1" x14ac:dyDescent="0.2">
      <c r="D820" s="1" t="s">
        <v>336</v>
      </c>
      <c r="E820" s="1">
        <v>0.84</v>
      </c>
      <c r="F820" s="1">
        <v>6</v>
      </c>
      <c r="G820" s="1">
        <v>5</v>
      </c>
      <c r="I820" s="58" t="str">
        <f t="shared" si="12"/>
        <v>J Ashby Tree Services</v>
      </c>
    </row>
    <row r="821" spans="2:9" ht="15.75" customHeight="1" x14ac:dyDescent="0.2">
      <c r="D821" s="1" t="s">
        <v>340</v>
      </c>
      <c r="E821" s="1">
        <v>1</v>
      </c>
      <c r="F821" s="1">
        <v>7</v>
      </c>
      <c r="G821" s="1">
        <v>7</v>
      </c>
      <c r="I821" s="58" t="str">
        <f t="shared" si="12"/>
        <v>J Ashby Tree Services</v>
      </c>
    </row>
    <row r="822" spans="2:9" ht="15.75" customHeight="1" x14ac:dyDescent="0.2">
      <c r="B822" s="1" t="s">
        <v>67</v>
      </c>
      <c r="C822" s="1" t="s">
        <v>334</v>
      </c>
      <c r="E822" s="1">
        <v>0.7</v>
      </c>
      <c r="F822" s="1">
        <v>98</v>
      </c>
      <c r="G822" s="1">
        <v>68</v>
      </c>
      <c r="H822" s="57">
        <v>44271</v>
      </c>
      <c r="I822" s="58" t="str">
        <f t="shared" si="12"/>
        <v>Ashdown Tree Limited</v>
      </c>
    </row>
    <row r="823" spans="2:9" ht="15.75" customHeight="1" x14ac:dyDescent="0.2">
      <c r="C823" s="1" t="s">
        <v>535</v>
      </c>
      <c r="D823" s="1" t="s">
        <v>334</v>
      </c>
      <c r="E823" s="1">
        <v>0.27</v>
      </c>
      <c r="F823" s="1">
        <v>15</v>
      </c>
      <c r="G823" s="1">
        <v>4</v>
      </c>
      <c r="I823" s="58" t="str">
        <f t="shared" si="12"/>
        <v>Ashdown Tree Limited</v>
      </c>
    </row>
    <row r="824" spans="2:9" ht="15.75" customHeight="1" x14ac:dyDescent="0.2">
      <c r="D824" s="1" t="s">
        <v>337</v>
      </c>
      <c r="E824" s="1">
        <v>0</v>
      </c>
      <c r="F824" s="1">
        <v>4</v>
      </c>
      <c r="G824" s="1">
        <v>0</v>
      </c>
      <c r="I824" s="58" t="str">
        <f t="shared" si="12"/>
        <v>Ashdown Tree Limited</v>
      </c>
    </row>
    <row r="825" spans="2:9" ht="15.75" customHeight="1" x14ac:dyDescent="0.2">
      <c r="D825" s="1" t="s">
        <v>338</v>
      </c>
      <c r="E825" s="1">
        <v>0.2</v>
      </c>
      <c r="F825" s="1">
        <v>5</v>
      </c>
      <c r="G825" s="1">
        <v>1</v>
      </c>
      <c r="I825" s="58" t="str">
        <f t="shared" si="12"/>
        <v>Ashdown Tree Limited</v>
      </c>
    </row>
    <row r="826" spans="2:9" ht="15.75" customHeight="1" x14ac:dyDescent="0.2">
      <c r="D826" s="1" t="s">
        <v>336</v>
      </c>
      <c r="E826" s="1">
        <v>0.5</v>
      </c>
      <c r="F826" s="1">
        <v>6</v>
      </c>
      <c r="G826" s="1">
        <v>3</v>
      </c>
      <c r="I826" s="58" t="str">
        <f t="shared" si="12"/>
        <v>Ashdown Tree Limited</v>
      </c>
    </row>
    <row r="827" spans="2:9" ht="15.75" customHeight="1" x14ac:dyDescent="0.2">
      <c r="C827" s="1" t="s">
        <v>67</v>
      </c>
      <c r="D827" s="1" t="s">
        <v>334</v>
      </c>
      <c r="E827" s="1">
        <v>0.5</v>
      </c>
      <c r="F827" s="1">
        <v>4</v>
      </c>
      <c r="G827" s="1">
        <v>2</v>
      </c>
      <c r="I827" s="58" t="str">
        <f t="shared" si="12"/>
        <v>Ashdown Tree Limited</v>
      </c>
    </row>
    <row r="828" spans="2:9" ht="15.75" customHeight="1" x14ac:dyDescent="0.2">
      <c r="D828" s="1" t="s">
        <v>343</v>
      </c>
      <c r="E828" s="1">
        <v>0.5</v>
      </c>
      <c r="F828" s="1">
        <v>4</v>
      </c>
      <c r="G828" s="1">
        <v>2</v>
      </c>
      <c r="I828" s="58" t="str">
        <f t="shared" si="12"/>
        <v>Ashdown Tree Limited</v>
      </c>
    </row>
    <row r="829" spans="2:9" ht="15.75" customHeight="1" x14ac:dyDescent="0.2">
      <c r="C829" s="1" t="s">
        <v>536</v>
      </c>
      <c r="D829" s="1" t="s">
        <v>334</v>
      </c>
      <c r="E829" s="1">
        <v>0.6</v>
      </c>
      <c r="F829" s="1">
        <v>15</v>
      </c>
      <c r="G829" s="1">
        <v>9</v>
      </c>
      <c r="I829" s="58" t="str">
        <f t="shared" si="12"/>
        <v>Ashdown Tree Limited</v>
      </c>
    </row>
    <row r="830" spans="2:9" ht="15.75" customHeight="1" x14ac:dyDescent="0.2">
      <c r="D830" s="1" t="s">
        <v>337</v>
      </c>
      <c r="E830" s="1">
        <v>0.25</v>
      </c>
      <c r="F830" s="1">
        <v>4</v>
      </c>
      <c r="G830" s="1">
        <v>1</v>
      </c>
      <c r="I830" s="58" t="str">
        <f t="shared" si="12"/>
        <v>Ashdown Tree Limited</v>
      </c>
    </row>
    <row r="831" spans="2:9" ht="15.75" customHeight="1" x14ac:dyDescent="0.2">
      <c r="D831" s="1" t="s">
        <v>338</v>
      </c>
      <c r="E831" s="1">
        <v>0.6</v>
      </c>
      <c r="F831" s="1">
        <v>5</v>
      </c>
      <c r="G831" s="1">
        <v>3</v>
      </c>
      <c r="I831" s="58" t="str">
        <f t="shared" si="12"/>
        <v>Ashdown Tree Limited</v>
      </c>
    </row>
    <row r="832" spans="2:9" ht="15.75" customHeight="1" x14ac:dyDescent="0.2">
      <c r="D832" s="1" t="s">
        <v>336</v>
      </c>
      <c r="E832" s="1">
        <v>0.84</v>
      </c>
      <c r="F832" s="1">
        <v>6</v>
      </c>
      <c r="G832" s="1">
        <v>5</v>
      </c>
      <c r="I832" s="58" t="str">
        <f t="shared" si="12"/>
        <v>Ashdown Tree Limited</v>
      </c>
    </row>
    <row r="833" spans="3:9" ht="15.75" customHeight="1" x14ac:dyDescent="0.2">
      <c r="C833" s="1" t="s">
        <v>537</v>
      </c>
      <c r="D833" s="1" t="s">
        <v>334</v>
      </c>
      <c r="E833" s="1">
        <v>0.71</v>
      </c>
      <c r="F833" s="1">
        <v>17</v>
      </c>
      <c r="G833" s="1">
        <v>12</v>
      </c>
      <c r="I833" s="58" t="str">
        <f t="shared" si="12"/>
        <v>Ashdown Tree Limited</v>
      </c>
    </row>
    <row r="834" spans="3:9" ht="15.75" customHeight="1" x14ac:dyDescent="0.2">
      <c r="D834" s="1" t="s">
        <v>337</v>
      </c>
      <c r="E834" s="1">
        <v>0</v>
      </c>
      <c r="F834" s="1">
        <v>4</v>
      </c>
      <c r="G834" s="1">
        <v>0</v>
      </c>
      <c r="I834" s="58" t="str">
        <f t="shared" si="12"/>
        <v>Ashdown Tree Limited</v>
      </c>
    </row>
    <row r="835" spans="3:9" ht="15.75" customHeight="1" x14ac:dyDescent="0.2">
      <c r="D835" s="1" t="s">
        <v>340</v>
      </c>
      <c r="E835" s="1">
        <v>0.86</v>
      </c>
      <c r="F835" s="1">
        <v>7</v>
      </c>
      <c r="G835" s="1">
        <v>6</v>
      </c>
      <c r="I835" s="58" t="str">
        <f t="shared" si="12"/>
        <v>Ashdown Tree Limited</v>
      </c>
    </row>
    <row r="836" spans="3:9" ht="15.75" customHeight="1" x14ac:dyDescent="0.2">
      <c r="D836" s="1" t="s">
        <v>336</v>
      </c>
      <c r="E836" s="1">
        <v>1</v>
      </c>
      <c r="F836" s="1">
        <v>6</v>
      </c>
      <c r="G836" s="1">
        <v>6</v>
      </c>
      <c r="I836" s="58" t="str">
        <f t="shared" si="12"/>
        <v>Ashdown Tree Limited</v>
      </c>
    </row>
    <row r="837" spans="3:9" ht="15.75" customHeight="1" x14ac:dyDescent="0.2">
      <c r="C837" s="1" t="s">
        <v>538</v>
      </c>
      <c r="D837" s="1" t="s">
        <v>334</v>
      </c>
      <c r="E837" s="1">
        <v>0.74</v>
      </c>
      <c r="F837" s="1">
        <v>15</v>
      </c>
      <c r="G837" s="1">
        <v>11</v>
      </c>
      <c r="I837" s="58" t="str">
        <f t="shared" si="12"/>
        <v>Ashdown Tree Limited</v>
      </c>
    </row>
    <row r="838" spans="3:9" ht="15.75" customHeight="1" x14ac:dyDescent="0.2">
      <c r="D838" s="1" t="s">
        <v>338</v>
      </c>
      <c r="E838" s="1">
        <v>0.4</v>
      </c>
      <c r="F838" s="1">
        <v>5</v>
      </c>
      <c r="G838" s="1">
        <v>2</v>
      </c>
      <c r="I838" s="58" t="str">
        <f t="shared" ref="I838:I901" si="13">IF(B838&lt;&gt;"",B838,I837)</f>
        <v>Ashdown Tree Limited</v>
      </c>
    </row>
    <row r="839" spans="3:9" ht="15.75" customHeight="1" x14ac:dyDescent="0.2">
      <c r="D839" s="1" t="s">
        <v>336</v>
      </c>
      <c r="E839" s="1">
        <v>0.84</v>
      </c>
      <c r="F839" s="1">
        <v>6</v>
      </c>
      <c r="G839" s="1">
        <v>5</v>
      </c>
      <c r="I839" s="58" t="str">
        <f t="shared" si="13"/>
        <v>Ashdown Tree Limited</v>
      </c>
    </row>
    <row r="840" spans="3:9" ht="15.75" customHeight="1" x14ac:dyDescent="0.2">
      <c r="D840" s="1" t="s">
        <v>337</v>
      </c>
      <c r="E840" s="1">
        <v>1</v>
      </c>
      <c r="F840" s="1">
        <v>4</v>
      </c>
      <c r="G840" s="1">
        <v>4</v>
      </c>
      <c r="I840" s="58" t="str">
        <f t="shared" si="13"/>
        <v>Ashdown Tree Limited</v>
      </c>
    </row>
    <row r="841" spans="3:9" ht="15.75" customHeight="1" x14ac:dyDescent="0.2">
      <c r="C841" s="1" t="s">
        <v>539</v>
      </c>
      <c r="D841" s="1" t="s">
        <v>334</v>
      </c>
      <c r="E841" s="1">
        <v>0.94</v>
      </c>
      <c r="F841" s="1">
        <v>15</v>
      </c>
      <c r="G841" s="1">
        <v>14</v>
      </c>
      <c r="I841" s="58" t="str">
        <f t="shared" si="13"/>
        <v>Ashdown Tree Limited</v>
      </c>
    </row>
    <row r="842" spans="3:9" ht="15.75" customHeight="1" x14ac:dyDescent="0.2">
      <c r="D842" s="1" t="s">
        <v>338</v>
      </c>
      <c r="E842" s="1">
        <v>0.8</v>
      </c>
      <c r="F842" s="1">
        <v>5</v>
      </c>
      <c r="G842" s="1">
        <v>4</v>
      </c>
      <c r="I842" s="58" t="str">
        <f t="shared" si="13"/>
        <v>Ashdown Tree Limited</v>
      </c>
    </row>
    <row r="843" spans="3:9" ht="15.75" customHeight="1" x14ac:dyDescent="0.2">
      <c r="D843" s="1" t="s">
        <v>336</v>
      </c>
      <c r="E843" s="1">
        <v>1</v>
      </c>
      <c r="F843" s="1">
        <v>6</v>
      </c>
      <c r="G843" s="1">
        <v>6</v>
      </c>
      <c r="I843" s="58" t="str">
        <f t="shared" si="13"/>
        <v>Ashdown Tree Limited</v>
      </c>
    </row>
    <row r="844" spans="3:9" ht="15.75" customHeight="1" x14ac:dyDescent="0.2">
      <c r="D844" s="1" t="s">
        <v>337</v>
      </c>
      <c r="E844" s="1">
        <v>1</v>
      </c>
      <c r="F844" s="1">
        <v>4</v>
      </c>
      <c r="G844" s="1">
        <v>4</v>
      </c>
      <c r="I844" s="58" t="str">
        <f t="shared" si="13"/>
        <v>Ashdown Tree Limited</v>
      </c>
    </row>
    <row r="845" spans="3:9" ht="15.75" customHeight="1" x14ac:dyDescent="0.2">
      <c r="C845" s="1" t="s">
        <v>540</v>
      </c>
      <c r="D845" s="1" t="s">
        <v>334</v>
      </c>
      <c r="E845" s="1">
        <v>0.95</v>
      </c>
      <c r="F845" s="1">
        <v>17</v>
      </c>
      <c r="G845" s="1">
        <v>16</v>
      </c>
      <c r="I845" s="58" t="str">
        <f t="shared" si="13"/>
        <v>Ashdown Tree Limited</v>
      </c>
    </row>
    <row r="846" spans="3:9" ht="15.75" customHeight="1" x14ac:dyDescent="0.2">
      <c r="D846" s="1" t="s">
        <v>340</v>
      </c>
      <c r="E846" s="1">
        <v>0.86</v>
      </c>
      <c r="F846" s="1">
        <v>7</v>
      </c>
      <c r="G846" s="1">
        <v>6</v>
      </c>
      <c r="I846" s="58" t="str">
        <f t="shared" si="13"/>
        <v>Ashdown Tree Limited</v>
      </c>
    </row>
    <row r="847" spans="3:9" ht="15.75" customHeight="1" x14ac:dyDescent="0.2">
      <c r="D847" s="1" t="s">
        <v>336</v>
      </c>
      <c r="E847" s="1">
        <v>1</v>
      </c>
      <c r="F847" s="1">
        <v>6</v>
      </c>
      <c r="G847" s="1">
        <v>6</v>
      </c>
      <c r="I847" s="58" t="str">
        <f t="shared" si="13"/>
        <v>Ashdown Tree Limited</v>
      </c>
    </row>
    <row r="848" spans="3:9" ht="15.75" customHeight="1" x14ac:dyDescent="0.2">
      <c r="D848" s="1" t="s">
        <v>337</v>
      </c>
      <c r="E848" s="1">
        <v>1</v>
      </c>
      <c r="F848" s="1">
        <v>4</v>
      </c>
      <c r="G848" s="1">
        <v>4</v>
      </c>
      <c r="I848" s="58" t="str">
        <f t="shared" si="13"/>
        <v>Ashdown Tree Limited</v>
      </c>
    </row>
    <row r="849" spans="2:9" ht="15.75" customHeight="1" x14ac:dyDescent="0.2">
      <c r="B849" s="1" t="s">
        <v>170</v>
      </c>
      <c r="C849" s="1" t="s">
        <v>334</v>
      </c>
      <c r="E849" s="1">
        <v>0.7</v>
      </c>
      <c r="F849" s="1">
        <v>98</v>
      </c>
      <c r="G849" s="1">
        <v>68</v>
      </c>
      <c r="H849" s="57">
        <v>44753</v>
      </c>
      <c r="I849" s="58" t="str">
        <f t="shared" si="13"/>
        <v>Mmtreescape Tree Services Ltd</v>
      </c>
    </row>
    <row r="850" spans="2:9" ht="15.75" customHeight="1" x14ac:dyDescent="0.2">
      <c r="C850" s="1" t="s">
        <v>541</v>
      </c>
      <c r="D850" s="1" t="s">
        <v>334</v>
      </c>
      <c r="E850" s="1">
        <v>0.2</v>
      </c>
      <c r="F850" s="1">
        <v>15</v>
      </c>
      <c r="G850" s="1">
        <v>3</v>
      </c>
      <c r="I850" s="58" t="str">
        <f t="shared" si="13"/>
        <v>Mmtreescape Tree Services Ltd</v>
      </c>
    </row>
    <row r="851" spans="2:9" ht="15.75" customHeight="1" x14ac:dyDescent="0.2">
      <c r="D851" s="1" t="s">
        <v>337</v>
      </c>
      <c r="E851" s="1">
        <v>0</v>
      </c>
      <c r="F851" s="1">
        <v>4</v>
      </c>
      <c r="G851" s="1">
        <v>0</v>
      </c>
      <c r="I851" s="58" t="str">
        <f t="shared" si="13"/>
        <v>Mmtreescape Tree Services Ltd</v>
      </c>
    </row>
    <row r="852" spans="2:9" ht="15.75" customHeight="1" x14ac:dyDescent="0.2">
      <c r="D852" s="1" t="s">
        <v>338</v>
      </c>
      <c r="E852" s="1">
        <v>0</v>
      </c>
      <c r="F852" s="1">
        <v>5</v>
      </c>
      <c r="G852" s="1">
        <v>0</v>
      </c>
      <c r="I852" s="58" t="str">
        <f t="shared" si="13"/>
        <v>Mmtreescape Tree Services Ltd</v>
      </c>
    </row>
    <row r="853" spans="2:9" ht="15.75" customHeight="1" x14ac:dyDescent="0.2">
      <c r="D853" s="1" t="s">
        <v>336</v>
      </c>
      <c r="E853" s="1">
        <v>0.5</v>
      </c>
      <c r="F853" s="1">
        <v>6</v>
      </c>
      <c r="G853" s="1">
        <v>3</v>
      </c>
      <c r="I853" s="58" t="str">
        <f t="shared" si="13"/>
        <v>Mmtreescape Tree Services Ltd</v>
      </c>
    </row>
    <row r="854" spans="2:9" ht="15.75" customHeight="1" x14ac:dyDescent="0.2">
      <c r="C854" s="1" t="s">
        <v>542</v>
      </c>
      <c r="D854" s="1" t="s">
        <v>334</v>
      </c>
      <c r="E854" s="1">
        <v>0.47</v>
      </c>
      <c r="F854" s="1">
        <v>15</v>
      </c>
      <c r="G854" s="1">
        <v>7</v>
      </c>
      <c r="I854" s="58" t="str">
        <f t="shared" si="13"/>
        <v>Mmtreescape Tree Services Ltd</v>
      </c>
    </row>
    <row r="855" spans="2:9" ht="15.75" customHeight="1" x14ac:dyDescent="0.2">
      <c r="D855" s="1" t="s">
        <v>337</v>
      </c>
      <c r="E855" s="1">
        <v>0.25</v>
      </c>
      <c r="F855" s="1">
        <v>4</v>
      </c>
      <c r="G855" s="1">
        <v>1</v>
      </c>
      <c r="I855" s="58" t="str">
        <f t="shared" si="13"/>
        <v>Mmtreescape Tree Services Ltd</v>
      </c>
    </row>
    <row r="856" spans="2:9" ht="15.75" customHeight="1" x14ac:dyDescent="0.2">
      <c r="D856" s="1" t="s">
        <v>338</v>
      </c>
      <c r="E856" s="1">
        <v>0.4</v>
      </c>
      <c r="F856" s="1">
        <v>5</v>
      </c>
      <c r="G856" s="1">
        <v>2</v>
      </c>
      <c r="I856" s="58" t="str">
        <f t="shared" si="13"/>
        <v>Mmtreescape Tree Services Ltd</v>
      </c>
    </row>
    <row r="857" spans="2:9" ht="15.75" customHeight="1" x14ac:dyDescent="0.2">
      <c r="D857" s="1" t="s">
        <v>336</v>
      </c>
      <c r="E857" s="1">
        <v>0.67</v>
      </c>
      <c r="F857" s="1">
        <v>6</v>
      </c>
      <c r="G857" s="1">
        <v>4</v>
      </c>
      <c r="I857" s="58" t="str">
        <f t="shared" si="13"/>
        <v>Mmtreescape Tree Services Ltd</v>
      </c>
    </row>
    <row r="858" spans="2:9" ht="15.75" customHeight="1" x14ac:dyDescent="0.2">
      <c r="C858" s="1" t="s">
        <v>543</v>
      </c>
      <c r="D858" s="1" t="s">
        <v>334</v>
      </c>
      <c r="E858" s="1">
        <v>0.6</v>
      </c>
      <c r="F858" s="1">
        <v>15</v>
      </c>
      <c r="G858" s="1">
        <v>9</v>
      </c>
      <c r="I858" s="58" t="str">
        <f t="shared" si="13"/>
        <v>Mmtreescape Tree Services Ltd</v>
      </c>
    </row>
    <row r="859" spans="2:9" ht="15.75" customHeight="1" x14ac:dyDescent="0.2">
      <c r="D859" s="1" t="s">
        <v>337</v>
      </c>
      <c r="E859" s="1">
        <v>0.25</v>
      </c>
      <c r="F859" s="1">
        <v>4</v>
      </c>
      <c r="G859" s="1">
        <v>1</v>
      </c>
      <c r="I859" s="58" t="str">
        <f t="shared" si="13"/>
        <v>Mmtreescape Tree Services Ltd</v>
      </c>
    </row>
    <row r="860" spans="2:9" ht="15.75" customHeight="1" x14ac:dyDescent="0.2">
      <c r="D860" s="1" t="s">
        <v>338</v>
      </c>
      <c r="E860" s="1">
        <v>0.4</v>
      </c>
      <c r="F860" s="1">
        <v>5</v>
      </c>
      <c r="G860" s="1">
        <v>2</v>
      </c>
      <c r="I860" s="58" t="str">
        <f t="shared" si="13"/>
        <v>Mmtreescape Tree Services Ltd</v>
      </c>
    </row>
    <row r="861" spans="2:9" ht="15.75" customHeight="1" x14ac:dyDescent="0.2">
      <c r="D861" s="1" t="s">
        <v>336</v>
      </c>
      <c r="E861" s="1">
        <v>1</v>
      </c>
      <c r="F861" s="1">
        <v>6</v>
      </c>
      <c r="G861" s="1">
        <v>6</v>
      </c>
      <c r="I861" s="58" t="str">
        <f t="shared" si="13"/>
        <v>Mmtreescape Tree Services Ltd</v>
      </c>
    </row>
    <row r="862" spans="2:9" ht="15.75" customHeight="1" x14ac:dyDescent="0.2">
      <c r="C862" s="1" t="s">
        <v>544</v>
      </c>
      <c r="D862" s="1" t="s">
        <v>334</v>
      </c>
      <c r="E862" s="1">
        <v>0.8</v>
      </c>
      <c r="F862" s="1">
        <v>15</v>
      </c>
      <c r="G862" s="1">
        <v>12</v>
      </c>
      <c r="I862" s="58" t="str">
        <f t="shared" si="13"/>
        <v>Mmtreescape Tree Services Ltd</v>
      </c>
    </row>
    <row r="863" spans="2:9" ht="15.75" customHeight="1" x14ac:dyDescent="0.2">
      <c r="D863" s="1" t="s">
        <v>336</v>
      </c>
      <c r="E863" s="1">
        <v>0.67</v>
      </c>
      <c r="F863" s="1">
        <v>6</v>
      </c>
      <c r="G863" s="1">
        <v>4</v>
      </c>
      <c r="I863" s="58" t="str">
        <f t="shared" si="13"/>
        <v>Mmtreescape Tree Services Ltd</v>
      </c>
    </row>
    <row r="864" spans="2:9" ht="15.75" customHeight="1" x14ac:dyDescent="0.2">
      <c r="D864" s="1" t="s">
        <v>337</v>
      </c>
      <c r="E864" s="1">
        <v>0.75</v>
      </c>
      <c r="F864" s="1">
        <v>4</v>
      </c>
      <c r="G864" s="1">
        <v>3</v>
      </c>
      <c r="I864" s="58" t="str">
        <f t="shared" si="13"/>
        <v>Mmtreescape Tree Services Ltd</v>
      </c>
    </row>
    <row r="865" spans="2:9" ht="15.75" customHeight="1" x14ac:dyDescent="0.2">
      <c r="D865" s="1" t="s">
        <v>338</v>
      </c>
      <c r="E865" s="1">
        <v>1</v>
      </c>
      <c r="F865" s="1">
        <v>5</v>
      </c>
      <c r="G865" s="1">
        <v>5</v>
      </c>
      <c r="I865" s="58" t="str">
        <f t="shared" si="13"/>
        <v>Mmtreescape Tree Services Ltd</v>
      </c>
    </row>
    <row r="866" spans="2:9" ht="15.75" customHeight="1" x14ac:dyDescent="0.2">
      <c r="C866" s="1" t="s">
        <v>545</v>
      </c>
      <c r="D866" s="1" t="s">
        <v>334</v>
      </c>
      <c r="E866" s="1">
        <v>0.95</v>
      </c>
      <c r="F866" s="1">
        <v>17</v>
      </c>
      <c r="G866" s="1">
        <v>16</v>
      </c>
      <c r="I866" s="58" t="str">
        <f t="shared" si="13"/>
        <v>Mmtreescape Tree Services Ltd</v>
      </c>
    </row>
    <row r="867" spans="2:9" ht="15.75" customHeight="1" x14ac:dyDescent="0.2">
      <c r="D867" s="1" t="s">
        <v>336</v>
      </c>
      <c r="E867" s="1">
        <v>0.84</v>
      </c>
      <c r="F867" s="1">
        <v>6</v>
      </c>
      <c r="G867" s="1">
        <v>5</v>
      </c>
      <c r="I867" s="58" t="str">
        <f t="shared" si="13"/>
        <v>Mmtreescape Tree Services Ltd</v>
      </c>
    </row>
    <row r="868" spans="2:9" ht="15.75" customHeight="1" x14ac:dyDescent="0.2">
      <c r="D868" s="1" t="s">
        <v>340</v>
      </c>
      <c r="E868" s="1">
        <v>1</v>
      </c>
      <c r="F868" s="1">
        <v>7</v>
      </c>
      <c r="G868" s="1">
        <v>7</v>
      </c>
      <c r="I868" s="58" t="str">
        <f t="shared" si="13"/>
        <v>Mmtreescape Tree Services Ltd</v>
      </c>
    </row>
    <row r="869" spans="2:9" ht="15.75" customHeight="1" x14ac:dyDescent="0.2">
      <c r="D869" s="1" t="s">
        <v>337</v>
      </c>
      <c r="E869" s="1">
        <v>1</v>
      </c>
      <c r="F869" s="1">
        <v>4</v>
      </c>
      <c r="G869" s="1">
        <v>4</v>
      </c>
      <c r="I869" s="58" t="str">
        <f t="shared" si="13"/>
        <v>Mmtreescape Tree Services Ltd</v>
      </c>
    </row>
    <row r="870" spans="2:9" ht="15.75" customHeight="1" x14ac:dyDescent="0.2">
      <c r="C870" s="1" t="s">
        <v>546</v>
      </c>
      <c r="D870" s="1" t="s">
        <v>334</v>
      </c>
      <c r="E870" s="1">
        <v>1</v>
      </c>
      <c r="F870" s="1">
        <v>17</v>
      </c>
      <c r="G870" s="1">
        <v>17</v>
      </c>
      <c r="I870" s="58" t="str">
        <f t="shared" si="13"/>
        <v>Mmtreescape Tree Services Ltd</v>
      </c>
    </row>
    <row r="871" spans="2:9" ht="15.75" customHeight="1" x14ac:dyDescent="0.2">
      <c r="D871" s="1" t="s">
        <v>340</v>
      </c>
      <c r="E871" s="1">
        <v>1</v>
      </c>
      <c r="F871" s="1">
        <v>7</v>
      </c>
      <c r="G871" s="1">
        <v>7</v>
      </c>
      <c r="I871" s="58" t="str">
        <f t="shared" si="13"/>
        <v>Mmtreescape Tree Services Ltd</v>
      </c>
    </row>
    <row r="872" spans="2:9" ht="15.75" customHeight="1" x14ac:dyDescent="0.2">
      <c r="D872" s="1" t="s">
        <v>336</v>
      </c>
      <c r="E872" s="1">
        <v>1</v>
      </c>
      <c r="F872" s="1">
        <v>6</v>
      </c>
      <c r="G872" s="1">
        <v>6</v>
      </c>
      <c r="I872" s="58" t="str">
        <f t="shared" si="13"/>
        <v>Mmtreescape Tree Services Ltd</v>
      </c>
    </row>
    <row r="873" spans="2:9" ht="15.75" customHeight="1" x14ac:dyDescent="0.2">
      <c r="D873" s="1" t="s">
        <v>337</v>
      </c>
      <c r="E873" s="1">
        <v>1</v>
      </c>
      <c r="F873" s="1">
        <v>4</v>
      </c>
      <c r="G873" s="1">
        <v>4</v>
      </c>
      <c r="I873" s="58" t="str">
        <f t="shared" si="13"/>
        <v>Mmtreescape Tree Services Ltd</v>
      </c>
    </row>
    <row r="874" spans="2:9" ht="15.75" customHeight="1" x14ac:dyDescent="0.2">
      <c r="C874" s="1" t="s">
        <v>170</v>
      </c>
      <c r="D874" s="1" t="s">
        <v>334</v>
      </c>
      <c r="E874" s="1">
        <v>1</v>
      </c>
      <c r="F874" s="1">
        <v>4</v>
      </c>
      <c r="G874" s="1">
        <v>4</v>
      </c>
      <c r="I874" s="58" t="str">
        <f t="shared" si="13"/>
        <v>Mmtreescape Tree Services Ltd</v>
      </c>
    </row>
    <row r="875" spans="2:9" ht="15.75" customHeight="1" x14ac:dyDescent="0.2">
      <c r="D875" s="1" t="s">
        <v>343</v>
      </c>
      <c r="E875" s="1">
        <v>1</v>
      </c>
      <c r="F875" s="1">
        <v>4</v>
      </c>
      <c r="G875" s="1">
        <v>4</v>
      </c>
      <c r="I875" s="58" t="str">
        <f t="shared" si="13"/>
        <v>Mmtreescape Tree Services Ltd</v>
      </c>
    </row>
    <row r="876" spans="2:9" ht="15.75" customHeight="1" x14ac:dyDescent="0.2">
      <c r="B876" s="1" t="s">
        <v>213</v>
      </c>
      <c r="C876" s="1" t="s">
        <v>334</v>
      </c>
      <c r="E876" s="1">
        <v>0.7</v>
      </c>
      <c r="F876" s="1">
        <v>36</v>
      </c>
      <c r="G876" s="1">
        <v>25</v>
      </c>
      <c r="H876" s="57">
        <v>46065</v>
      </c>
      <c r="I876" s="58" t="str">
        <f t="shared" si="13"/>
        <v>SJ Tree &amp; Security Maintenance</v>
      </c>
    </row>
    <row r="877" spans="2:9" ht="15.75" customHeight="1" x14ac:dyDescent="0.2">
      <c r="C877" s="1" t="s">
        <v>547</v>
      </c>
      <c r="D877" s="1" t="s">
        <v>334</v>
      </c>
      <c r="E877" s="1">
        <v>0.47</v>
      </c>
      <c r="F877" s="1">
        <v>15</v>
      </c>
      <c r="G877" s="1">
        <v>7</v>
      </c>
      <c r="I877" s="58" t="str">
        <f t="shared" si="13"/>
        <v>SJ Tree &amp; Security Maintenance</v>
      </c>
    </row>
    <row r="878" spans="2:9" ht="15.75" customHeight="1" x14ac:dyDescent="0.2">
      <c r="D878" s="1" t="s">
        <v>337</v>
      </c>
      <c r="E878" s="1">
        <v>0</v>
      </c>
      <c r="F878" s="1">
        <v>4</v>
      </c>
      <c r="G878" s="1">
        <v>0</v>
      </c>
      <c r="I878" s="58" t="str">
        <f t="shared" si="13"/>
        <v>SJ Tree &amp; Security Maintenance</v>
      </c>
    </row>
    <row r="879" spans="2:9" ht="15.75" customHeight="1" x14ac:dyDescent="0.2">
      <c r="D879" s="1" t="s">
        <v>338</v>
      </c>
      <c r="E879" s="1">
        <v>0.2</v>
      </c>
      <c r="F879" s="1">
        <v>5</v>
      </c>
      <c r="G879" s="1">
        <v>1</v>
      </c>
      <c r="I879" s="58" t="str">
        <f t="shared" si="13"/>
        <v>SJ Tree &amp; Security Maintenance</v>
      </c>
    </row>
    <row r="880" spans="2:9" ht="15.75" customHeight="1" x14ac:dyDescent="0.2">
      <c r="D880" s="1" t="s">
        <v>336</v>
      </c>
      <c r="E880" s="1">
        <v>1</v>
      </c>
      <c r="F880" s="1">
        <v>6</v>
      </c>
      <c r="G880" s="1">
        <v>6</v>
      </c>
      <c r="I880" s="58" t="str">
        <f t="shared" si="13"/>
        <v>SJ Tree &amp; Security Maintenance</v>
      </c>
    </row>
    <row r="881" spans="2:9" ht="15.75" customHeight="1" x14ac:dyDescent="0.2">
      <c r="C881" s="1" t="s">
        <v>548</v>
      </c>
      <c r="D881" s="1" t="s">
        <v>334</v>
      </c>
      <c r="E881" s="1">
        <v>0.83</v>
      </c>
      <c r="F881" s="1">
        <v>17</v>
      </c>
      <c r="G881" s="1">
        <v>14</v>
      </c>
      <c r="I881" s="58" t="str">
        <f t="shared" si="13"/>
        <v>SJ Tree &amp; Security Maintenance</v>
      </c>
    </row>
    <row r="882" spans="2:9" ht="15.75" customHeight="1" x14ac:dyDescent="0.2">
      <c r="D882" s="1" t="s">
        <v>337</v>
      </c>
      <c r="E882" s="1">
        <v>0.25</v>
      </c>
      <c r="F882" s="1">
        <v>4</v>
      </c>
      <c r="G882" s="1">
        <v>1</v>
      </c>
      <c r="I882" s="58" t="str">
        <f t="shared" si="13"/>
        <v>SJ Tree &amp; Security Maintenance</v>
      </c>
    </row>
    <row r="883" spans="2:9" ht="15.75" customHeight="1" x14ac:dyDescent="0.2">
      <c r="D883" s="1" t="s">
        <v>340</v>
      </c>
      <c r="E883" s="1">
        <v>1</v>
      </c>
      <c r="F883" s="1">
        <v>7</v>
      </c>
      <c r="G883" s="1">
        <v>7</v>
      </c>
      <c r="I883" s="58" t="str">
        <f t="shared" si="13"/>
        <v>SJ Tree &amp; Security Maintenance</v>
      </c>
    </row>
    <row r="884" spans="2:9" ht="15.75" customHeight="1" x14ac:dyDescent="0.2">
      <c r="D884" s="1" t="s">
        <v>336</v>
      </c>
      <c r="E884" s="1">
        <v>1</v>
      </c>
      <c r="F884" s="1">
        <v>6</v>
      </c>
      <c r="G884" s="1">
        <v>6</v>
      </c>
      <c r="I884" s="58" t="str">
        <f t="shared" si="13"/>
        <v>SJ Tree &amp; Security Maintenance</v>
      </c>
    </row>
    <row r="885" spans="2:9" ht="15.75" customHeight="1" x14ac:dyDescent="0.2">
      <c r="C885" s="1" t="s">
        <v>549</v>
      </c>
      <c r="D885" s="1" t="s">
        <v>334</v>
      </c>
      <c r="E885" s="1">
        <v>1</v>
      </c>
      <c r="F885" s="1">
        <v>4</v>
      </c>
      <c r="G885" s="1">
        <v>4</v>
      </c>
      <c r="I885" s="58" t="str">
        <f t="shared" si="13"/>
        <v>SJ Tree &amp; Security Maintenance</v>
      </c>
    </row>
    <row r="886" spans="2:9" ht="15.75" customHeight="1" x14ac:dyDescent="0.2">
      <c r="D886" s="1" t="s">
        <v>343</v>
      </c>
      <c r="E886" s="1">
        <v>1</v>
      </c>
      <c r="F886" s="1">
        <v>4</v>
      </c>
      <c r="G886" s="1">
        <v>4</v>
      </c>
      <c r="I886" s="58" t="str">
        <f t="shared" si="13"/>
        <v>SJ Tree &amp; Security Maintenance</v>
      </c>
    </row>
    <row r="887" spans="2:9" ht="15.75" customHeight="1" x14ac:dyDescent="0.2">
      <c r="B887" s="1" t="s">
        <v>158</v>
      </c>
      <c r="C887" s="1" t="s">
        <v>334</v>
      </c>
      <c r="E887" s="1">
        <v>0.71</v>
      </c>
      <c r="F887" s="1">
        <v>34</v>
      </c>
      <c r="G887" s="1">
        <v>24</v>
      </c>
      <c r="H887" s="57">
        <v>44210</v>
      </c>
      <c r="I887" s="58" t="str">
        <f t="shared" si="13"/>
        <v>EWS Tree Services Ltd</v>
      </c>
    </row>
    <row r="888" spans="2:9" ht="15.75" customHeight="1" x14ac:dyDescent="0.2">
      <c r="C888" s="1" t="s">
        <v>550</v>
      </c>
      <c r="D888" s="1" t="s">
        <v>334</v>
      </c>
      <c r="E888" s="1">
        <v>0.54</v>
      </c>
      <c r="F888" s="1">
        <v>15</v>
      </c>
      <c r="G888" s="1">
        <v>8</v>
      </c>
      <c r="I888" s="58" t="str">
        <f t="shared" si="13"/>
        <v>EWS Tree Services Ltd</v>
      </c>
    </row>
    <row r="889" spans="2:9" ht="15.75" customHeight="1" x14ac:dyDescent="0.2">
      <c r="D889" s="1" t="s">
        <v>337</v>
      </c>
      <c r="E889" s="1">
        <v>0</v>
      </c>
      <c r="F889" s="1">
        <v>4</v>
      </c>
      <c r="G889" s="1">
        <v>0</v>
      </c>
      <c r="I889" s="58" t="str">
        <f t="shared" si="13"/>
        <v>EWS Tree Services Ltd</v>
      </c>
    </row>
    <row r="890" spans="2:9" ht="15.75" customHeight="1" x14ac:dyDescent="0.2">
      <c r="D890" s="1" t="s">
        <v>338</v>
      </c>
      <c r="E890" s="1">
        <v>0.6</v>
      </c>
      <c r="F890" s="1">
        <v>5</v>
      </c>
      <c r="G890" s="1">
        <v>3</v>
      </c>
      <c r="I890" s="58" t="str">
        <f t="shared" si="13"/>
        <v>EWS Tree Services Ltd</v>
      </c>
    </row>
    <row r="891" spans="2:9" ht="15.75" customHeight="1" x14ac:dyDescent="0.2">
      <c r="D891" s="1" t="s">
        <v>336</v>
      </c>
      <c r="E891" s="1">
        <v>0.84</v>
      </c>
      <c r="F891" s="1">
        <v>6</v>
      </c>
      <c r="G891" s="1">
        <v>5</v>
      </c>
      <c r="I891" s="58" t="str">
        <f t="shared" si="13"/>
        <v>EWS Tree Services Ltd</v>
      </c>
    </row>
    <row r="892" spans="2:9" ht="15.75" customHeight="1" x14ac:dyDescent="0.2">
      <c r="C892" s="1" t="s">
        <v>551</v>
      </c>
      <c r="D892" s="1" t="s">
        <v>334</v>
      </c>
      <c r="E892" s="1">
        <v>0.8</v>
      </c>
      <c r="F892" s="1">
        <v>15</v>
      </c>
      <c r="G892" s="1">
        <v>12</v>
      </c>
      <c r="I892" s="58" t="str">
        <f t="shared" si="13"/>
        <v>EWS Tree Services Ltd</v>
      </c>
    </row>
    <row r="893" spans="2:9" ht="15.75" customHeight="1" x14ac:dyDescent="0.2">
      <c r="D893" s="1" t="s">
        <v>337</v>
      </c>
      <c r="E893" s="1">
        <v>0.75</v>
      </c>
      <c r="F893" s="1">
        <v>4</v>
      </c>
      <c r="G893" s="1">
        <v>3</v>
      </c>
      <c r="I893" s="58" t="str">
        <f t="shared" si="13"/>
        <v>EWS Tree Services Ltd</v>
      </c>
    </row>
    <row r="894" spans="2:9" ht="15.75" customHeight="1" x14ac:dyDescent="0.2">
      <c r="D894" s="1" t="s">
        <v>338</v>
      </c>
      <c r="E894" s="1">
        <v>0.8</v>
      </c>
      <c r="F894" s="1">
        <v>5</v>
      </c>
      <c r="G894" s="1">
        <v>4</v>
      </c>
      <c r="I894" s="58" t="str">
        <f t="shared" si="13"/>
        <v>EWS Tree Services Ltd</v>
      </c>
    </row>
    <row r="895" spans="2:9" ht="15.75" customHeight="1" x14ac:dyDescent="0.2">
      <c r="D895" s="1" t="s">
        <v>336</v>
      </c>
      <c r="E895" s="1">
        <v>0.84</v>
      </c>
      <c r="F895" s="1">
        <v>6</v>
      </c>
      <c r="G895" s="1">
        <v>5</v>
      </c>
      <c r="I895" s="58" t="str">
        <f t="shared" si="13"/>
        <v>EWS Tree Services Ltd</v>
      </c>
    </row>
    <row r="896" spans="2:9" ht="15.75" customHeight="1" x14ac:dyDescent="0.2">
      <c r="C896" s="1" t="s">
        <v>158</v>
      </c>
      <c r="D896" s="1" t="s">
        <v>334</v>
      </c>
      <c r="E896" s="1">
        <v>1</v>
      </c>
      <c r="F896" s="1">
        <v>4</v>
      </c>
      <c r="G896" s="1">
        <v>4</v>
      </c>
      <c r="I896" s="58" t="str">
        <f t="shared" si="13"/>
        <v>EWS Tree Services Ltd</v>
      </c>
    </row>
    <row r="897" spans="2:9" ht="15.75" customHeight="1" x14ac:dyDescent="0.2">
      <c r="D897" s="1" t="s">
        <v>343</v>
      </c>
      <c r="E897" s="1">
        <v>1</v>
      </c>
      <c r="F897" s="1">
        <v>4</v>
      </c>
      <c r="G897" s="1">
        <v>4</v>
      </c>
      <c r="I897" s="58" t="str">
        <f t="shared" si="13"/>
        <v>EWS Tree Services Ltd</v>
      </c>
    </row>
    <row r="898" spans="2:9" ht="15.75" customHeight="1" x14ac:dyDescent="0.2">
      <c r="B898" s="1" t="s">
        <v>114</v>
      </c>
      <c r="C898" s="1" t="s">
        <v>334</v>
      </c>
      <c r="E898" s="1">
        <v>0.72</v>
      </c>
      <c r="F898" s="1">
        <v>121</v>
      </c>
      <c r="G898" s="1">
        <v>86</v>
      </c>
      <c r="H898" s="57">
        <v>45281</v>
      </c>
      <c r="I898" s="58" t="str">
        <f t="shared" si="13"/>
        <v>Housman Tree Services Ltd</v>
      </c>
    </row>
    <row r="899" spans="2:9" ht="15.75" customHeight="1" x14ac:dyDescent="0.2">
      <c r="C899" s="1" t="s">
        <v>552</v>
      </c>
      <c r="D899" s="1" t="s">
        <v>334</v>
      </c>
      <c r="E899" s="1">
        <v>0.3</v>
      </c>
      <c r="F899" s="1">
        <v>17</v>
      </c>
      <c r="G899" s="1">
        <v>5</v>
      </c>
      <c r="I899" s="58" t="str">
        <f t="shared" si="13"/>
        <v>Housman Tree Services Ltd</v>
      </c>
    </row>
    <row r="900" spans="2:9" ht="15.75" customHeight="1" x14ac:dyDescent="0.2">
      <c r="D900" s="1" t="s">
        <v>336</v>
      </c>
      <c r="E900" s="1">
        <v>0</v>
      </c>
      <c r="F900" s="1">
        <v>6</v>
      </c>
      <c r="G900" s="1">
        <v>0</v>
      </c>
      <c r="I900" s="58" t="str">
        <f t="shared" si="13"/>
        <v>Housman Tree Services Ltd</v>
      </c>
    </row>
    <row r="901" spans="2:9" ht="15.75" customHeight="1" x14ac:dyDescent="0.2">
      <c r="D901" s="1" t="s">
        <v>340</v>
      </c>
      <c r="E901" s="1">
        <v>0.43</v>
      </c>
      <c r="F901" s="1">
        <v>7</v>
      </c>
      <c r="G901" s="1">
        <v>3</v>
      </c>
      <c r="I901" s="58" t="str">
        <f t="shared" si="13"/>
        <v>Housman Tree Services Ltd</v>
      </c>
    </row>
    <row r="902" spans="2:9" ht="15.75" customHeight="1" x14ac:dyDescent="0.2">
      <c r="D902" s="1" t="s">
        <v>337</v>
      </c>
      <c r="E902" s="1">
        <v>0.5</v>
      </c>
      <c r="F902" s="1">
        <v>4</v>
      </c>
      <c r="G902" s="1">
        <v>2</v>
      </c>
      <c r="I902" s="58" t="str">
        <f t="shared" ref="I902:I965" si="14">IF(B902&lt;&gt;"",B902,I901)</f>
        <v>Housman Tree Services Ltd</v>
      </c>
    </row>
    <row r="903" spans="2:9" ht="15.75" customHeight="1" x14ac:dyDescent="0.2">
      <c r="C903" s="1" t="s">
        <v>553</v>
      </c>
      <c r="D903" s="1" t="s">
        <v>334</v>
      </c>
      <c r="E903" s="1">
        <v>0.47</v>
      </c>
      <c r="F903" s="1">
        <v>15</v>
      </c>
      <c r="G903" s="1">
        <v>7</v>
      </c>
      <c r="I903" s="58" t="str">
        <f t="shared" si="14"/>
        <v>Housman Tree Services Ltd</v>
      </c>
    </row>
    <row r="904" spans="2:9" ht="15.75" customHeight="1" x14ac:dyDescent="0.2">
      <c r="D904" s="1" t="s">
        <v>336</v>
      </c>
      <c r="E904" s="1">
        <v>0</v>
      </c>
      <c r="F904" s="1">
        <v>6</v>
      </c>
      <c r="G904" s="1">
        <v>0</v>
      </c>
      <c r="I904" s="58" t="str">
        <f t="shared" si="14"/>
        <v>Housman Tree Services Ltd</v>
      </c>
    </row>
    <row r="905" spans="2:9" ht="15.75" customHeight="1" x14ac:dyDescent="0.2">
      <c r="D905" s="1" t="s">
        <v>337</v>
      </c>
      <c r="E905" s="1">
        <v>0.75</v>
      </c>
      <c r="F905" s="1">
        <v>4</v>
      </c>
      <c r="G905" s="1">
        <v>3</v>
      </c>
      <c r="I905" s="58" t="str">
        <f t="shared" si="14"/>
        <v>Housman Tree Services Ltd</v>
      </c>
    </row>
    <row r="906" spans="2:9" ht="15.75" customHeight="1" x14ac:dyDescent="0.2">
      <c r="D906" s="1" t="s">
        <v>338</v>
      </c>
      <c r="E906" s="1">
        <v>0.8</v>
      </c>
      <c r="F906" s="1">
        <v>5</v>
      </c>
      <c r="G906" s="1">
        <v>4</v>
      </c>
      <c r="I906" s="58" t="str">
        <f t="shared" si="14"/>
        <v>Housman Tree Services Ltd</v>
      </c>
    </row>
    <row r="907" spans="2:9" ht="15.75" customHeight="1" x14ac:dyDescent="0.2">
      <c r="C907" s="1" t="s">
        <v>554</v>
      </c>
      <c r="D907" s="1" t="s">
        <v>334</v>
      </c>
      <c r="E907" s="1">
        <v>0.65</v>
      </c>
      <c r="F907" s="1">
        <v>17</v>
      </c>
      <c r="G907" s="1">
        <v>11</v>
      </c>
      <c r="I907" s="58" t="str">
        <f t="shared" si="14"/>
        <v>Housman Tree Services Ltd</v>
      </c>
    </row>
    <row r="908" spans="2:9" ht="15.75" customHeight="1" x14ac:dyDescent="0.2">
      <c r="D908" s="1" t="s">
        <v>340</v>
      </c>
      <c r="E908" s="1">
        <v>0.57999999999999996</v>
      </c>
      <c r="F908" s="1">
        <v>7</v>
      </c>
      <c r="G908" s="1">
        <v>4</v>
      </c>
      <c r="I908" s="58" t="str">
        <f t="shared" si="14"/>
        <v>Housman Tree Services Ltd</v>
      </c>
    </row>
    <row r="909" spans="2:9" ht="15.75" customHeight="1" x14ac:dyDescent="0.2">
      <c r="D909" s="1" t="s">
        <v>336</v>
      </c>
      <c r="E909" s="1">
        <v>0.67</v>
      </c>
      <c r="F909" s="1">
        <v>6</v>
      </c>
      <c r="G909" s="1">
        <v>4</v>
      </c>
      <c r="I909" s="58" t="str">
        <f t="shared" si="14"/>
        <v>Housman Tree Services Ltd</v>
      </c>
    </row>
    <row r="910" spans="2:9" ht="15.75" customHeight="1" x14ac:dyDescent="0.2">
      <c r="D910" s="1" t="s">
        <v>337</v>
      </c>
      <c r="E910" s="1">
        <v>0.75</v>
      </c>
      <c r="F910" s="1">
        <v>4</v>
      </c>
      <c r="G910" s="1">
        <v>3</v>
      </c>
      <c r="I910" s="58" t="str">
        <f t="shared" si="14"/>
        <v>Housman Tree Services Ltd</v>
      </c>
    </row>
    <row r="911" spans="2:9" ht="15.75" customHeight="1" x14ac:dyDescent="0.2">
      <c r="C911" s="1" t="s">
        <v>555</v>
      </c>
      <c r="D911" s="1" t="s">
        <v>334</v>
      </c>
      <c r="E911" s="1">
        <v>0.71</v>
      </c>
      <c r="F911" s="1">
        <v>17</v>
      </c>
      <c r="G911" s="1">
        <v>12</v>
      </c>
      <c r="I911" s="58" t="str">
        <f t="shared" si="14"/>
        <v>Housman Tree Services Ltd</v>
      </c>
    </row>
    <row r="912" spans="2:9" ht="15.75" customHeight="1" x14ac:dyDescent="0.2">
      <c r="D912" s="1" t="s">
        <v>337</v>
      </c>
      <c r="E912" s="1">
        <v>0.5</v>
      </c>
      <c r="F912" s="1">
        <v>4</v>
      </c>
      <c r="G912" s="1">
        <v>2</v>
      </c>
      <c r="I912" s="58" t="str">
        <f t="shared" si="14"/>
        <v>Housman Tree Services Ltd</v>
      </c>
    </row>
    <row r="913" spans="3:9" ht="15.75" customHeight="1" x14ac:dyDescent="0.2">
      <c r="D913" s="1" t="s">
        <v>336</v>
      </c>
      <c r="E913" s="1">
        <v>0.67</v>
      </c>
      <c r="F913" s="1">
        <v>6</v>
      </c>
      <c r="G913" s="1">
        <v>4</v>
      </c>
      <c r="I913" s="58" t="str">
        <f t="shared" si="14"/>
        <v>Housman Tree Services Ltd</v>
      </c>
    </row>
    <row r="914" spans="3:9" ht="15.75" customHeight="1" x14ac:dyDescent="0.2">
      <c r="D914" s="1" t="s">
        <v>340</v>
      </c>
      <c r="E914" s="1">
        <v>0.86</v>
      </c>
      <c r="F914" s="1">
        <v>7</v>
      </c>
      <c r="G914" s="1">
        <v>6</v>
      </c>
      <c r="I914" s="58" t="str">
        <f t="shared" si="14"/>
        <v>Housman Tree Services Ltd</v>
      </c>
    </row>
    <row r="915" spans="3:9" ht="15.75" customHeight="1" x14ac:dyDescent="0.2">
      <c r="C915" s="1" t="s">
        <v>556</v>
      </c>
      <c r="D915" s="1" t="s">
        <v>334</v>
      </c>
      <c r="E915" s="1">
        <v>0.83</v>
      </c>
      <c r="F915" s="1">
        <v>17</v>
      </c>
      <c r="G915" s="1">
        <v>14</v>
      </c>
      <c r="I915" s="58" t="str">
        <f t="shared" si="14"/>
        <v>Housman Tree Services Ltd</v>
      </c>
    </row>
    <row r="916" spans="3:9" ht="15.75" customHeight="1" x14ac:dyDescent="0.2">
      <c r="D916" s="1" t="s">
        <v>336</v>
      </c>
      <c r="E916" s="1">
        <v>0.67</v>
      </c>
      <c r="F916" s="1">
        <v>6</v>
      </c>
      <c r="G916" s="1">
        <v>4</v>
      </c>
      <c r="I916" s="58" t="str">
        <f t="shared" si="14"/>
        <v>Housman Tree Services Ltd</v>
      </c>
    </row>
    <row r="917" spans="3:9" ht="15.75" customHeight="1" x14ac:dyDescent="0.2">
      <c r="D917" s="1" t="s">
        <v>340</v>
      </c>
      <c r="E917" s="1">
        <v>0.86</v>
      </c>
      <c r="F917" s="1">
        <v>7</v>
      </c>
      <c r="G917" s="1">
        <v>6</v>
      </c>
      <c r="I917" s="58" t="str">
        <f t="shared" si="14"/>
        <v>Housman Tree Services Ltd</v>
      </c>
    </row>
    <row r="918" spans="3:9" ht="15.75" customHeight="1" x14ac:dyDescent="0.2">
      <c r="D918" s="1" t="s">
        <v>337</v>
      </c>
      <c r="E918" s="1">
        <v>1</v>
      </c>
      <c r="F918" s="1">
        <v>4</v>
      </c>
      <c r="G918" s="1">
        <v>4</v>
      </c>
      <c r="I918" s="58" t="str">
        <f t="shared" si="14"/>
        <v>Housman Tree Services Ltd</v>
      </c>
    </row>
    <row r="919" spans="3:9" ht="15.75" customHeight="1" x14ac:dyDescent="0.2">
      <c r="C919" s="1" t="s">
        <v>557</v>
      </c>
      <c r="D919" s="1" t="s">
        <v>334</v>
      </c>
      <c r="E919" s="1">
        <v>0.95</v>
      </c>
      <c r="F919" s="1">
        <v>17</v>
      </c>
      <c r="G919" s="1">
        <v>16</v>
      </c>
      <c r="I919" s="58" t="str">
        <f t="shared" si="14"/>
        <v>Housman Tree Services Ltd</v>
      </c>
    </row>
    <row r="920" spans="3:9" ht="15.75" customHeight="1" x14ac:dyDescent="0.2">
      <c r="D920" s="1" t="s">
        <v>336</v>
      </c>
      <c r="E920" s="1">
        <v>0.84</v>
      </c>
      <c r="F920" s="1">
        <v>6</v>
      </c>
      <c r="G920" s="1">
        <v>5</v>
      </c>
      <c r="I920" s="58" t="str">
        <f t="shared" si="14"/>
        <v>Housman Tree Services Ltd</v>
      </c>
    </row>
    <row r="921" spans="3:9" ht="15.75" customHeight="1" x14ac:dyDescent="0.2">
      <c r="D921" s="1" t="s">
        <v>340</v>
      </c>
      <c r="E921" s="1">
        <v>1</v>
      </c>
      <c r="F921" s="1">
        <v>7</v>
      </c>
      <c r="G921" s="1">
        <v>7</v>
      </c>
      <c r="I921" s="58" t="str">
        <f t="shared" si="14"/>
        <v>Housman Tree Services Ltd</v>
      </c>
    </row>
    <row r="922" spans="3:9" ht="15.75" customHeight="1" x14ac:dyDescent="0.2">
      <c r="D922" s="1" t="s">
        <v>337</v>
      </c>
      <c r="E922" s="1">
        <v>1</v>
      </c>
      <c r="F922" s="1">
        <v>4</v>
      </c>
      <c r="G922" s="1">
        <v>4</v>
      </c>
      <c r="I922" s="58" t="str">
        <f t="shared" si="14"/>
        <v>Housman Tree Services Ltd</v>
      </c>
    </row>
    <row r="923" spans="3:9" ht="15.75" customHeight="1" x14ac:dyDescent="0.2">
      <c r="C923" s="1" t="s">
        <v>558</v>
      </c>
      <c r="D923" s="1" t="s">
        <v>334</v>
      </c>
      <c r="E923" s="1">
        <v>1</v>
      </c>
      <c r="F923" s="1">
        <v>4</v>
      </c>
      <c r="G923" s="1">
        <v>4</v>
      </c>
      <c r="I923" s="58" t="str">
        <f t="shared" si="14"/>
        <v>Housman Tree Services Ltd</v>
      </c>
    </row>
    <row r="924" spans="3:9" ht="15.75" customHeight="1" x14ac:dyDescent="0.2">
      <c r="D924" s="1" t="s">
        <v>343</v>
      </c>
      <c r="E924" s="1">
        <v>1</v>
      </c>
      <c r="F924" s="1">
        <v>4</v>
      </c>
      <c r="G924" s="1">
        <v>4</v>
      </c>
      <c r="I924" s="58" t="str">
        <f t="shared" si="14"/>
        <v>Housman Tree Services Ltd</v>
      </c>
    </row>
    <row r="925" spans="3:9" ht="15.75" customHeight="1" x14ac:dyDescent="0.2">
      <c r="C925" s="1" t="s">
        <v>559</v>
      </c>
      <c r="D925" s="1" t="s">
        <v>334</v>
      </c>
      <c r="E925" s="1">
        <v>1</v>
      </c>
      <c r="F925" s="1">
        <v>17</v>
      </c>
      <c r="G925" s="1">
        <v>17</v>
      </c>
      <c r="I925" s="58" t="str">
        <f t="shared" si="14"/>
        <v>Housman Tree Services Ltd</v>
      </c>
    </row>
    <row r="926" spans="3:9" ht="15.75" customHeight="1" x14ac:dyDescent="0.2">
      <c r="D926" s="1" t="s">
        <v>340</v>
      </c>
      <c r="E926" s="1">
        <v>1</v>
      </c>
      <c r="F926" s="1">
        <v>7</v>
      </c>
      <c r="G926" s="1">
        <v>7</v>
      </c>
      <c r="I926" s="58" t="str">
        <f t="shared" si="14"/>
        <v>Housman Tree Services Ltd</v>
      </c>
    </row>
    <row r="927" spans="3:9" ht="15.75" customHeight="1" x14ac:dyDescent="0.2">
      <c r="D927" s="1" t="s">
        <v>336</v>
      </c>
      <c r="E927" s="1">
        <v>1</v>
      </c>
      <c r="F927" s="1">
        <v>6</v>
      </c>
      <c r="G927" s="1">
        <v>6</v>
      </c>
      <c r="I927" s="58" t="str">
        <f t="shared" si="14"/>
        <v>Housman Tree Services Ltd</v>
      </c>
    </row>
    <row r="928" spans="3:9" ht="15.75" customHeight="1" x14ac:dyDescent="0.2">
      <c r="D928" s="1" t="s">
        <v>337</v>
      </c>
      <c r="E928" s="1">
        <v>1</v>
      </c>
      <c r="F928" s="1">
        <v>4</v>
      </c>
      <c r="G928" s="1">
        <v>4</v>
      </c>
      <c r="I928" s="58" t="str">
        <f t="shared" si="14"/>
        <v>Housman Tree Services Ltd</v>
      </c>
    </row>
    <row r="929" spans="2:9" ht="15.75" customHeight="1" x14ac:dyDescent="0.2">
      <c r="B929" s="1" t="s">
        <v>100</v>
      </c>
      <c r="C929" s="1" t="s">
        <v>334</v>
      </c>
      <c r="E929" s="1">
        <v>0.75</v>
      </c>
      <c r="F929" s="1">
        <v>87</v>
      </c>
      <c r="G929" s="1">
        <v>65</v>
      </c>
      <c r="H929" s="57">
        <v>44740</v>
      </c>
      <c r="I929" s="58" t="str">
        <f t="shared" si="14"/>
        <v>Brinksworth Tree Services Ltd</v>
      </c>
    </row>
    <row r="930" spans="2:9" ht="15.75" customHeight="1" x14ac:dyDescent="0.2">
      <c r="C930" s="1" t="s">
        <v>560</v>
      </c>
      <c r="D930" s="1" t="s">
        <v>334</v>
      </c>
      <c r="E930" s="1">
        <v>0.53</v>
      </c>
      <c r="F930" s="1">
        <v>17</v>
      </c>
      <c r="G930" s="1">
        <v>9</v>
      </c>
      <c r="I930" s="58" t="str">
        <f t="shared" si="14"/>
        <v>Brinksworth Tree Services Ltd</v>
      </c>
    </row>
    <row r="931" spans="2:9" ht="15.75" customHeight="1" x14ac:dyDescent="0.2">
      <c r="D931" s="1" t="s">
        <v>337</v>
      </c>
      <c r="E931" s="1">
        <v>0.25</v>
      </c>
      <c r="F931" s="1">
        <v>4</v>
      </c>
      <c r="G931" s="1">
        <v>1</v>
      </c>
      <c r="I931" s="58" t="str">
        <f t="shared" si="14"/>
        <v>Brinksworth Tree Services Ltd</v>
      </c>
    </row>
    <row r="932" spans="2:9" ht="15.75" customHeight="1" x14ac:dyDescent="0.2">
      <c r="D932" s="1" t="s">
        <v>340</v>
      </c>
      <c r="E932" s="1">
        <v>0.57999999999999996</v>
      </c>
      <c r="F932" s="1">
        <v>7</v>
      </c>
      <c r="G932" s="1">
        <v>4</v>
      </c>
      <c r="I932" s="58" t="str">
        <f t="shared" si="14"/>
        <v>Brinksworth Tree Services Ltd</v>
      </c>
    </row>
    <row r="933" spans="2:9" ht="15.75" customHeight="1" x14ac:dyDescent="0.2">
      <c r="D933" s="1" t="s">
        <v>336</v>
      </c>
      <c r="E933" s="1">
        <v>0.67</v>
      </c>
      <c r="F933" s="1">
        <v>6</v>
      </c>
      <c r="G933" s="1">
        <v>4</v>
      </c>
      <c r="I933" s="58" t="str">
        <f t="shared" si="14"/>
        <v>Brinksworth Tree Services Ltd</v>
      </c>
    </row>
    <row r="934" spans="2:9" ht="15.75" customHeight="1" x14ac:dyDescent="0.2">
      <c r="C934" s="1" t="s">
        <v>561</v>
      </c>
      <c r="D934" s="1" t="s">
        <v>334</v>
      </c>
      <c r="E934" s="1">
        <v>0.71</v>
      </c>
      <c r="F934" s="1">
        <v>17</v>
      </c>
      <c r="G934" s="1">
        <v>12</v>
      </c>
      <c r="I934" s="58" t="str">
        <f t="shared" si="14"/>
        <v>Brinksworth Tree Services Ltd</v>
      </c>
    </row>
    <row r="935" spans="2:9" ht="15.75" customHeight="1" x14ac:dyDescent="0.2">
      <c r="D935" s="1" t="s">
        <v>340</v>
      </c>
      <c r="E935" s="1">
        <v>0.43</v>
      </c>
      <c r="F935" s="1">
        <v>7</v>
      </c>
      <c r="G935" s="1">
        <v>3</v>
      </c>
      <c r="I935" s="58" t="str">
        <f t="shared" si="14"/>
        <v>Brinksworth Tree Services Ltd</v>
      </c>
    </row>
    <row r="936" spans="2:9" ht="15.75" customHeight="1" x14ac:dyDescent="0.2">
      <c r="D936" s="1" t="s">
        <v>337</v>
      </c>
      <c r="E936" s="1">
        <v>0.75</v>
      </c>
      <c r="F936" s="1">
        <v>4</v>
      </c>
      <c r="G936" s="1">
        <v>3</v>
      </c>
      <c r="I936" s="58" t="str">
        <f t="shared" si="14"/>
        <v>Brinksworth Tree Services Ltd</v>
      </c>
    </row>
    <row r="937" spans="2:9" ht="15.75" customHeight="1" x14ac:dyDescent="0.2">
      <c r="D937" s="1" t="s">
        <v>336</v>
      </c>
      <c r="E937" s="1">
        <v>1</v>
      </c>
      <c r="F937" s="1">
        <v>6</v>
      </c>
      <c r="G937" s="1">
        <v>6</v>
      </c>
      <c r="I937" s="58" t="str">
        <f t="shared" si="14"/>
        <v>Brinksworth Tree Services Ltd</v>
      </c>
    </row>
    <row r="938" spans="2:9" ht="15.75" customHeight="1" x14ac:dyDescent="0.2">
      <c r="C938" s="1" t="s">
        <v>562</v>
      </c>
      <c r="D938" s="1" t="s">
        <v>334</v>
      </c>
      <c r="E938" s="1">
        <v>0.77</v>
      </c>
      <c r="F938" s="1">
        <v>17</v>
      </c>
      <c r="G938" s="1">
        <v>13</v>
      </c>
      <c r="I938" s="58" t="str">
        <f t="shared" si="14"/>
        <v>Brinksworth Tree Services Ltd</v>
      </c>
    </row>
    <row r="939" spans="2:9" ht="15.75" customHeight="1" x14ac:dyDescent="0.2">
      <c r="D939" s="1" t="s">
        <v>340</v>
      </c>
      <c r="E939" s="1">
        <v>0.72</v>
      </c>
      <c r="F939" s="1">
        <v>7</v>
      </c>
      <c r="G939" s="1">
        <v>5</v>
      </c>
      <c r="I939" s="58" t="str">
        <f t="shared" si="14"/>
        <v>Brinksworth Tree Services Ltd</v>
      </c>
    </row>
    <row r="940" spans="2:9" ht="15.75" customHeight="1" x14ac:dyDescent="0.2">
      <c r="D940" s="1" t="s">
        <v>337</v>
      </c>
      <c r="E940" s="1">
        <v>0.75</v>
      </c>
      <c r="F940" s="1">
        <v>4</v>
      </c>
      <c r="G940" s="1">
        <v>3</v>
      </c>
      <c r="I940" s="58" t="str">
        <f t="shared" si="14"/>
        <v>Brinksworth Tree Services Ltd</v>
      </c>
    </row>
    <row r="941" spans="2:9" ht="15.75" customHeight="1" x14ac:dyDescent="0.2">
      <c r="D941" s="1" t="s">
        <v>336</v>
      </c>
      <c r="E941" s="1">
        <v>0.84</v>
      </c>
      <c r="F941" s="1">
        <v>6</v>
      </c>
      <c r="G941" s="1">
        <v>5</v>
      </c>
      <c r="I941" s="58" t="str">
        <f t="shared" si="14"/>
        <v>Brinksworth Tree Services Ltd</v>
      </c>
    </row>
    <row r="942" spans="2:9" ht="15.75" customHeight="1" x14ac:dyDescent="0.2">
      <c r="C942" s="1" t="s">
        <v>563</v>
      </c>
      <c r="D942" s="1" t="s">
        <v>334</v>
      </c>
      <c r="E942" s="1">
        <v>0.8</v>
      </c>
      <c r="F942" s="1">
        <v>15</v>
      </c>
      <c r="G942" s="1">
        <v>12</v>
      </c>
      <c r="I942" s="58" t="str">
        <f t="shared" si="14"/>
        <v>Brinksworth Tree Services Ltd</v>
      </c>
    </row>
    <row r="943" spans="2:9" ht="15.75" customHeight="1" x14ac:dyDescent="0.2">
      <c r="D943" s="1" t="s">
        <v>338</v>
      </c>
      <c r="E943" s="1">
        <v>0.6</v>
      </c>
      <c r="F943" s="1">
        <v>5</v>
      </c>
      <c r="G943" s="1">
        <v>3</v>
      </c>
      <c r="I943" s="58" t="str">
        <f t="shared" si="14"/>
        <v>Brinksworth Tree Services Ltd</v>
      </c>
    </row>
    <row r="944" spans="2:9" ht="15.75" customHeight="1" x14ac:dyDescent="0.2">
      <c r="D944" s="1" t="s">
        <v>337</v>
      </c>
      <c r="E944" s="1">
        <v>0.75</v>
      </c>
      <c r="F944" s="1">
        <v>4</v>
      </c>
      <c r="G944" s="1">
        <v>3</v>
      </c>
      <c r="I944" s="58" t="str">
        <f t="shared" si="14"/>
        <v>Brinksworth Tree Services Ltd</v>
      </c>
    </row>
    <row r="945" spans="2:9" ht="15.75" customHeight="1" x14ac:dyDescent="0.2">
      <c r="D945" s="1" t="s">
        <v>336</v>
      </c>
      <c r="E945" s="1">
        <v>1</v>
      </c>
      <c r="F945" s="1">
        <v>6</v>
      </c>
      <c r="G945" s="1">
        <v>6</v>
      </c>
      <c r="I945" s="58" t="str">
        <f t="shared" si="14"/>
        <v>Brinksworth Tree Services Ltd</v>
      </c>
    </row>
    <row r="946" spans="2:9" ht="15.75" customHeight="1" x14ac:dyDescent="0.2">
      <c r="C946" s="1" t="s">
        <v>564</v>
      </c>
      <c r="D946" s="1" t="s">
        <v>334</v>
      </c>
      <c r="E946" s="1">
        <v>0.89</v>
      </c>
      <c r="F946" s="1">
        <v>17</v>
      </c>
      <c r="G946" s="1">
        <v>15</v>
      </c>
      <c r="I946" s="58" t="str">
        <f t="shared" si="14"/>
        <v>Brinksworth Tree Services Ltd</v>
      </c>
    </row>
    <row r="947" spans="2:9" ht="15.75" customHeight="1" x14ac:dyDescent="0.2">
      <c r="D947" s="1" t="s">
        <v>336</v>
      </c>
      <c r="E947" s="1">
        <v>0.84</v>
      </c>
      <c r="F947" s="1">
        <v>6</v>
      </c>
      <c r="G947" s="1">
        <v>5</v>
      </c>
      <c r="I947" s="58" t="str">
        <f t="shared" si="14"/>
        <v>Brinksworth Tree Services Ltd</v>
      </c>
    </row>
    <row r="948" spans="2:9" ht="15.75" customHeight="1" x14ac:dyDescent="0.2">
      <c r="D948" s="1" t="s">
        <v>340</v>
      </c>
      <c r="E948" s="1">
        <v>0.86</v>
      </c>
      <c r="F948" s="1">
        <v>7</v>
      </c>
      <c r="G948" s="1">
        <v>6</v>
      </c>
      <c r="I948" s="58" t="str">
        <f t="shared" si="14"/>
        <v>Brinksworth Tree Services Ltd</v>
      </c>
    </row>
    <row r="949" spans="2:9" ht="15.75" customHeight="1" x14ac:dyDescent="0.2">
      <c r="D949" s="1" t="s">
        <v>337</v>
      </c>
      <c r="E949" s="1">
        <v>1</v>
      </c>
      <c r="F949" s="1">
        <v>4</v>
      </c>
      <c r="G949" s="1">
        <v>4</v>
      </c>
      <c r="I949" s="58" t="str">
        <f t="shared" si="14"/>
        <v>Brinksworth Tree Services Ltd</v>
      </c>
    </row>
    <row r="950" spans="2:9" ht="15.75" customHeight="1" x14ac:dyDescent="0.2">
      <c r="C950" s="1" t="s">
        <v>100</v>
      </c>
      <c r="D950" s="1" t="s">
        <v>334</v>
      </c>
      <c r="E950" s="1">
        <v>1</v>
      </c>
      <c r="F950" s="1">
        <v>4</v>
      </c>
      <c r="G950" s="1">
        <v>4</v>
      </c>
      <c r="I950" s="58" t="str">
        <f t="shared" si="14"/>
        <v>Brinksworth Tree Services Ltd</v>
      </c>
    </row>
    <row r="951" spans="2:9" ht="15.75" customHeight="1" x14ac:dyDescent="0.2">
      <c r="D951" s="1" t="s">
        <v>343</v>
      </c>
      <c r="E951" s="1">
        <v>1</v>
      </c>
      <c r="F951" s="1">
        <v>4</v>
      </c>
      <c r="G951" s="1">
        <v>4</v>
      </c>
      <c r="I951" s="58" t="str">
        <f t="shared" si="14"/>
        <v>Brinksworth Tree Services Ltd</v>
      </c>
    </row>
    <row r="952" spans="2:9" ht="15.75" customHeight="1" x14ac:dyDescent="0.2">
      <c r="B952" s="1" t="s">
        <v>176</v>
      </c>
      <c r="C952" s="1" t="s">
        <v>334</v>
      </c>
      <c r="E952" s="1">
        <v>0.75</v>
      </c>
      <c r="F952" s="1">
        <v>36</v>
      </c>
      <c r="G952" s="1">
        <v>27</v>
      </c>
      <c r="H952" s="57">
        <v>41464</v>
      </c>
      <c r="I952" s="58" t="str">
        <f t="shared" si="14"/>
        <v>Olney Landscapes</v>
      </c>
    </row>
    <row r="953" spans="2:9" ht="15.75" customHeight="1" x14ac:dyDescent="0.2">
      <c r="C953" s="1" t="s">
        <v>565</v>
      </c>
      <c r="D953" s="1" t="s">
        <v>334</v>
      </c>
      <c r="E953" s="1">
        <v>0.67</v>
      </c>
      <c r="F953" s="1">
        <v>15</v>
      </c>
      <c r="G953" s="1">
        <v>10</v>
      </c>
      <c r="I953" s="58" t="str">
        <f t="shared" si="14"/>
        <v>Olney Landscapes</v>
      </c>
    </row>
    <row r="954" spans="2:9" ht="15.75" customHeight="1" x14ac:dyDescent="0.2">
      <c r="D954" s="1" t="s">
        <v>337</v>
      </c>
      <c r="E954" s="1">
        <v>0</v>
      </c>
      <c r="F954" s="1">
        <v>4</v>
      </c>
      <c r="G954" s="1">
        <v>0</v>
      </c>
      <c r="I954" s="58" t="str">
        <f t="shared" si="14"/>
        <v>Olney Landscapes</v>
      </c>
    </row>
    <row r="955" spans="2:9" ht="15.75" customHeight="1" x14ac:dyDescent="0.2">
      <c r="D955" s="1" t="s">
        <v>338</v>
      </c>
      <c r="E955" s="1">
        <v>0.8</v>
      </c>
      <c r="F955" s="1">
        <v>5</v>
      </c>
      <c r="G955" s="1">
        <v>4</v>
      </c>
      <c r="I955" s="58" t="str">
        <f t="shared" si="14"/>
        <v>Olney Landscapes</v>
      </c>
    </row>
    <row r="956" spans="2:9" ht="15.75" customHeight="1" x14ac:dyDescent="0.2">
      <c r="D956" s="1" t="s">
        <v>336</v>
      </c>
      <c r="E956" s="1">
        <v>1</v>
      </c>
      <c r="F956" s="1">
        <v>6</v>
      </c>
      <c r="G956" s="1">
        <v>6</v>
      </c>
      <c r="I956" s="58" t="str">
        <f t="shared" si="14"/>
        <v>Olney Landscapes</v>
      </c>
    </row>
    <row r="957" spans="2:9" ht="15.75" customHeight="1" x14ac:dyDescent="0.2">
      <c r="C957" s="1" t="s">
        <v>566</v>
      </c>
      <c r="D957" s="1" t="s">
        <v>334</v>
      </c>
      <c r="E957" s="1">
        <v>0.77</v>
      </c>
      <c r="F957" s="1">
        <v>17</v>
      </c>
      <c r="G957" s="1">
        <v>13</v>
      </c>
      <c r="I957" s="58" t="str">
        <f t="shared" si="14"/>
        <v>Olney Landscapes</v>
      </c>
    </row>
    <row r="958" spans="2:9" ht="15.75" customHeight="1" x14ac:dyDescent="0.2">
      <c r="D958" s="1" t="s">
        <v>337</v>
      </c>
      <c r="E958" s="1">
        <v>0.25</v>
      </c>
      <c r="F958" s="1">
        <v>4</v>
      </c>
      <c r="G958" s="1">
        <v>1</v>
      </c>
      <c r="I958" s="58" t="str">
        <f t="shared" si="14"/>
        <v>Olney Landscapes</v>
      </c>
    </row>
    <row r="959" spans="2:9" ht="15.75" customHeight="1" x14ac:dyDescent="0.2">
      <c r="D959" s="1" t="s">
        <v>340</v>
      </c>
      <c r="E959" s="1">
        <v>0.86</v>
      </c>
      <c r="F959" s="1">
        <v>7</v>
      </c>
      <c r="G959" s="1">
        <v>6</v>
      </c>
      <c r="I959" s="58" t="str">
        <f t="shared" si="14"/>
        <v>Olney Landscapes</v>
      </c>
    </row>
    <row r="960" spans="2:9" ht="15.75" customHeight="1" x14ac:dyDescent="0.2">
      <c r="D960" s="1" t="s">
        <v>336</v>
      </c>
      <c r="E960" s="1">
        <v>1</v>
      </c>
      <c r="F960" s="1">
        <v>6</v>
      </c>
      <c r="G960" s="1">
        <v>6</v>
      </c>
      <c r="I960" s="58" t="str">
        <f t="shared" si="14"/>
        <v>Olney Landscapes</v>
      </c>
    </row>
    <row r="961" spans="2:9" ht="15.75" customHeight="1" x14ac:dyDescent="0.2">
      <c r="C961" s="1" t="s">
        <v>176</v>
      </c>
      <c r="D961" s="1" t="s">
        <v>334</v>
      </c>
      <c r="E961" s="1">
        <v>1</v>
      </c>
      <c r="F961" s="1">
        <v>4</v>
      </c>
      <c r="G961" s="1">
        <v>4</v>
      </c>
      <c r="I961" s="58" t="str">
        <f t="shared" si="14"/>
        <v>Olney Landscapes</v>
      </c>
    </row>
    <row r="962" spans="2:9" ht="15.75" customHeight="1" x14ac:dyDescent="0.2">
      <c r="D962" s="1" t="s">
        <v>343</v>
      </c>
      <c r="E962" s="1">
        <v>1</v>
      </c>
      <c r="F962" s="1">
        <v>4</v>
      </c>
      <c r="G962" s="1">
        <v>4</v>
      </c>
      <c r="I962" s="58" t="str">
        <f t="shared" si="14"/>
        <v>Olney Landscapes</v>
      </c>
    </row>
    <row r="963" spans="2:9" ht="15.75" customHeight="1" x14ac:dyDescent="0.2">
      <c r="B963" s="1" t="s">
        <v>74</v>
      </c>
      <c r="C963" s="1" t="s">
        <v>334</v>
      </c>
      <c r="E963" s="1">
        <v>0.76</v>
      </c>
      <c r="F963" s="1">
        <v>105</v>
      </c>
      <c r="G963" s="1">
        <v>79</v>
      </c>
      <c r="H963" s="57">
        <v>44621</v>
      </c>
      <c r="I963" s="58" t="str">
        <f t="shared" si="14"/>
        <v>Eastwoodbury Tree Services Ltd</v>
      </c>
    </row>
    <row r="964" spans="2:9" ht="15.75" customHeight="1" x14ac:dyDescent="0.2">
      <c r="C964" s="1" t="s">
        <v>567</v>
      </c>
      <c r="D964" s="1" t="s">
        <v>334</v>
      </c>
      <c r="E964" s="1">
        <v>0.4</v>
      </c>
      <c r="F964" s="1">
        <v>15</v>
      </c>
      <c r="G964" s="1">
        <v>6</v>
      </c>
      <c r="I964" s="58" t="str">
        <f t="shared" si="14"/>
        <v>Eastwoodbury Tree Services Ltd</v>
      </c>
    </row>
    <row r="965" spans="2:9" ht="15.75" customHeight="1" x14ac:dyDescent="0.2">
      <c r="D965" s="1" t="s">
        <v>337</v>
      </c>
      <c r="E965" s="1">
        <v>0</v>
      </c>
      <c r="F965" s="1">
        <v>4</v>
      </c>
      <c r="G965" s="1">
        <v>0</v>
      </c>
      <c r="I965" s="58" t="str">
        <f t="shared" si="14"/>
        <v>Eastwoodbury Tree Services Ltd</v>
      </c>
    </row>
    <row r="966" spans="2:9" ht="15.75" customHeight="1" x14ac:dyDescent="0.2">
      <c r="D966" s="1" t="s">
        <v>338</v>
      </c>
      <c r="E966" s="1">
        <v>0.2</v>
      </c>
      <c r="F966" s="1">
        <v>5</v>
      </c>
      <c r="G966" s="1">
        <v>1</v>
      </c>
      <c r="I966" s="58" t="str">
        <f t="shared" ref="I966:I1029" si="15">IF(B966&lt;&gt;"",B966,I965)</f>
        <v>Eastwoodbury Tree Services Ltd</v>
      </c>
    </row>
    <row r="967" spans="2:9" ht="15.75" customHeight="1" x14ac:dyDescent="0.2">
      <c r="D967" s="1" t="s">
        <v>336</v>
      </c>
      <c r="E967" s="1">
        <v>0.84</v>
      </c>
      <c r="F967" s="1">
        <v>6</v>
      </c>
      <c r="G967" s="1">
        <v>5</v>
      </c>
      <c r="I967" s="58" t="str">
        <f t="shared" si="15"/>
        <v>Eastwoodbury Tree Services Ltd</v>
      </c>
    </row>
    <row r="968" spans="2:9" ht="15.75" customHeight="1" x14ac:dyDescent="0.2">
      <c r="C968" s="1" t="s">
        <v>568</v>
      </c>
      <c r="D968" s="1" t="s">
        <v>334</v>
      </c>
      <c r="E968" s="1">
        <v>0.65</v>
      </c>
      <c r="F968" s="1">
        <v>17</v>
      </c>
      <c r="G968" s="1">
        <v>11</v>
      </c>
      <c r="I968" s="58" t="str">
        <f t="shared" si="15"/>
        <v>Eastwoodbury Tree Services Ltd</v>
      </c>
    </row>
    <row r="969" spans="2:9" ht="15.75" customHeight="1" x14ac:dyDescent="0.2">
      <c r="D969" s="1" t="s">
        <v>336</v>
      </c>
      <c r="E969" s="1">
        <v>0.34</v>
      </c>
      <c r="F969" s="1">
        <v>6</v>
      </c>
      <c r="G969" s="1">
        <v>2</v>
      </c>
      <c r="I969" s="58" t="str">
        <f t="shared" si="15"/>
        <v>Eastwoodbury Tree Services Ltd</v>
      </c>
    </row>
    <row r="970" spans="2:9" ht="15.75" customHeight="1" x14ac:dyDescent="0.2">
      <c r="D970" s="1" t="s">
        <v>340</v>
      </c>
      <c r="E970" s="1">
        <v>0.72</v>
      </c>
      <c r="F970" s="1">
        <v>7</v>
      </c>
      <c r="G970" s="1">
        <v>5</v>
      </c>
      <c r="I970" s="58" t="str">
        <f t="shared" si="15"/>
        <v>Eastwoodbury Tree Services Ltd</v>
      </c>
    </row>
    <row r="971" spans="2:9" ht="15.75" customHeight="1" x14ac:dyDescent="0.2">
      <c r="D971" s="1" t="s">
        <v>337</v>
      </c>
      <c r="E971" s="1">
        <v>1</v>
      </c>
      <c r="F971" s="1">
        <v>4</v>
      </c>
      <c r="G971" s="1">
        <v>4</v>
      </c>
      <c r="I971" s="58" t="str">
        <f t="shared" si="15"/>
        <v>Eastwoodbury Tree Services Ltd</v>
      </c>
    </row>
    <row r="972" spans="2:9" ht="15.75" customHeight="1" x14ac:dyDescent="0.2">
      <c r="C972" s="1" t="s">
        <v>569</v>
      </c>
      <c r="D972" s="1" t="s">
        <v>334</v>
      </c>
      <c r="E972" s="1">
        <v>0.67</v>
      </c>
      <c r="F972" s="1">
        <v>15</v>
      </c>
      <c r="G972" s="1">
        <v>10</v>
      </c>
      <c r="I972" s="58" t="str">
        <f t="shared" si="15"/>
        <v>Eastwoodbury Tree Services Ltd</v>
      </c>
    </row>
    <row r="973" spans="2:9" ht="15.75" customHeight="1" x14ac:dyDescent="0.2">
      <c r="D973" s="1" t="s">
        <v>338</v>
      </c>
      <c r="E973" s="1">
        <v>0.4</v>
      </c>
      <c r="F973" s="1">
        <v>5</v>
      </c>
      <c r="G973" s="1">
        <v>2</v>
      </c>
      <c r="I973" s="58" t="str">
        <f t="shared" si="15"/>
        <v>Eastwoodbury Tree Services Ltd</v>
      </c>
    </row>
    <row r="974" spans="2:9" ht="15.75" customHeight="1" x14ac:dyDescent="0.2">
      <c r="D974" s="1" t="s">
        <v>336</v>
      </c>
      <c r="E974" s="1">
        <v>0.67</v>
      </c>
      <c r="F974" s="1">
        <v>6</v>
      </c>
      <c r="G974" s="1">
        <v>4</v>
      </c>
      <c r="I974" s="58" t="str">
        <f t="shared" si="15"/>
        <v>Eastwoodbury Tree Services Ltd</v>
      </c>
    </row>
    <row r="975" spans="2:9" ht="15.75" customHeight="1" x14ac:dyDescent="0.2">
      <c r="D975" s="1" t="s">
        <v>337</v>
      </c>
      <c r="E975" s="1">
        <v>1</v>
      </c>
      <c r="F975" s="1">
        <v>4</v>
      </c>
      <c r="G975" s="1">
        <v>4</v>
      </c>
      <c r="I975" s="58" t="str">
        <f t="shared" si="15"/>
        <v>Eastwoodbury Tree Services Ltd</v>
      </c>
    </row>
    <row r="976" spans="2:9" ht="15.75" customHeight="1" x14ac:dyDescent="0.2">
      <c r="C976" s="1" t="s">
        <v>570</v>
      </c>
      <c r="D976" s="1" t="s">
        <v>334</v>
      </c>
      <c r="E976" s="1">
        <v>0.87</v>
      </c>
      <c r="F976" s="1">
        <v>22</v>
      </c>
      <c r="G976" s="1">
        <v>19</v>
      </c>
      <c r="I976" s="58" t="str">
        <f t="shared" si="15"/>
        <v>Eastwoodbury Tree Services Ltd</v>
      </c>
    </row>
    <row r="977" spans="2:9" ht="15.75" customHeight="1" x14ac:dyDescent="0.2">
      <c r="D977" s="1" t="s">
        <v>336</v>
      </c>
      <c r="E977" s="1">
        <v>0.67</v>
      </c>
      <c r="F977" s="1">
        <v>6</v>
      </c>
      <c r="G977" s="1">
        <v>4</v>
      </c>
      <c r="I977" s="58" t="str">
        <f t="shared" si="15"/>
        <v>Eastwoodbury Tree Services Ltd</v>
      </c>
    </row>
    <row r="978" spans="2:9" ht="15.75" customHeight="1" x14ac:dyDescent="0.2">
      <c r="D978" s="1" t="s">
        <v>340</v>
      </c>
      <c r="E978" s="1">
        <v>0.86</v>
      </c>
      <c r="F978" s="1">
        <v>7</v>
      </c>
      <c r="G978" s="1">
        <v>6</v>
      </c>
      <c r="I978" s="58" t="str">
        <f t="shared" si="15"/>
        <v>Eastwoodbury Tree Services Ltd</v>
      </c>
    </row>
    <row r="979" spans="2:9" ht="15.75" customHeight="1" x14ac:dyDescent="0.2">
      <c r="D979" s="1" t="s">
        <v>337</v>
      </c>
      <c r="E979" s="1">
        <v>1</v>
      </c>
      <c r="F979" s="1">
        <v>4</v>
      </c>
      <c r="G979" s="1">
        <v>4</v>
      </c>
      <c r="I979" s="58" t="str">
        <f t="shared" si="15"/>
        <v>Eastwoodbury Tree Services Ltd</v>
      </c>
    </row>
    <row r="980" spans="2:9" ht="15.75" customHeight="1" x14ac:dyDescent="0.2">
      <c r="D980" s="1" t="s">
        <v>338</v>
      </c>
      <c r="E980" s="1">
        <v>1</v>
      </c>
      <c r="F980" s="1">
        <v>5</v>
      </c>
      <c r="G980" s="1">
        <v>5</v>
      </c>
      <c r="I980" s="58" t="str">
        <f t="shared" si="15"/>
        <v>Eastwoodbury Tree Services Ltd</v>
      </c>
    </row>
    <row r="981" spans="2:9" ht="15.75" customHeight="1" x14ac:dyDescent="0.2">
      <c r="C981" s="1" t="s">
        <v>571</v>
      </c>
      <c r="D981" s="1" t="s">
        <v>334</v>
      </c>
      <c r="E981" s="1">
        <v>0.89</v>
      </c>
      <c r="F981" s="1">
        <v>17</v>
      </c>
      <c r="G981" s="1">
        <v>15</v>
      </c>
      <c r="I981" s="58" t="str">
        <f t="shared" si="15"/>
        <v>Eastwoodbury Tree Services Ltd</v>
      </c>
    </row>
    <row r="982" spans="2:9" ht="15.75" customHeight="1" x14ac:dyDescent="0.2">
      <c r="D982" s="1" t="s">
        <v>336</v>
      </c>
      <c r="E982" s="1">
        <v>0.67</v>
      </c>
      <c r="F982" s="1">
        <v>6</v>
      </c>
      <c r="G982" s="1">
        <v>4</v>
      </c>
      <c r="I982" s="58" t="str">
        <f t="shared" si="15"/>
        <v>Eastwoodbury Tree Services Ltd</v>
      </c>
    </row>
    <row r="983" spans="2:9" ht="15.75" customHeight="1" x14ac:dyDescent="0.2">
      <c r="D983" s="1" t="s">
        <v>340</v>
      </c>
      <c r="E983" s="1">
        <v>1</v>
      </c>
      <c r="F983" s="1">
        <v>7</v>
      </c>
      <c r="G983" s="1">
        <v>7</v>
      </c>
      <c r="I983" s="58" t="str">
        <f t="shared" si="15"/>
        <v>Eastwoodbury Tree Services Ltd</v>
      </c>
    </row>
    <row r="984" spans="2:9" ht="15.75" customHeight="1" x14ac:dyDescent="0.2">
      <c r="D984" s="1" t="s">
        <v>337</v>
      </c>
      <c r="E984" s="1">
        <v>1</v>
      </c>
      <c r="F984" s="1">
        <v>4</v>
      </c>
      <c r="G984" s="1">
        <v>4</v>
      </c>
      <c r="I984" s="58" t="str">
        <f t="shared" si="15"/>
        <v>Eastwoodbury Tree Services Ltd</v>
      </c>
    </row>
    <row r="985" spans="2:9" ht="15.75" customHeight="1" x14ac:dyDescent="0.2">
      <c r="C985" s="1" t="s">
        <v>572</v>
      </c>
      <c r="D985" s="1" t="s">
        <v>334</v>
      </c>
      <c r="E985" s="1">
        <v>0.94</v>
      </c>
      <c r="F985" s="1">
        <v>15</v>
      </c>
      <c r="G985" s="1">
        <v>14</v>
      </c>
      <c r="I985" s="58" t="str">
        <f t="shared" si="15"/>
        <v>Eastwoodbury Tree Services Ltd</v>
      </c>
    </row>
    <row r="986" spans="2:9" ht="15.75" customHeight="1" x14ac:dyDescent="0.2">
      <c r="D986" s="1" t="s">
        <v>336</v>
      </c>
      <c r="E986" s="1">
        <v>0.84</v>
      </c>
      <c r="F986" s="1">
        <v>6</v>
      </c>
      <c r="G986" s="1">
        <v>5</v>
      </c>
      <c r="I986" s="58" t="str">
        <f t="shared" si="15"/>
        <v>Eastwoodbury Tree Services Ltd</v>
      </c>
    </row>
    <row r="987" spans="2:9" ht="15.75" customHeight="1" x14ac:dyDescent="0.2">
      <c r="D987" s="1" t="s">
        <v>337</v>
      </c>
      <c r="E987" s="1">
        <v>1</v>
      </c>
      <c r="F987" s="1">
        <v>4</v>
      </c>
      <c r="G987" s="1">
        <v>4</v>
      </c>
      <c r="I987" s="58" t="str">
        <f t="shared" si="15"/>
        <v>Eastwoodbury Tree Services Ltd</v>
      </c>
    </row>
    <row r="988" spans="2:9" ht="15.75" customHeight="1" x14ac:dyDescent="0.2">
      <c r="D988" s="1" t="s">
        <v>338</v>
      </c>
      <c r="E988" s="1">
        <v>1</v>
      </c>
      <c r="F988" s="1">
        <v>5</v>
      </c>
      <c r="G988" s="1">
        <v>5</v>
      </c>
      <c r="I988" s="58" t="str">
        <f t="shared" si="15"/>
        <v>Eastwoodbury Tree Services Ltd</v>
      </c>
    </row>
    <row r="989" spans="2:9" ht="15.75" customHeight="1" x14ac:dyDescent="0.2">
      <c r="C989" s="1" t="s">
        <v>74</v>
      </c>
      <c r="D989" s="1" t="s">
        <v>334</v>
      </c>
      <c r="E989" s="1">
        <v>1</v>
      </c>
      <c r="F989" s="1">
        <v>4</v>
      </c>
      <c r="G989" s="1">
        <v>4</v>
      </c>
      <c r="I989" s="58" t="str">
        <f t="shared" si="15"/>
        <v>Eastwoodbury Tree Services Ltd</v>
      </c>
    </row>
    <row r="990" spans="2:9" ht="15.75" customHeight="1" x14ac:dyDescent="0.2">
      <c r="D990" s="1" t="s">
        <v>343</v>
      </c>
      <c r="E990" s="1">
        <v>1</v>
      </c>
      <c r="F990" s="1">
        <v>4</v>
      </c>
      <c r="G990" s="1">
        <v>4</v>
      </c>
      <c r="I990" s="58" t="str">
        <f t="shared" si="15"/>
        <v>Eastwoodbury Tree Services Ltd</v>
      </c>
    </row>
    <row r="991" spans="2:9" ht="15.75" customHeight="1" x14ac:dyDescent="0.2">
      <c r="B991" s="1" t="s">
        <v>201</v>
      </c>
      <c r="C991" s="1" t="s">
        <v>334</v>
      </c>
      <c r="E991" s="1">
        <v>0.76</v>
      </c>
      <c r="F991" s="1">
        <v>29</v>
      </c>
      <c r="G991" s="1">
        <v>22</v>
      </c>
      <c r="H991" s="57">
        <v>46097</v>
      </c>
      <c r="I991" s="58" t="str">
        <f t="shared" si="15"/>
        <v>Electrification Construction Services Ltd</v>
      </c>
    </row>
    <row r="992" spans="2:9" ht="15.75" customHeight="1" x14ac:dyDescent="0.2">
      <c r="C992" s="1" t="s">
        <v>573</v>
      </c>
      <c r="D992" s="1" t="s">
        <v>334</v>
      </c>
      <c r="E992" s="1">
        <v>0.6</v>
      </c>
      <c r="F992" s="1">
        <v>15</v>
      </c>
      <c r="G992" s="1">
        <v>9</v>
      </c>
      <c r="I992" s="58" t="str">
        <f t="shared" si="15"/>
        <v>Electrification Construction Services Ltd</v>
      </c>
    </row>
    <row r="993" spans="2:9" ht="15.75" customHeight="1" x14ac:dyDescent="0.2">
      <c r="D993" s="1" t="s">
        <v>336</v>
      </c>
      <c r="E993" s="1">
        <v>0.17</v>
      </c>
      <c r="F993" s="1">
        <v>6</v>
      </c>
      <c r="G993" s="1">
        <v>1</v>
      </c>
      <c r="I993" s="58" t="str">
        <f t="shared" si="15"/>
        <v>Electrification Construction Services Ltd</v>
      </c>
    </row>
    <row r="994" spans="2:9" ht="15.75" customHeight="1" x14ac:dyDescent="0.2">
      <c r="D994" s="1" t="s">
        <v>338</v>
      </c>
      <c r="E994" s="1">
        <v>0.8</v>
      </c>
      <c r="F994" s="1">
        <v>5</v>
      </c>
      <c r="G994" s="1">
        <v>4</v>
      </c>
      <c r="I994" s="58" t="str">
        <f t="shared" si="15"/>
        <v>Electrification Construction Services Ltd</v>
      </c>
    </row>
    <row r="995" spans="2:9" ht="15.75" customHeight="1" x14ac:dyDescent="0.2">
      <c r="D995" s="1" t="s">
        <v>337</v>
      </c>
      <c r="E995" s="1">
        <v>1</v>
      </c>
      <c r="F995" s="1">
        <v>4</v>
      </c>
      <c r="G995" s="1">
        <v>4</v>
      </c>
      <c r="I995" s="58" t="str">
        <f t="shared" si="15"/>
        <v>Electrification Construction Services Ltd</v>
      </c>
    </row>
    <row r="996" spans="2:9" ht="15.75" customHeight="1" x14ac:dyDescent="0.2">
      <c r="C996" s="1" t="s">
        <v>574</v>
      </c>
      <c r="D996" s="1" t="s">
        <v>334</v>
      </c>
      <c r="E996" s="1">
        <v>0.9</v>
      </c>
      <c r="F996" s="1">
        <v>10</v>
      </c>
      <c r="G996" s="1">
        <v>9</v>
      </c>
      <c r="I996" s="58" t="str">
        <f t="shared" si="15"/>
        <v>Electrification Construction Services Ltd</v>
      </c>
    </row>
    <row r="997" spans="2:9" ht="15.75" customHeight="1" x14ac:dyDescent="0.2">
      <c r="D997" s="1" t="s">
        <v>337</v>
      </c>
      <c r="E997" s="1">
        <v>0.75</v>
      </c>
      <c r="F997" s="1">
        <v>4</v>
      </c>
      <c r="G997" s="1">
        <v>3</v>
      </c>
      <c r="I997" s="58" t="str">
        <f t="shared" si="15"/>
        <v>Electrification Construction Services Ltd</v>
      </c>
    </row>
    <row r="998" spans="2:9" ht="15.75" customHeight="1" x14ac:dyDescent="0.2">
      <c r="D998" s="1" t="s">
        <v>336</v>
      </c>
      <c r="E998" s="1">
        <v>1</v>
      </c>
      <c r="F998" s="1">
        <v>6</v>
      </c>
      <c r="G998" s="1">
        <v>6</v>
      </c>
      <c r="I998" s="58" t="str">
        <f t="shared" si="15"/>
        <v>Electrification Construction Services Ltd</v>
      </c>
    </row>
    <row r="999" spans="2:9" ht="15.75" customHeight="1" x14ac:dyDescent="0.2">
      <c r="C999" s="1" t="s">
        <v>575</v>
      </c>
      <c r="D999" s="1" t="s">
        <v>334</v>
      </c>
      <c r="E999" s="1">
        <v>1</v>
      </c>
      <c r="F999" s="1">
        <v>4</v>
      </c>
      <c r="G999" s="1">
        <v>4</v>
      </c>
      <c r="I999" s="58" t="str">
        <f t="shared" si="15"/>
        <v>Electrification Construction Services Ltd</v>
      </c>
    </row>
    <row r="1000" spans="2:9" ht="15.75" customHeight="1" x14ac:dyDescent="0.2">
      <c r="D1000" s="1" t="s">
        <v>343</v>
      </c>
      <c r="E1000" s="1">
        <v>1</v>
      </c>
      <c r="F1000" s="1">
        <v>4</v>
      </c>
      <c r="G1000" s="1">
        <v>4</v>
      </c>
      <c r="I1000" s="58" t="str">
        <f t="shared" si="15"/>
        <v>Electrification Construction Services Ltd</v>
      </c>
    </row>
    <row r="1001" spans="2:9" ht="15.75" customHeight="1" x14ac:dyDescent="0.2">
      <c r="B1001" s="1" t="s">
        <v>190</v>
      </c>
      <c r="C1001" s="1" t="s">
        <v>334</v>
      </c>
      <c r="E1001" s="1">
        <v>0.77</v>
      </c>
      <c r="F1001" s="1">
        <v>21</v>
      </c>
      <c r="G1001" s="1">
        <v>16</v>
      </c>
      <c r="H1001" s="57">
        <v>45664</v>
      </c>
      <c r="I1001" s="58" t="str">
        <f t="shared" si="15"/>
        <v>L&amp;L Group LTD</v>
      </c>
    </row>
    <row r="1002" spans="2:9" ht="15.75" customHeight="1" x14ac:dyDescent="0.2">
      <c r="C1002" s="1" t="s">
        <v>576</v>
      </c>
      <c r="D1002" s="1" t="s">
        <v>334</v>
      </c>
      <c r="E1002" s="1">
        <v>0.75</v>
      </c>
      <c r="F1002" s="1">
        <v>4</v>
      </c>
      <c r="G1002" s="1">
        <v>3</v>
      </c>
      <c r="I1002" s="58" t="str">
        <f t="shared" si="15"/>
        <v>L&amp;L Group LTD</v>
      </c>
    </row>
    <row r="1003" spans="2:9" ht="15.75" customHeight="1" x14ac:dyDescent="0.2">
      <c r="D1003" s="1" t="s">
        <v>343</v>
      </c>
      <c r="E1003" s="1">
        <v>0.75</v>
      </c>
      <c r="F1003" s="1">
        <v>4</v>
      </c>
      <c r="G1003" s="1">
        <v>3</v>
      </c>
      <c r="I1003" s="58" t="str">
        <f t="shared" si="15"/>
        <v>L&amp;L Group LTD</v>
      </c>
    </row>
    <row r="1004" spans="2:9" ht="15.75" customHeight="1" x14ac:dyDescent="0.2">
      <c r="C1004" s="1" t="s">
        <v>577</v>
      </c>
      <c r="D1004" s="1" t="s">
        <v>334</v>
      </c>
      <c r="E1004" s="1">
        <v>0.77</v>
      </c>
      <c r="F1004" s="1">
        <v>17</v>
      </c>
      <c r="G1004" s="1">
        <v>13</v>
      </c>
      <c r="I1004" s="58" t="str">
        <f t="shared" si="15"/>
        <v>L&amp;L Group LTD</v>
      </c>
    </row>
    <row r="1005" spans="2:9" ht="15.75" customHeight="1" x14ac:dyDescent="0.2">
      <c r="D1005" s="1" t="s">
        <v>340</v>
      </c>
      <c r="E1005" s="1">
        <v>0.57999999999999996</v>
      </c>
      <c r="F1005" s="1">
        <v>7</v>
      </c>
      <c r="G1005" s="1">
        <v>4</v>
      </c>
      <c r="I1005" s="58" t="str">
        <f t="shared" si="15"/>
        <v>L&amp;L Group LTD</v>
      </c>
    </row>
    <row r="1006" spans="2:9" ht="15.75" customHeight="1" x14ac:dyDescent="0.2">
      <c r="D1006" s="1" t="s">
        <v>336</v>
      </c>
      <c r="E1006" s="1">
        <v>0.84</v>
      </c>
      <c r="F1006" s="1">
        <v>6</v>
      </c>
      <c r="G1006" s="1">
        <v>5</v>
      </c>
      <c r="I1006" s="58" t="str">
        <f t="shared" si="15"/>
        <v>L&amp;L Group LTD</v>
      </c>
    </row>
    <row r="1007" spans="2:9" ht="15.75" customHeight="1" x14ac:dyDescent="0.2">
      <c r="D1007" s="1" t="s">
        <v>337</v>
      </c>
      <c r="E1007" s="1">
        <v>1</v>
      </c>
      <c r="F1007" s="1">
        <v>4</v>
      </c>
      <c r="G1007" s="1">
        <v>4</v>
      </c>
      <c r="I1007" s="58" t="str">
        <f t="shared" si="15"/>
        <v>L&amp;L Group LTD</v>
      </c>
    </row>
    <row r="1008" spans="2:9" ht="15.75" customHeight="1" x14ac:dyDescent="0.2">
      <c r="B1008" s="1" t="s">
        <v>118</v>
      </c>
      <c r="C1008" s="1" t="s">
        <v>334</v>
      </c>
      <c r="E1008" s="1">
        <v>0.77</v>
      </c>
      <c r="F1008" s="1">
        <v>51</v>
      </c>
      <c r="G1008" s="1">
        <v>39</v>
      </c>
      <c r="H1008" s="57">
        <v>44221</v>
      </c>
      <c r="I1008" s="58" t="str">
        <f t="shared" si="15"/>
        <v>MJR Tree Works</v>
      </c>
    </row>
    <row r="1009" spans="2:9" ht="15.75" customHeight="1" x14ac:dyDescent="0.2">
      <c r="C1009" s="1" t="s">
        <v>578</v>
      </c>
      <c r="D1009" s="1" t="s">
        <v>334</v>
      </c>
      <c r="E1009" s="1">
        <v>0.47</v>
      </c>
      <c r="F1009" s="1">
        <v>15</v>
      </c>
      <c r="G1009" s="1">
        <v>7</v>
      </c>
      <c r="I1009" s="58" t="str">
        <f t="shared" si="15"/>
        <v>MJR Tree Works</v>
      </c>
    </row>
    <row r="1010" spans="2:9" ht="15.75" customHeight="1" x14ac:dyDescent="0.2">
      <c r="D1010" s="1" t="s">
        <v>338</v>
      </c>
      <c r="E1010" s="1">
        <v>0.2</v>
      </c>
      <c r="F1010" s="1">
        <v>5</v>
      </c>
      <c r="G1010" s="1">
        <v>1</v>
      </c>
      <c r="I1010" s="58" t="str">
        <f t="shared" si="15"/>
        <v>MJR Tree Works</v>
      </c>
    </row>
    <row r="1011" spans="2:9" ht="15.75" customHeight="1" x14ac:dyDescent="0.2">
      <c r="D1011" s="1" t="s">
        <v>337</v>
      </c>
      <c r="E1011" s="1">
        <v>0.25</v>
      </c>
      <c r="F1011" s="1">
        <v>4</v>
      </c>
      <c r="G1011" s="1">
        <v>1</v>
      </c>
      <c r="I1011" s="58" t="str">
        <f t="shared" si="15"/>
        <v>MJR Tree Works</v>
      </c>
    </row>
    <row r="1012" spans="2:9" ht="15.75" customHeight="1" x14ac:dyDescent="0.2">
      <c r="D1012" s="1" t="s">
        <v>336</v>
      </c>
      <c r="E1012" s="1">
        <v>0.84</v>
      </c>
      <c r="F1012" s="1">
        <v>6</v>
      </c>
      <c r="G1012" s="1">
        <v>5</v>
      </c>
      <c r="I1012" s="58" t="str">
        <f t="shared" si="15"/>
        <v>MJR Tree Works</v>
      </c>
    </row>
    <row r="1013" spans="2:9" ht="15.75" customHeight="1" x14ac:dyDescent="0.2">
      <c r="C1013" s="1" t="s">
        <v>118</v>
      </c>
      <c r="D1013" s="1" t="s">
        <v>334</v>
      </c>
      <c r="E1013" s="1">
        <v>0.5</v>
      </c>
      <c r="F1013" s="1">
        <v>4</v>
      </c>
      <c r="G1013" s="1">
        <v>2</v>
      </c>
      <c r="I1013" s="58" t="str">
        <f t="shared" si="15"/>
        <v>MJR Tree Works</v>
      </c>
    </row>
    <row r="1014" spans="2:9" ht="15.75" customHeight="1" x14ac:dyDescent="0.2">
      <c r="D1014" s="1" t="s">
        <v>343</v>
      </c>
      <c r="E1014" s="1">
        <v>0.5</v>
      </c>
      <c r="F1014" s="1">
        <v>4</v>
      </c>
      <c r="G1014" s="1">
        <v>2</v>
      </c>
      <c r="I1014" s="58" t="str">
        <f t="shared" si="15"/>
        <v>MJR Tree Works</v>
      </c>
    </row>
    <row r="1015" spans="2:9" ht="15.75" customHeight="1" x14ac:dyDescent="0.2">
      <c r="C1015" s="1" t="s">
        <v>579</v>
      </c>
      <c r="D1015" s="1" t="s">
        <v>334</v>
      </c>
      <c r="E1015" s="1">
        <v>0.94</v>
      </c>
      <c r="F1015" s="1">
        <v>15</v>
      </c>
      <c r="G1015" s="1">
        <v>14</v>
      </c>
      <c r="I1015" s="58" t="str">
        <f t="shared" si="15"/>
        <v>MJR Tree Works</v>
      </c>
    </row>
    <row r="1016" spans="2:9" ht="15.75" customHeight="1" x14ac:dyDescent="0.2">
      <c r="D1016" s="1" t="s">
        <v>338</v>
      </c>
      <c r="E1016" s="1">
        <v>0.8</v>
      </c>
      <c r="F1016" s="1">
        <v>5</v>
      </c>
      <c r="G1016" s="1">
        <v>4</v>
      </c>
      <c r="I1016" s="58" t="str">
        <f t="shared" si="15"/>
        <v>MJR Tree Works</v>
      </c>
    </row>
    <row r="1017" spans="2:9" ht="15.75" customHeight="1" x14ac:dyDescent="0.2">
      <c r="D1017" s="1" t="s">
        <v>336</v>
      </c>
      <c r="E1017" s="1">
        <v>1</v>
      </c>
      <c r="F1017" s="1">
        <v>6</v>
      </c>
      <c r="G1017" s="1">
        <v>6</v>
      </c>
      <c r="I1017" s="58" t="str">
        <f t="shared" si="15"/>
        <v>MJR Tree Works</v>
      </c>
    </row>
    <row r="1018" spans="2:9" ht="15.75" customHeight="1" x14ac:dyDescent="0.2">
      <c r="D1018" s="1" t="s">
        <v>337</v>
      </c>
      <c r="E1018" s="1">
        <v>1</v>
      </c>
      <c r="F1018" s="1">
        <v>4</v>
      </c>
      <c r="G1018" s="1">
        <v>4</v>
      </c>
      <c r="I1018" s="58" t="str">
        <f t="shared" si="15"/>
        <v>MJR Tree Works</v>
      </c>
    </row>
    <row r="1019" spans="2:9" ht="15.75" customHeight="1" x14ac:dyDescent="0.2">
      <c r="C1019" s="1" t="s">
        <v>580</v>
      </c>
      <c r="D1019" s="1" t="s">
        <v>334</v>
      </c>
      <c r="E1019" s="1">
        <v>0.95</v>
      </c>
      <c r="F1019" s="1">
        <v>17</v>
      </c>
      <c r="G1019" s="1">
        <v>16</v>
      </c>
      <c r="I1019" s="58" t="str">
        <f t="shared" si="15"/>
        <v>MJR Tree Works</v>
      </c>
    </row>
    <row r="1020" spans="2:9" ht="15.75" customHeight="1" x14ac:dyDescent="0.2">
      <c r="D1020" s="1" t="s">
        <v>340</v>
      </c>
      <c r="E1020" s="1">
        <v>0.86</v>
      </c>
      <c r="F1020" s="1">
        <v>7</v>
      </c>
      <c r="G1020" s="1">
        <v>6</v>
      </c>
      <c r="I1020" s="58" t="str">
        <f t="shared" si="15"/>
        <v>MJR Tree Works</v>
      </c>
    </row>
    <row r="1021" spans="2:9" ht="15.75" customHeight="1" x14ac:dyDescent="0.2">
      <c r="D1021" s="1" t="s">
        <v>336</v>
      </c>
      <c r="E1021" s="1">
        <v>1</v>
      </c>
      <c r="F1021" s="1">
        <v>6</v>
      </c>
      <c r="G1021" s="1">
        <v>6</v>
      </c>
      <c r="I1021" s="58" t="str">
        <f t="shared" si="15"/>
        <v>MJR Tree Works</v>
      </c>
    </row>
    <row r="1022" spans="2:9" ht="15.75" customHeight="1" x14ac:dyDescent="0.2">
      <c r="D1022" s="1" t="s">
        <v>337</v>
      </c>
      <c r="E1022" s="1">
        <v>1</v>
      </c>
      <c r="F1022" s="1">
        <v>4</v>
      </c>
      <c r="G1022" s="1">
        <v>4</v>
      </c>
      <c r="I1022" s="58" t="str">
        <f t="shared" si="15"/>
        <v>MJR Tree Works</v>
      </c>
    </row>
    <row r="1023" spans="2:9" ht="15.75" customHeight="1" x14ac:dyDescent="0.2">
      <c r="B1023" s="1" t="s">
        <v>72</v>
      </c>
      <c r="C1023" s="1" t="s">
        <v>334</v>
      </c>
      <c r="E1023" s="1">
        <v>0.79</v>
      </c>
      <c r="F1023" s="1">
        <v>96</v>
      </c>
      <c r="G1023" s="1">
        <v>75</v>
      </c>
      <c r="H1023" s="57">
        <v>41662</v>
      </c>
      <c r="I1023" s="58" t="str">
        <f t="shared" si="15"/>
        <v>D &amp; R Landscapes</v>
      </c>
    </row>
    <row r="1024" spans="2:9" ht="15.75" customHeight="1" x14ac:dyDescent="0.2">
      <c r="C1024" s="1" t="s">
        <v>581</v>
      </c>
      <c r="D1024" s="1" t="s">
        <v>334</v>
      </c>
      <c r="E1024" s="1">
        <v>0.28000000000000003</v>
      </c>
      <c r="F1024" s="1">
        <v>11</v>
      </c>
      <c r="G1024" s="1">
        <v>3</v>
      </c>
      <c r="I1024" s="58" t="str">
        <f t="shared" si="15"/>
        <v>D &amp; R Landscapes</v>
      </c>
    </row>
    <row r="1025" spans="3:9" ht="15.75" customHeight="1" x14ac:dyDescent="0.2">
      <c r="D1025" s="1" t="s">
        <v>336</v>
      </c>
      <c r="E1025" s="1">
        <v>0.17</v>
      </c>
      <c r="F1025" s="1">
        <v>6</v>
      </c>
      <c r="G1025" s="1">
        <v>1</v>
      </c>
      <c r="I1025" s="58" t="str">
        <f t="shared" si="15"/>
        <v>D &amp; R Landscapes</v>
      </c>
    </row>
    <row r="1026" spans="3:9" ht="15.75" customHeight="1" x14ac:dyDescent="0.2">
      <c r="D1026" s="1" t="s">
        <v>338</v>
      </c>
      <c r="E1026" s="1">
        <v>0.4</v>
      </c>
      <c r="F1026" s="1">
        <v>5</v>
      </c>
      <c r="G1026" s="1">
        <v>2</v>
      </c>
      <c r="I1026" s="58" t="str">
        <f t="shared" si="15"/>
        <v>D &amp; R Landscapes</v>
      </c>
    </row>
    <row r="1027" spans="3:9" ht="15.75" customHeight="1" x14ac:dyDescent="0.2">
      <c r="C1027" s="1" t="s">
        <v>582</v>
      </c>
      <c r="D1027" s="1" t="s">
        <v>334</v>
      </c>
      <c r="E1027" s="1">
        <v>0.67</v>
      </c>
      <c r="F1027" s="1">
        <v>15</v>
      </c>
      <c r="G1027" s="1">
        <v>10</v>
      </c>
      <c r="I1027" s="58" t="str">
        <f t="shared" si="15"/>
        <v>D &amp; R Landscapes</v>
      </c>
    </row>
    <row r="1028" spans="3:9" ht="15.75" customHeight="1" x14ac:dyDescent="0.2">
      <c r="D1028" s="1" t="s">
        <v>338</v>
      </c>
      <c r="E1028" s="1">
        <v>0.4</v>
      </c>
      <c r="F1028" s="1">
        <v>5</v>
      </c>
      <c r="G1028" s="1">
        <v>2</v>
      </c>
      <c r="I1028" s="58" t="str">
        <f t="shared" si="15"/>
        <v>D &amp; R Landscapes</v>
      </c>
    </row>
    <row r="1029" spans="3:9" ht="15.75" customHeight="1" x14ac:dyDescent="0.2">
      <c r="D1029" s="1" t="s">
        <v>337</v>
      </c>
      <c r="E1029" s="1">
        <v>0.5</v>
      </c>
      <c r="F1029" s="1">
        <v>4</v>
      </c>
      <c r="G1029" s="1">
        <v>2</v>
      </c>
      <c r="I1029" s="58" t="str">
        <f t="shared" si="15"/>
        <v>D &amp; R Landscapes</v>
      </c>
    </row>
    <row r="1030" spans="3:9" ht="15.75" customHeight="1" x14ac:dyDescent="0.2">
      <c r="D1030" s="1" t="s">
        <v>336</v>
      </c>
      <c r="E1030" s="1">
        <v>1</v>
      </c>
      <c r="F1030" s="1">
        <v>6</v>
      </c>
      <c r="G1030" s="1">
        <v>6</v>
      </c>
      <c r="I1030" s="58" t="str">
        <f t="shared" ref="I1030:I1093" si="16">IF(B1030&lt;&gt;"",B1030,I1029)</f>
        <v>D &amp; R Landscapes</v>
      </c>
    </row>
    <row r="1031" spans="3:9" ht="15.75" customHeight="1" x14ac:dyDescent="0.2">
      <c r="C1031" s="1" t="s">
        <v>583</v>
      </c>
      <c r="D1031" s="1" t="s">
        <v>334</v>
      </c>
      <c r="E1031" s="1">
        <v>0.77</v>
      </c>
      <c r="F1031" s="1">
        <v>17</v>
      </c>
      <c r="G1031" s="1">
        <v>13</v>
      </c>
      <c r="I1031" s="58" t="str">
        <f t="shared" si="16"/>
        <v>D &amp; R Landscapes</v>
      </c>
    </row>
    <row r="1032" spans="3:9" ht="15.75" customHeight="1" x14ac:dyDescent="0.2">
      <c r="D1032" s="1" t="s">
        <v>337</v>
      </c>
      <c r="E1032" s="1">
        <v>0.25</v>
      </c>
      <c r="F1032" s="1">
        <v>4</v>
      </c>
      <c r="G1032" s="1">
        <v>1</v>
      </c>
      <c r="I1032" s="58" t="str">
        <f t="shared" si="16"/>
        <v>D &amp; R Landscapes</v>
      </c>
    </row>
    <row r="1033" spans="3:9" ht="15.75" customHeight="1" x14ac:dyDescent="0.2">
      <c r="D1033" s="1" t="s">
        <v>340</v>
      </c>
      <c r="E1033" s="1">
        <v>0.86</v>
      </c>
      <c r="F1033" s="1">
        <v>7</v>
      </c>
      <c r="G1033" s="1">
        <v>6</v>
      </c>
      <c r="I1033" s="58" t="str">
        <f t="shared" si="16"/>
        <v>D &amp; R Landscapes</v>
      </c>
    </row>
    <row r="1034" spans="3:9" ht="15.75" customHeight="1" x14ac:dyDescent="0.2">
      <c r="D1034" s="1" t="s">
        <v>336</v>
      </c>
      <c r="E1034" s="1">
        <v>1</v>
      </c>
      <c r="F1034" s="1">
        <v>6</v>
      </c>
      <c r="G1034" s="1">
        <v>6</v>
      </c>
      <c r="I1034" s="58" t="str">
        <f t="shared" si="16"/>
        <v>D &amp; R Landscapes</v>
      </c>
    </row>
    <row r="1035" spans="3:9" ht="15.75" customHeight="1" x14ac:dyDescent="0.2">
      <c r="C1035" s="1" t="s">
        <v>584</v>
      </c>
      <c r="D1035" s="1" t="s">
        <v>334</v>
      </c>
      <c r="E1035" s="1">
        <v>0.8</v>
      </c>
      <c r="F1035" s="1">
        <v>15</v>
      </c>
      <c r="G1035" s="1">
        <v>12</v>
      </c>
      <c r="I1035" s="58" t="str">
        <f t="shared" si="16"/>
        <v>D &amp; R Landscapes</v>
      </c>
    </row>
    <row r="1036" spans="3:9" ht="15.75" customHeight="1" x14ac:dyDescent="0.2">
      <c r="D1036" s="1" t="s">
        <v>337</v>
      </c>
      <c r="E1036" s="1">
        <v>0.5</v>
      </c>
      <c r="F1036" s="1">
        <v>4</v>
      </c>
      <c r="G1036" s="1">
        <v>2</v>
      </c>
      <c r="I1036" s="58" t="str">
        <f t="shared" si="16"/>
        <v>D &amp; R Landscapes</v>
      </c>
    </row>
    <row r="1037" spans="3:9" ht="15.75" customHeight="1" x14ac:dyDescent="0.2">
      <c r="D1037" s="1" t="s">
        <v>338</v>
      </c>
      <c r="E1037" s="1">
        <v>0.8</v>
      </c>
      <c r="F1037" s="1">
        <v>5</v>
      </c>
      <c r="G1037" s="1">
        <v>4</v>
      </c>
      <c r="I1037" s="58" t="str">
        <f t="shared" si="16"/>
        <v>D &amp; R Landscapes</v>
      </c>
    </row>
    <row r="1038" spans="3:9" ht="15.75" customHeight="1" x14ac:dyDescent="0.2">
      <c r="D1038" s="1" t="s">
        <v>336</v>
      </c>
      <c r="E1038" s="1">
        <v>1</v>
      </c>
      <c r="F1038" s="1">
        <v>6</v>
      </c>
      <c r="G1038" s="1">
        <v>6</v>
      </c>
      <c r="I1038" s="58" t="str">
        <f t="shared" si="16"/>
        <v>D &amp; R Landscapes</v>
      </c>
    </row>
    <row r="1039" spans="3:9" ht="15.75" customHeight="1" x14ac:dyDescent="0.2">
      <c r="C1039" s="1" t="s">
        <v>585</v>
      </c>
      <c r="D1039" s="1" t="s">
        <v>334</v>
      </c>
      <c r="E1039" s="1">
        <v>0.95</v>
      </c>
      <c r="F1039" s="1">
        <v>17</v>
      </c>
      <c r="G1039" s="1">
        <v>16</v>
      </c>
      <c r="I1039" s="58" t="str">
        <f t="shared" si="16"/>
        <v>D &amp; R Landscapes</v>
      </c>
    </row>
    <row r="1040" spans="3:9" ht="15.75" customHeight="1" x14ac:dyDescent="0.2">
      <c r="D1040" s="1" t="s">
        <v>340</v>
      </c>
      <c r="E1040" s="1">
        <v>0.86</v>
      </c>
      <c r="F1040" s="1">
        <v>7</v>
      </c>
      <c r="G1040" s="1">
        <v>6</v>
      </c>
      <c r="I1040" s="58" t="str">
        <f t="shared" si="16"/>
        <v>D &amp; R Landscapes</v>
      </c>
    </row>
    <row r="1041" spans="2:9" ht="15.75" customHeight="1" x14ac:dyDescent="0.2">
      <c r="D1041" s="1" t="s">
        <v>336</v>
      </c>
      <c r="E1041" s="1">
        <v>1</v>
      </c>
      <c r="F1041" s="1">
        <v>6</v>
      </c>
      <c r="G1041" s="1">
        <v>6</v>
      </c>
      <c r="I1041" s="58" t="str">
        <f t="shared" si="16"/>
        <v>D &amp; R Landscapes</v>
      </c>
    </row>
    <row r="1042" spans="2:9" ht="15.75" customHeight="1" x14ac:dyDescent="0.2">
      <c r="D1042" s="1" t="s">
        <v>337</v>
      </c>
      <c r="E1042" s="1">
        <v>1</v>
      </c>
      <c r="F1042" s="1">
        <v>4</v>
      </c>
      <c r="G1042" s="1">
        <v>4</v>
      </c>
      <c r="I1042" s="58" t="str">
        <f t="shared" si="16"/>
        <v>D &amp; R Landscapes</v>
      </c>
    </row>
    <row r="1043" spans="2:9" ht="15.75" customHeight="1" x14ac:dyDescent="0.2">
      <c r="C1043" s="1" t="s">
        <v>72</v>
      </c>
      <c r="D1043" s="1" t="s">
        <v>334</v>
      </c>
      <c r="E1043" s="1">
        <v>1</v>
      </c>
      <c r="F1043" s="1">
        <v>4</v>
      </c>
      <c r="G1043" s="1">
        <v>4</v>
      </c>
      <c r="I1043" s="58" t="str">
        <f t="shared" si="16"/>
        <v>D &amp; R Landscapes</v>
      </c>
    </row>
    <row r="1044" spans="2:9" ht="15.75" customHeight="1" x14ac:dyDescent="0.2">
      <c r="D1044" s="1" t="s">
        <v>343</v>
      </c>
      <c r="E1044" s="1">
        <v>1</v>
      </c>
      <c r="F1044" s="1">
        <v>4</v>
      </c>
      <c r="G1044" s="1">
        <v>4</v>
      </c>
      <c r="I1044" s="58" t="str">
        <f t="shared" si="16"/>
        <v>D &amp; R Landscapes</v>
      </c>
    </row>
    <row r="1045" spans="2:9" ht="15.75" customHeight="1" x14ac:dyDescent="0.2">
      <c r="C1045" s="1" t="s">
        <v>586</v>
      </c>
      <c r="D1045" s="1" t="s">
        <v>334</v>
      </c>
      <c r="E1045" s="1">
        <v>1</v>
      </c>
      <c r="F1045" s="1">
        <v>17</v>
      </c>
      <c r="G1045" s="1">
        <v>17</v>
      </c>
      <c r="I1045" s="58" t="str">
        <f t="shared" si="16"/>
        <v>D &amp; R Landscapes</v>
      </c>
    </row>
    <row r="1046" spans="2:9" ht="15.75" customHeight="1" x14ac:dyDescent="0.2">
      <c r="D1046" s="1" t="s">
        <v>340</v>
      </c>
      <c r="E1046" s="1">
        <v>1</v>
      </c>
      <c r="F1046" s="1">
        <v>7</v>
      </c>
      <c r="G1046" s="1">
        <v>7</v>
      </c>
      <c r="I1046" s="58" t="str">
        <f t="shared" si="16"/>
        <v>D &amp; R Landscapes</v>
      </c>
    </row>
    <row r="1047" spans="2:9" ht="15.75" customHeight="1" x14ac:dyDescent="0.2">
      <c r="D1047" s="1" t="s">
        <v>336</v>
      </c>
      <c r="E1047" s="1">
        <v>1</v>
      </c>
      <c r="F1047" s="1">
        <v>6</v>
      </c>
      <c r="G1047" s="1">
        <v>6</v>
      </c>
      <c r="I1047" s="58" t="str">
        <f t="shared" si="16"/>
        <v>D &amp; R Landscapes</v>
      </c>
    </row>
    <row r="1048" spans="2:9" ht="15.75" customHeight="1" x14ac:dyDescent="0.2">
      <c r="D1048" s="1" t="s">
        <v>337</v>
      </c>
      <c r="E1048" s="1">
        <v>1</v>
      </c>
      <c r="F1048" s="1">
        <v>4</v>
      </c>
      <c r="G1048" s="1">
        <v>4</v>
      </c>
      <c r="I1048" s="58" t="str">
        <f t="shared" si="16"/>
        <v>D &amp; R Landscapes</v>
      </c>
    </row>
    <row r="1049" spans="2:9" ht="15.75" customHeight="1" x14ac:dyDescent="0.2">
      <c r="B1049" s="1" t="s">
        <v>142</v>
      </c>
      <c r="C1049" s="1" t="s">
        <v>334</v>
      </c>
      <c r="E1049" s="1">
        <v>0.8</v>
      </c>
      <c r="F1049" s="1">
        <v>102</v>
      </c>
      <c r="G1049" s="1">
        <v>81</v>
      </c>
      <c r="H1049" s="57">
        <v>42930</v>
      </c>
      <c r="I1049" s="58" t="str">
        <f t="shared" si="16"/>
        <v>Astbury Tree Care</v>
      </c>
    </row>
    <row r="1050" spans="2:9" ht="15.75" customHeight="1" x14ac:dyDescent="0.2">
      <c r="C1050" s="1" t="s">
        <v>587</v>
      </c>
      <c r="D1050" s="1" t="s">
        <v>334</v>
      </c>
      <c r="E1050" s="1">
        <v>0.71</v>
      </c>
      <c r="F1050" s="1">
        <v>17</v>
      </c>
      <c r="G1050" s="1">
        <v>12</v>
      </c>
      <c r="I1050" s="58" t="str">
        <f t="shared" si="16"/>
        <v>Astbury Tree Care</v>
      </c>
    </row>
    <row r="1051" spans="2:9" ht="15.75" customHeight="1" x14ac:dyDescent="0.2">
      <c r="D1051" s="1" t="s">
        <v>337</v>
      </c>
      <c r="E1051" s="1">
        <v>0.25</v>
      </c>
      <c r="F1051" s="1">
        <v>4</v>
      </c>
      <c r="G1051" s="1">
        <v>1</v>
      </c>
      <c r="I1051" s="58" t="str">
        <f t="shared" si="16"/>
        <v>Astbury Tree Care</v>
      </c>
    </row>
    <row r="1052" spans="2:9" ht="15.75" customHeight="1" x14ac:dyDescent="0.2">
      <c r="D1052" s="1" t="s">
        <v>340</v>
      </c>
      <c r="E1052" s="1">
        <v>0.72</v>
      </c>
      <c r="F1052" s="1">
        <v>7</v>
      </c>
      <c r="G1052" s="1">
        <v>5</v>
      </c>
      <c r="I1052" s="58" t="str">
        <f t="shared" si="16"/>
        <v>Astbury Tree Care</v>
      </c>
    </row>
    <row r="1053" spans="2:9" ht="15.75" customHeight="1" x14ac:dyDescent="0.2">
      <c r="D1053" s="1" t="s">
        <v>336</v>
      </c>
      <c r="E1053" s="1">
        <v>1</v>
      </c>
      <c r="F1053" s="1">
        <v>6</v>
      </c>
      <c r="G1053" s="1">
        <v>6</v>
      </c>
      <c r="I1053" s="58" t="str">
        <f t="shared" si="16"/>
        <v>Astbury Tree Care</v>
      </c>
    </row>
    <row r="1054" spans="2:9" ht="15.75" customHeight="1" x14ac:dyDescent="0.2">
      <c r="D1054" s="1" t="s">
        <v>334</v>
      </c>
      <c r="E1054" s="1">
        <v>0.75</v>
      </c>
      <c r="F1054" s="1">
        <v>47</v>
      </c>
      <c r="G1054" s="1">
        <v>35</v>
      </c>
      <c r="I1054" s="58" t="str">
        <f t="shared" si="16"/>
        <v>Astbury Tree Care</v>
      </c>
    </row>
    <row r="1055" spans="2:9" ht="15.75" customHeight="1" x14ac:dyDescent="0.2">
      <c r="D1055" s="1" t="s">
        <v>337</v>
      </c>
      <c r="E1055" s="1">
        <v>0.59</v>
      </c>
      <c r="F1055" s="1">
        <v>12</v>
      </c>
      <c r="G1055" s="1">
        <v>7</v>
      </c>
      <c r="I1055" s="58" t="str">
        <f t="shared" si="16"/>
        <v>Astbury Tree Care</v>
      </c>
    </row>
    <row r="1056" spans="2:9" ht="15.75" customHeight="1" x14ac:dyDescent="0.2">
      <c r="D1056" s="1" t="s">
        <v>338</v>
      </c>
      <c r="E1056" s="1">
        <v>0.7</v>
      </c>
      <c r="F1056" s="1">
        <v>10</v>
      </c>
      <c r="G1056" s="1">
        <v>7</v>
      </c>
      <c r="I1056" s="58" t="str">
        <f t="shared" si="16"/>
        <v>Astbury Tree Care</v>
      </c>
    </row>
    <row r="1057" spans="2:9" ht="15.75" customHeight="1" x14ac:dyDescent="0.2">
      <c r="D1057" s="1" t="s">
        <v>340</v>
      </c>
      <c r="E1057" s="1">
        <v>0.72</v>
      </c>
      <c r="F1057" s="1">
        <v>7</v>
      </c>
      <c r="G1057" s="1">
        <v>5</v>
      </c>
      <c r="I1057" s="58" t="str">
        <f t="shared" si="16"/>
        <v>Astbury Tree Care</v>
      </c>
    </row>
    <row r="1058" spans="2:9" ht="15.75" customHeight="1" x14ac:dyDescent="0.2">
      <c r="D1058" s="1" t="s">
        <v>336</v>
      </c>
      <c r="E1058" s="1">
        <v>0.89</v>
      </c>
      <c r="F1058" s="1">
        <v>18</v>
      </c>
      <c r="G1058" s="1">
        <v>16</v>
      </c>
      <c r="I1058" s="58" t="str">
        <f t="shared" si="16"/>
        <v>Astbury Tree Care</v>
      </c>
    </row>
    <row r="1059" spans="2:9" ht="15.75" customHeight="1" x14ac:dyDescent="0.2">
      <c r="C1059" s="1" t="s">
        <v>588</v>
      </c>
      <c r="D1059" s="1" t="s">
        <v>334</v>
      </c>
      <c r="E1059" s="1">
        <v>0.83</v>
      </c>
      <c r="F1059" s="1">
        <v>17</v>
      </c>
      <c r="G1059" s="1">
        <v>14</v>
      </c>
      <c r="I1059" s="58" t="str">
        <f t="shared" si="16"/>
        <v>Astbury Tree Care</v>
      </c>
    </row>
    <row r="1060" spans="2:9" ht="15.75" customHeight="1" x14ac:dyDescent="0.2">
      <c r="D1060" s="1" t="s">
        <v>340</v>
      </c>
      <c r="E1060" s="1">
        <v>0.57999999999999996</v>
      </c>
      <c r="F1060" s="1">
        <v>7</v>
      </c>
      <c r="G1060" s="1">
        <v>4</v>
      </c>
      <c r="I1060" s="58" t="str">
        <f t="shared" si="16"/>
        <v>Astbury Tree Care</v>
      </c>
    </row>
    <row r="1061" spans="2:9" ht="15.75" customHeight="1" x14ac:dyDescent="0.2">
      <c r="D1061" s="1" t="s">
        <v>336</v>
      </c>
      <c r="E1061" s="1">
        <v>1</v>
      </c>
      <c r="F1061" s="1">
        <v>6</v>
      </c>
      <c r="G1061" s="1">
        <v>6</v>
      </c>
      <c r="I1061" s="58" t="str">
        <f t="shared" si="16"/>
        <v>Astbury Tree Care</v>
      </c>
    </row>
    <row r="1062" spans="2:9" ht="15.75" customHeight="1" x14ac:dyDescent="0.2">
      <c r="D1062" s="1" t="s">
        <v>337</v>
      </c>
      <c r="E1062" s="1">
        <v>1</v>
      </c>
      <c r="F1062" s="1">
        <v>4</v>
      </c>
      <c r="G1062" s="1">
        <v>4</v>
      </c>
      <c r="I1062" s="58" t="str">
        <f t="shared" si="16"/>
        <v>Astbury Tree Care</v>
      </c>
    </row>
    <row r="1063" spans="2:9" ht="15.75" customHeight="1" x14ac:dyDescent="0.2">
      <c r="C1063" s="1" t="s">
        <v>589</v>
      </c>
      <c r="D1063" s="1" t="s">
        <v>334</v>
      </c>
      <c r="E1063" s="1">
        <v>0.95</v>
      </c>
      <c r="F1063" s="1">
        <v>17</v>
      </c>
      <c r="G1063" s="1">
        <v>16</v>
      </c>
      <c r="I1063" s="58" t="str">
        <f t="shared" si="16"/>
        <v>Astbury Tree Care</v>
      </c>
    </row>
    <row r="1064" spans="2:9" ht="15.75" customHeight="1" x14ac:dyDescent="0.2">
      <c r="D1064" s="1" t="s">
        <v>340</v>
      </c>
      <c r="E1064" s="1">
        <v>0.86</v>
      </c>
      <c r="F1064" s="1">
        <v>7</v>
      </c>
      <c r="G1064" s="1">
        <v>6</v>
      </c>
      <c r="I1064" s="58" t="str">
        <f t="shared" si="16"/>
        <v>Astbury Tree Care</v>
      </c>
    </row>
    <row r="1065" spans="2:9" ht="15.75" customHeight="1" x14ac:dyDescent="0.2">
      <c r="D1065" s="1" t="s">
        <v>336</v>
      </c>
      <c r="E1065" s="1">
        <v>1</v>
      </c>
      <c r="F1065" s="1">
        <v>6</v>
      </c>
      <c r="G1065" s="1">
        <v>6</v>
      </c>
      <c r="I1065" s="58" t="str">
        <f t="shared" si="16"/>
        <v>Astbury Tree Care</v>
      </c>
    </row>
    <row r="1066" spans="2:9" ht="15.75" customHeight="1" x14ac:dyDescent="0.2">
      <c r="D1066" s="1" t="s">
        <v>337</v>
      </c>
      <c r="E1066" s="1">
        <v>1</v>
      </c>
      <c r="F1066" s="1">
        <v>4</v>
      </c>
      <c r="G1066" s="1">
        <v>4</v>
      </c>
      <c r="I1066" s="58" t="str">
        <f t="shared" si="16"/>
        <v>Astbury Tree Care</v>
      </c>
    </row>
    <row r="1067" spans="2:9" ht="15.75" customHeight="1" x14ac:dyDescent="0.2">
      <c r="C1067" s="1" t="s">
        <v>142</v>
      </c>
      <c r="D1067" s="1" t="s">
        <v>334</v>
      </c>
      <c r="E1067" s="1">
        <v>1</v>
      </c>
      <c r="F1067" s="1">
        <v>4</v>
      </c>
      <c r="G1067" s="1">
        <v>4</v>
      </c>
      <c r="I1067" s="58" t="str">
        <f t="shared" si="16"/>
        <v>Astbury Tree Care</v>
      </c>
    </row>
    <row r="1068" spans="2:9" ht="15.75" customHeight="1" x14ac:dyDescent="0.2">
      <c r="D1068" s="1" t="s">
        <v>343</v>
      </c>
      <c r="E1068" s="1">
        <v>1</v>
      </c>
      <c r="F1068" s="1">
        <v>4</v>
      </c>
      <c r="G1068" s="1">
        <v>4</v>
      </c>
      <c r="I1068" s="58" t="str">
        <f t="shared" si="16"/>
        <v>Astbury Tree Care</v>
      </c>
    </row>
    <row r="1069" spans="2:9" ht="15.75" customHeight="1" x14ac:dyDescent="0.2">
      <c r="B1069" s="1" t="s">
        <v>104</v>
      </c>
      <c r="C1069" s="1" t="s">
        <v>334</v>
      </c>
      <c r="E1069" s="1">
        <v>0.8</v>
      </c>
      <c r="F1069" s="1">
        <v>70</v>
      </c>
      <c r="G1069" s="1">
        <v>56</v>
      </c>
      <c r="H1069" s="57">
        <v>41995</v>
      </c>
      <c r="I1069" s="58" t="str">
        <f t="shared" si="16"/>
        <v>Central Tree Maintenance</v>
      </c>
    </row>
    <row r="1070" spans="2:9" ht="15.75" customHeight="1" x14ac:dyDescent="0.2">
      <c r="C1070" s="1" t="s">
        <v>590</v>
      </c>
      <c r="D1070" s="1" t="s">
        <v>334</v>
      </c>
      <c r="E1070" s="1">
        <v>0.71</v>
      </c>
      <c r="F1070" s="1">
        <v>17</v>
      </c>
      <c r="G1070" s="1">
        <v>12</v>
      </c>
      <c r="I1070" s="58" t="str">
        <f t="shared" si="16"/>
        <v>Central Tree Maintenance</v>
      </c>
    </row>
    <row r="1071" spans="2:9" ht="15.75" customHeight="1" x14ac:dyDescent="0.2">
      <c r="D1071" s="1" t="s">
        <v>337</v>
      </c>
      <c r="E1071" s="1">
        <v>0</v>
      </c>
      <c r="F1071" s="1">
        <v>4</v>
      </c>
      <c r="G1071" s="1">
        <v>0</v>
      </c>
      <c r="I1071" s="58" t="str">
        <f t="shared" si="16"/>
        <v>Central Tree Maintenance</v>
      </c>
    </row>
    <row r="1072" spans="2:9" ht="15.75" customHeight="1" x14ac:dyDescent="0.2">
      <c r="D1072" s="1" t="s">
        <v>340</v>
      </c>
      <c r="E1072" s="1">
        <v>0.86</v>
      </c>
      <c r="F1072" s="1">
        <v>7</v>
      </c>
      <c r="G1072" s="1">
        <v>6</v>
      </c>
      <c r="I1072" s="58" t="str">
        <f t="shared" si="16"/>
        <v>Central Tree Maintenance</v>
      </c>
    </row>
    <row r="1073" spans="2:9" ht="15.75" customHeight="1" x14ac:dyDescent="0.2">
      <c r="D1073" s="1" t="s">
        <v>336</v>
      </c>
      <c r="E1073" s="1">
        <v>1</v>
      </c>
      <c r="F1073" s="1">
        <v>6</v>
      </c>
      <c r="G1073" s="1">
        <v>6</v>
      </c>
      <c r="I1073" s="58" t="str">
        <f t="shared" si="16"/>
        <v>Central Tree Maintenance</v>
      </c>
    </row>
    <row r="1074" spans="2:9" ht="15.75" customHeight="1" x14ac:dyDescent="0.2">
      <c r="C1074" s="1" t="s">
        <v>591</v>
      </c>
      <c r="D1074" s="1" t="s">
        <v>334</v>
      </c>
      <c r="E1074" s="1">
        <v>0.74</v>
      </c>
      <c r="F1074" s="1">
        <v>15</v>
      </c>
      <c r="G1074" s="1">
        <v>11</v>
      </c>
      <c r="I1074" s="58" t="str">
        <f t="shared" si="16"/>
        <v>Central Tree Maintenance</v>
      </c>
    </row>
    <row r="1075" spans="2:9" ht="15.75" customHeight="1" x14ac:dyDescent="0.2">
      <c r="D1075" s="1" t="s">
        <v>337</v>
      </c>
      <c r="E1075" s="1">
        <v>0.5</v>
      </c>
      <c r="F1075" s="1">
        <v>4</v>
      </c>
      <c r="G1075" s="1">
        <v>2</v>
      </c>
      <c r="I1075" s="58" t="str">
        <f t="shared" si="16"/>
        <v>Central Tree Maintenance</v>
      </c>
    </row>
    <row r="1076" spans="2:9" ht="15.75" customHeight="1" x14ac:dyDescent="0.2">
      <c r="D1076" s="1" t="s">
        <v>336</v>
      </c>
      <c r="E1076" s="1">
        <v>0.67</v>
      </c>
      <c r="F1076" s="1">
        <v>6</v>
      </c>
      <c r="G1076" s="1">
        <v>4</v>
      </c>
      <c r="I1076" s="58" t="str">
        <f t="shared" si="16"/>
        <v>Central Tree Maintenance</v>
      </c>
    </row>
    <row r="1077" spans="2:9" ht="15.75" customHeight="1" x14ac:dyDescent="0.2">
      <c r="D1077" s="1" t="s">
        <v>338</v>
      </c>
      <c r="E1077" s="1">
        <v>1</v>
      </c>
      <c r="F1077" s="1">
        <v>5</v>
      </c>
      <c r="G1077" s="1">
        <v>5</v>
      </c>
      <c r="I1077" s="58" t="str">
        <f t="shared" si="16"/>
        <v>Central Tree Maintenance</v>
      </c>
    </row>
    <row r="1078" spans="2:9" ht="15.75" customHeight="1" x14ac:dyDescent="0.2">
      <c r="C1078" s="1" t="s">
        <v>592</v>
      </c>
      <c r="D1078" s="1" t="s">
        <v>334</v>
      </c>
      <c r="E1078" s="1">
        <v>0.83</v>
      </c>
      <c r="F1078" s="1">
        <v>17</v>
      </c>
      <c r="G1078" s="1">
        <v>14</v>
      </c>
      <c r="I1078" s="58" t="str">
        <f t="shared" si="16"/>
        <v>Central Tree Maintenance</v>
      </c>
    </row>
    <row r="1079" spans="2:9" ht="15.75" customHeight="1" x14ac:dyDescent="0.2">
      <c r="D1079" s="1" t="s">
        <v>340</v>
      </c>
      <c r="E1079" s="1">
        <v>0.57999999999999996</v>
      </c>
      <c r="F1079" s="1">
        <v>7</v>
      </c>
      <c r="G1079" s="1">
        <v>4</v>
      </c>
      <c r="I1079" s="58" t="str">
        <f t="shared" si="16"/>
        <v>Central Tree Maintenance</v>
      </c>
    </row>
    <row r="1080" spans="2:9" ht="15.75" customHeight="1" x14ac:dyDescent="0.2">
      <c r="D1080" s="1" t="s">
        <v>336</v>
      </c>
      <c r="E1080" s="1">
        <v>1</v>
      </c>
      <c r="F1080" s="1">
        <v>6</v>
      </c>
      <c r="G1080" s="1">
        <v>6</v>
      </c>
      <c r="I1080" s="58" t="str">
        <f t="shared" si="16"/>
        <v>Central Tree Maintenance</v>
      </c>
    </row>
    <row r="1081" spans="2:9" ht="15.75" customHeight="1" x14ac:dyDescent="0.2">
      <c r="D1081" s="1" t="s">
        <v>337</v>
      </c>
      <c r="E1081" s="1">
        <v>1</v>
      </c>
      <c r="F1081" s="1">
        <v>4</v>
      </c>
      <c r="G1081" s="1">
        <v>4</v>
      </c>
      <c r="I1081" s="58" t="str">
        <f t="shared" si="16"/>
        <v>Central Tree Maintenance</v>
      </c>
    </row>
    <row r="1082" spans="2:9" ht="15.75" customHeight="1" x14ac:dyDescent="0.2">
      <c r="C1082" s="1" t="s">
        <v>593</v>
      </c>
      <c r="D1082" s="1" t="s">
        <v>334</v>
      </c>
      <c r="E1082" s="1">
        <v>0.89</v>
      </c>
      <c r="F1082" s="1">
        <v>17</v>
      </c>
      <c r="G1082" s="1">
        <v>15</v>
      </c>
      <c r="I1082" s="58" t="str">
        <f t="shared" si="16"/>
        <v>Central Tree Maintenance</v>
      </c>
    </row>
    <row r="1083" spans="2:9" ht="15.75" customHeight="1" x14ac:dyDescent="0.2">
      <c r="D1083" s="1" t="s">
        <v>340</v>
      </c>
      <c r="E1083" s="1">
        <v>0.72</v>
      </c>
      <c r="F1083" s="1">
        <v>7</v>
      </c>
      <c r="G1083" s="1">
        <v>5</v>
      </c>
      <c r="I1083" s="58" t="str">
        <f t="shared" si="16"/>
        <v>Central Tree Maintenance</v>
      </c>
    </row>
    <row r="1084" spans="2:9" ht="15.75" customHeight="1" x14ac:dyDescent="0.2">
      <c r="D1084" s="1" t="s">
        <v>336</v>
      </c>
      <c r="E1084" s="1">
        <v>1</v>
      </c>
      <c r="F1084" s="1">
        <v>6</v>
      </c>
      <c r="G1084" s="1">
        <v>6</v>
      </c>
      <c r="I1084" s="58" t="str">
        <f t="shared" si="16"/>
        <v>Central Tree Maintenance</v>
      </c>
    </row>
    <row r="1085" spans="2:9" ht="15.75" customHeight="1" x14ac:dyDescent="0.2">
      <c r="D1085" s="1" t="s">
        <v>337</v>
      </c>
      <c r="E1085" s="1">
        <v>1</v>
      </c>
      <c r="F1085" s="1">
        <v>4</v>
      </c>
      <c r="G1085" s="1">
        <v>4</v>
      </c>
      <c r="I1085" s="58" t="str">
        <f t="shared" si="16"/>
        <v>Central Tree Maintenance</v>
      </c>
    </row>
    <row r="1086" spans="2:9" ht="15.75" customHeight="1" x14ac:dyDescent="0.2">
      <c r="C1086" s="1" t="s">
        <v>104</v>
      </c>
      <c r="D1086" s="1" t="s">
        <v>334</v>
      </c>
      <c r="E1086" s="1">
        <v>1</v>
      </c>
      <c r="F1086" s="1">
        <v>4</v>
      </c>
      <c r="G1086" s="1">
        <v>4</v>
      </c>
      <c r="I1086" s="58" t="str">
        <f t="shared" si="16"/>
        <v>Central Tree Maintenance</v>
      </c>
    </row>
    <row r="1087" spans="2:9" ht="15.75" customHeight="1" x14ac:dyDescent="0.2">
      <c r="D1087" s="1" t="s">
        <v>343</v>
      </c>
      <c r="E1087" s="1">
        <v>1</v>
      </c>
      <c r="F1087" s="1">
        <v>4</v>
      </c>
      <c r="G1087" s="1">
        <v>4</v>
      </c>
      <c r="I1087" s="58" t="str">
        <f t="shared" si="16"/>
        <v>Central Tree Maintenance</v>
      </c>
    </row>
    <row r="1088" spans="2:9" ht="15.75" customHeight="1" x14ac:dyDescent="0.2">
      <c r="B1088" s="1" t="s">
        <v>54</v>
      </c>
      <c r="C1088" s="1" t="s">
        <v>334</v>
      </c>
      <c r="E1088" s="1">
        <v>0.8</v>
      </c>
      <c r="F1088" s="1">
        <v>165</v>
      </c>
      <c r="G1088" s="1">
        <v>132</v>
      </c>
      <c r="H1088" s="57">
        <v>45586</v>
      </c>
      <c r="I1088" s="58" t="str">
        <f t="shared" si="16"/>
        <v>Kingfisher Tree Services Ltd</v>
      </c>
    </row>
    <row r="1089" spans="3:9" ht="15.75" customHeight="1" x14ac:dyDescent="0.2">
      <c r="C1089" s="1" t="s">
        <v>594</v>
      </c>
      <c r="D1089" s="1" t="s">
        <v>334</v>
      </c>
      <c r="E1089" s="1">
        <v>0.54</v>
      </c>
      <c r="F1089" s="1">
        <v>28</v>
      </c>
      <c r="G1089" s="1">
        <v>15</v>
      </c>
      <c r="I1089" s="58" t="str">
        <f t="shared" si="16"/>
        <v>Kingfisher Tree Services Ltd</v>
      </c>
    </row>
    <row r="1090" spans="3:9" ht="15.75" customHeight="1" x14ac:dyDescent="0.2">
      <c r="D1090" s="1" t="s">
        <v>340</v>
      </c>
      <c r="E1090" s="1">
        <v>0.28999999999999998</v>
      </c>
      <c r="F1090" s="1">
        <v>7</v>
      </c>
      <c r="G1090" s="1">
        <v>2</v>
      </c>
      <c r="I1090" s="58" t="str">
        <f t="shared" si="16"/>
        <v>Kingfisher Tree Services Ltd</v>
      </c>
    </row>
    <row r="1091" spans="3:9" ht="15.75" customHeight="1" x14ac:dyDescent="0.2">
      <c r="D1091" s="1" t="s">
        <v>336</v>
      </c>
      <c r="E1091" s="1">
        <v>0.5</v>
      </c>
      <c r="F1091" s="1">
        <v>6</v>
      </c>
      <c r="G1091" s="1">
        <v>3</v>
      </c>
      <c r="I1091" s="58" t="str">
        <f t="shared" si="16"/>
        <v>Kingfisher Tree Services Ltd</v>
      </c>
    </row>
    <row r="1092" spans="3:9" ht="15.75" customHeight="1" x14ac:dyDescent="0.2">
      <c r="D1092" s="1" t="s">
        <v>595</v>
      </c>
      <c r="E1092" s="1">
        <v>0.5</v>
      </c>
      <c r="F1092" s="1">
        <v>6</v>
      </c>
      <c r="G1092" s="1">
        <v>3</v>
      </c>
      <c r="I1092" s="58" t="str">
        <f t="shared" si="16"/>
        <v>Kingfisher Tree Services Ltd</v>
      </c>
    </row>
    <row r="1093" spans="3:9" ht="15.75" customHeight="1" x14ac:dyDescent="0.2">
      <c r="D1093" s="1" t="s">
        <v>596</v>
      </c>
      <c r="E1093" s="1">
        <v>0.6</v>
      </c>
      <c r="F1093" s="1">
        <v>5</v>
      </c>
      <c r="G1093" s="1">
        <v>3</v>
      </c>
      <c r="I1093" s="58" t="str">
        <f t="shared" si="16"/>
        <v>Kingfisher Tree Services Ltd</v>
      </c>
    </row>
    <row r="1094" spans="3:9" ht="15.75" customHeight="1" x14ac:dyDescent="0.2">
      <c r="D1094" s="1" t="s">
        <v>337</v>
      </c>
      <c r="E1094" s="1">
        <v>1</v>
      </c>
      <c r="F1094" s="1">
        <v>4</v>
      </c>
      <c r="G1094" s="1">
        <v>4</v>
      </c>
      <c r="I1094" s="58" t="str">
        <f t="shared" ref="I1094:I1157" si="17">IF(B1094&lt;&gt;"",B1094,I1093)</f>
        <v>Kingfisher Tree Services Ltd</v>
      </c>
    </row>
    <row r="1095" spans="3:9" ht="15.75" customHeight="1" x14ac:dyDescent="0.2">
      <c r="C1095" s="1" t="s">
        <v>597</v>
      </c>
      <c r="D1095" s="1" t="s">
        <v>334</v>
      </c>
      <c r="E1095" s="1">
        <v>0.75</v>
      </c>
      <c r="F1095" s="1">
        <v>28</v>
      </c>
      <c r="G1095" s="1">
        <v>21</v>
      </c>
      <c r="I1095" s="58" t="str">
        <f t="shared" si="17"/>
        <v>Kingfisher Tree Services Ltd</v>
      </c>
    </row>
    <row r="1096" spans="3:9" ht="15.75" customHeight="1" x14ac:dyDescent="0.2">
      <c r="D1096" s="1" t="s">
        <v>595</v>
      </c>
      <c r="E1096" s="1">
        <v>0.5</v>
      </c>
      <c r="F1096" s="1">
        <v>6</v>
      </c>
      <c r="G1096" s="1">
        <v>3</v>
      </c>
      <c r="I1096" s="58" t="str">
        <f t="shared" si="17"/>
        <v>Kingfisher Tree Services Ltd</v>
      </c>
    </row>
    <row r="1097" spans="3:9" ht="15.75" customHeight="1" x14ac:dyDescent="0.2">
      <c r="D1097" s="1" t="s">
        <v>340</v>
      </c>
      <c r="E1097" s="1">
        <v>0.72</v>
      </c>
      <c r="F1097" s="1">
        <v>7</v>
      </c>
      <c r="G1097" s="1">
        <v>5</v>
      </c>
      <c r="I1097" s="58" t="str">
        <f t="shared" si="17"/>
        <v>Kingfisher Tree Services Ltd</v>
      </c>
    </row>
    <row r="1098" spans="3:9" ht="15.75" customHeight="1" x14ac:dyDescent="0.2">
      <c r="D1098" s="1" t="s">
        <v>596</v>
      </c>
      <c r="E1098" s="1">
        <v>0.8</v>
      </c>
      <c r="F1098" s="1">
        <v>5</v>
      </c>
      <c r="G1098" s="1">
        <v>4</v>
      </c>
      <c r="I1098" s="58" t="str">
        <f t="shared" si="17"/>
        <v>Kingfisher Tree Services Ltd</v>
      </c>
    </row>
    <row r="1099" spans="3:9" ht="15.75" customHeight="1" x14ac:dyDescent="0.2">
      <c r="D1099" s="1" t="s">
        <v>336</v>
      </c>
      <c r="E1099" s="1">
        <v>0.84</v>
      </c>
      <c r="F1099" s="1">
        <v>6</v>
      </c>
      <c r="G1099" s="1">
        <v>5</v>
      </c>
      <c r="I1099" s="58" t="str">
        <f t="shared" si="17"/>
        <v>Kingfisher Tree Services Ltd</v>
      </c>
    </row>
    <row r="1100" spans="3:9" ht="15.75" customHeight="1" x14ac:dyDescent="0.2">
      <c r="D1100" s="1" t="s">
        <v>337</v>
      </c>
      <c r="E1100" s="1">
        <v>1</v>
      </c>
      <c r="F1100" s="1">
        <v>4</v>
      </c>
      <c r="G1100" s="1">
        <v>4</v>
      </c>
      <c r="I1100" s="58" t="str">
        <f t="shared" si="17"/>
        <v>Kingfisher Tree Services Ltd</v>
      </c>
    </row>
    <row r="1101" spans="3:9" ht="15.75" customHeight="1" x14ac:dyDescent="0.2">
      <c r="C1101" s="1" t="s">
        <v>598</v>
      </c>
      <c r="D1101" s="1" t="s">
        <v>334</v>
      </c>
      <c r="E1101" s="1">
        <v>0.8</v>
      </c>
      <c r="F1101" s="1">
        <v>15</v>
      </c>
      <c r="G1101" s="1">
        <v>12</v>
      </c>
      <c r="I1101" s="58" t="str">
        <f t="shared" si="17"/>
        <v>Kingfisher Tree Services Ltd</v>
      </c>
    </row>
    <row r="1102" spans="3:9" ht="15.75" customHeight="1" x14ac:dyDescent="0.2">
      <c r="D1102" s="1" t="s">
        <v>337</v>
      </c>
      <c r="E1102" s="1">
        <v>0.5</v>
      </c>
      <c r="F1102" s="1">
        <v>4</v>
      </c>
      <c r="G1102" s="1">
        <v>2</v>
      </c>
      <c r="I1102" s="58" t="str">
        <f t="shared" si="17"/>
        <v>Kingfisher Tree Services Ltd</v>
      </c>
    </row>
    <row r="1103" spans="3:9" ht="15.75" customHeight="1" x14ac:dyDescent="0.2">
      <c r="D1103" s="1" t="s">
        <v>336</v>
      </c>
      <c r="E1103" s="1">
        <v>0.84</v>
      </c>
      <c r="F1103" s="1">
        <v>6</v>
      </c>
      <c r="G1103" s="1">
        <v>5</v>
      </c>
      <c r="I1103" s="58" t="str">
        <f t="shared" si="17"/>
        <v>Kingfisher Tree Services Ltd</v>
      </c>
    </row>
    <row r="1104" spans="3:9" ht="15.75" customHeight="1" x14ac:dyDescent="0.2">
      <c r="D1104" s="1" t="s">
        <v>338</v>
      </c>
      <c r="E1104" s="1">
        <v>1</v>
      </c>
      <c r="F1104" s="1">
        <v>5</v>
      </c>
      <c r="G1104" s="1">
        <v>5</v>
      </c>
      <c r="I1104" s="58" t="str">
        <f t="shared" si="17"/>
        <v>Kingfisher Tree Services Ltd</v>
      </c>
    </row>
    <row r="1105" spans="3:9" ht="15.75" customHeight="1" x14ac:dyDescent="0.2">
      <c r="C1105" s="1" t="s">
        <v>599</v>
      </c>
      <c r="D1105" s="1" t="s">
        <v>334</v>
      </c>
      <c r="E1105" s="1">
        <v>0.83</v>
      </c>
      <c r="F1105" s="1">
        <v>28</v>
      </c>
      <c r="G1105" s="1">
        <v>23</v>
      </c>
      <c r="I1105" s="58" t="str">
        <f t="shared" si="17"/>
        <v>Kingfisher Tree Services Ltd</v>
      </c>
    </row>
    <row r="1106" spans="3:9" ht="15.75" customHeight="1" x14ac:dyDescent="0.2">
      <c r="D1106" s="1" t="s">
        <v>337</v>
      </c>
      <c r="E1106" s="1">
        <v>0.5</v>
      </c>
      <c r="F1106" s="1">
        <v>4</v>
      </c>
      <c r="G1106" s="1">
        <v>2</v>
      </c>
      <c r="I1106" s="58" t="str">
        <f t="shared" si="17"/>
        <v>Kingfisher Tree Services Ltd</v>
      </c>
    </row>
    <row r="1107" spans="3:9" ht="15.75" customHeight="1" x14ac:dyDescent="0.2">
      <c r="D1107" s="1" t="s">
        <v>595</v>
      </c>
      <c r="E1107" s="1">
        <v>0.67</v>
      </c>
      <c r="F1107" s="1">
        <v>6</v>
      </c>
      <c r="G1107" s="1">
        <v>4</v>
      </c>
      <c r="I1107" s="58" t="str">
        <f t="shared" si="17"/>
        <v>Kingfisher Tree Services Ltd</v>
      </c>
    </row>
    <row r="1108" spans="3:9" ht="15.75" customHeight="1" x14ac:dyDescent="0.2">
      <c r="D1108" s="1" t="s">
        <v>596</v>
      </c>
      <c r="E1108" s="1">
        <v>0.8</v>
      </c>
      <c r="F1108" s="1">
        <v>5</v>
      </c>
      <c r="G1108" s="1">
        <v>4</v>
      </c>
      <c r="I1108" s="58" t="str">
        <f t="shared" si="17"/>
        <v>Kingfisher Tree Services Ltd</v>
      </c>
    </row>
    <row r="1109" spans="3:9" ht="15.75" customHeight="1" x14ac:dyDescent="0.2">
      <c r="D1109" s="1" t="s">
        <v>340</v>
      </c>
      <c r="E1109" s="1">
        <v>1</v>
      </c>
      <c r="F1109" s="1">
        <v>7</v>
      </c>
      <c r="G1109" s="1">
        <v>7</v>
      </c>
      <c r="I1109" s="58" t="str">
        <f t="shared" si="17"/>
        <v>Kingfisher Tree Services Ltd</v>
      </c>
    </row>
    <row r="1110" spans="3:9" ht="15.75" customHeight="1" x14ac:dyDescent="0.2">
      <c r="D1110" s="1" t="s">
        <v>336</v>
      </c>
      <c r="E1110" s="1">
        <v>1</v>
      </c>
      <c r="F1110" s="1">
        <v>6</v>
      </c>
      <c r="G1110" s="1">
        <v>6</v>
      </c>
      <c r="I1110" s="58" t="str">
        <f t="shared" si="17"/>
        <v>Kingfisher Tree Services Ltd</v>
      </c>
    </row>
    <row r="1111" spans="3:9" ht="15.75" customHeight="1" x14ac:dyDescent="0.2">
      <c r="C1111" s="1" t="s">
        <v>600</v>
      </c>
      <c r="D1111" s="1" t="s">
        <v>334</v>
      </c>
      <c r="E1111" s="1">
        <v>0.86</v>
      </c>
      <c r="F1111" s="1">
        <v>28</v>
      </c>
      <c r="G1111" s="1">
        <v>24</v>
      </c>
      <c r="I1111" s="58" t="str">
        <f t="shared" si="17"/>
        <v>Kingfisher Tree Services Ltd</v>
      </c>
    </row>
    <row r="1112" spans="3:9" ht="15.75" customHeight="1" x14ac:dyDescent="0.2">
      <c r="D1112" s="1" t="s">
        <v>595</v>
      </c>
      <c r="E1112" s="1">
        <v>0.67</v>
      </c>
      <c r="F1112" s="1">
        <v>6</v>
      </c>
      <c r="G1112" s="1">
        <v>4</v>
      </c>
      <c r="I1112" s="58" t="str">
        <f t="shared" si="17"/>
        <v>Kingfisher Tree Services Ltd</v>
      </c>
    </row>
    <row r="1113" spans="3:9" ht="15.75" customHeight="1" x14ac:dyDescent="0.2">
      <c r="D1113" s="1" t="s">
        <v>336</v>
      </c>
      <c r="E1113" s="1">
        <v>0.84</v>
      </c>
      <c r="F1113" s="1">
        <v>6</v>
      </c>
      <c r="G1113" s="1">
        <v>5</v>
      </c>
      <c r="I1113" s="58" t="str">
        <f t="shared" si="17"/>
        <v>Kingfisher Tree Services Ltd</v>
      </c>
    </row>
    <row r="1114" spans="3:9" ht="15.75" customHeight="1" x14ac:dyDescent="0.2">
      <c r="D1114" s="1" t="s">
        <v>340</v>
      </c>
      <c r="E1114" s="1">
        <v>0.86</v>
      </c>
      <c r="F1114" s="1">
        <v>7</v>
      </c>
      <c r="G1114" s="1">
        <v>6</v>
      </c>
      <c r="I1114" s="58" t="str">
        <f t="shared" si="17"/>
        <v>Kingfisher Tree Services Ltd</v>
      </c>
    </row>
    <row r="1115" spans="3:9" ht="15.75" customHeight="1" x14ac:dyDescent="0.2">
      <c r="D1115" s="1" t="s">
        <v>596</v>
      </c>
      <c r="E1115" s="1">
        <v>1</v>
      </c>
      <c r="F1115" s="1">
        <v>5</v>
      </c>
      <c r="G1115" s="1">
        <v>5</v>
      </c>
      <c r="I1115" s="58" t="str">
        <f t="shared" si="17"/>
        <v>Kingfisher Tree Services Ltd</v>
      </c>
    </row>
    <row r="1116" spans="3:9" ht="15.75" customHeight="1" x14ac:dyDescent="0.2">
      <c r="D1116" s="1" t="s">
        <v>337</v>
      </c>
      <c r="E1116" s="1">
        <v>1</v>
      </c>
      <c r="F1116" s="1">
        <v>4</v>
      </c>
      <c r="G1116" s="1">
        <v>4</v>
      </c>
      <c r="I1116" s="58" t="str">
        <f t="shared" si="17"/>
        <v>Kingfisher Tree Services Ltd</v>
      </c>
    </row>
    <row r="1117" spans="3:9" ht="15.75" customHeight="1" x14ac:dyDescent="0.2">
      <c r="C1117" s="1" t="s">
        <v>601</v>
      </c>
      <c r="D1117" s="1" t="s">
        <v>334</v>
      </c>
      <c r="E1117" s="1">
        <v>0.95</v>
      </c>
      <c r="F1117" s="1">
        <v>17</v>
      </c>
      <c r="G1117" s="1">
        <v>16</v>
      </c>
      <c r="I1117" s="58" t="str">
        <f t="shared" si="17"/>
        <v>Kingfisher Tree Services Ltd</v>
      </c>
    </row>
    <row r="1118" spans="3:9" ht="15.75" customHeight="1" x14ac:dyDescent="0.2">
      <c r="D1118" s="1" t="s">
        <v>336</v>
      </c>
      <c r="E1118" s="1">
        <v>0.84</v>
      </c>
      <c r="F1118" s="1">
        <v>6</v>
      </c>
      <c r="G1118" s="1">
        <v>5</v>
      </c>
      <c r="I1118" s="58" t="str">
        <f t="shared" si="17"/>
        <v>Kingfisher Tree Services Ltd</v>
      </c>
    </row>
    <row r="1119" spans="3:9" ht="15.75" customHeight="1" x14ac:dyDescent="0.2">
      <c r="D1119" s="1" t="s">
        <v>340</v>
      </c>
      <c r="E1119" s="1">
        <v>1</v>
      </c>
      <c r="F1119" s="1">
        <v>7</v>
      </c>
      <c r="G1119" s="1">
        <v>7</v>
      </c>
      <c r="I1119" s="58" t="str">
        <f t="shared" si="17"/>
        <v>Kingfisher Tree Services Ltd</v>
      </c>
    </row>
    <row r="1120" spans="3:9" ht="15.75" customHeight="1" x14ac:dyDescent="0.2">
      <c r="D1120" s="1" t="s">
        <v>337</v>
      </c>
      <c r="E1120" s="1">
        <v>1</v>
      </c>
      <c r="F1120" s="1">
        <v>4</v>
      </c>
      <c r="G1120" s="1">
        <v>4</v>
      </c>
      <c r="I1120" s="58" t="str">
        <f t="shared" si="17"/>
        <v>Kingfisher Tree Services Ltd</v>
      </c>
    </row>
    <row r="1121" spans="2:9" ht="15.75" customHeight="1" x14ac:dyDescent="0.2">
      <c r="C1121" s="1" t="s">
        <v>602</v>
      </c>
      <c r="D1121" s="1" t="s">
        <v>334</v>
      </c>
      <c r="E1121" s="1">
        <v>1</v>
      </c>
      <c r="F1121" s="1">
        <v>4</v>
      </c>
      <c r="G1121" s="1">
        <v>4</v>
      </c>
      <c r="I1121" s="58" t="str">
        <f t="shared" si="17"/>
        <v>Kingfisher Tree Services Ltd</v>
      </c>
    </row>
    <row r="1122" spans="2:9" ht="15.75" customHeight="1" x14ac:dyDescent="0.2">
      <c r="D1122" s="1" t="s">
        <v>343</v>
      </c>
      <c r="E1122" s="1">
        <v>1</v>
      </c>
      <c r="F1122" s="1">
        <v>4</v>
      </c>
      <c r="G1122" s="1">
        <v>4</v>
      </c>
      <c r="I1122" s="58" t="str">
        <f t="shared" si="17"/>
        <v>Kingfisher Tree Services Ltd</v>
      </c>
    </row>
    <row r="1123" spans="2:9" ht="15.75" customHeight="1" x14ac:dyDescent="0.2">
      <c r="C1123" s="1" t="s">
        <v>603</v>
      </c>
      <c r="D1123" s="1" t="s">
        <v>334</v>
      </c>
      <c r="E1123" s="1">
        <v>1</v>
      </c>
      <c r="F1123" s="1">
        <v>17</v>
      </c>
      <c r="G1123" s="1">
        <v>17</v>
      </c>
      <c r="I1123" s="58" t="str">
        <f t="shared" si="17"/>
        <v>Kingfisher Tree Services Ltd</v>
      </c>
    </row>
    <row r="1124" spans="2:9" ht="15.75" customHeight="1" x14ac:dyDescent="0.2">
      <c r="D1124" s="1" t="s">
        <v>340</v>
      </c>
      <c r="E1124" s="1">
        <v>1</v>
      </c>
      <c r="F1124" s="1">
        <v>7</v>
      </c>
      <c r="G1124" s="1">
        <v>7</v>
      </c>
      <c r="I1124" s="58" t="str">
        <f t="shared" si="17"/>
        <v>Kingfisher Tree Services Ltd</v>
      </c>
    </row>
    <row r="1125" spans="2:9" ht="15.75" customHeight="1" x14ac:dyDescent="0.2">
      <c r="D1125" s="1" t="s">
        <v>336</v>
      </c>
      <c r="E1125" s="1">
        <v>1</v>
      </c>
      <c r="F1125" s="1">
        <v>6</v>
      </c>
      <c r="G1125" s="1">
        <v>6</v>
      </c>
      <c r="I1125" s="58" t="str">
        <f t="shared" si="17"/>
        <v>Kingfisher Tree Services Ltd</v>
      </c>
    </row>
    <row r="1126" spans="2:9" ht="15.75" customHeight="1" x14ac:dyDescent="0.2">
      <c r="D1126" s="1" t="s">
        <v>337</v>
      </c>
      <c r="E1126" s="1">
        <v>1</v>
      </c>
      <c r="F1126" s="1">
        <v>4</v>
      </c>
      <c r="G1126" s="1">
        <v>4</v>
      </c>
      <c r="I1126" s="58" t="str">
        <f t="shared" si="17"/>
        <v>Kingfisher Tree Services Ltd</v>
      </c>
    </row>
    <row r="1127" spans="2:9" ht="15.75" customHeight="1" x14ac:dyDescent="0.2">
      <c r="B1127" s="1" t="s">
        <v>146</v>
      </c>
      <c r="C1127" s="1" t="s">
        <v>334</v>
      </c>
      <c r="E1127" s="1">
        <v>0.82</v>
      </c>
      <c r="F1127" s="1">
        <v>38</v>
      </c>
      <c r="G1127" s="1">
        <v>31</v>
      </c>
      <c r="H1127" s="57">
        <v>45628</v>
      </c>
      <c r="I1127" s="58" t="str">
        <f t="shared" si="17"/>
        <v>Belvoir Tree Care</v>
      </c>
    </row>
    <row r="1128" spans="2:9" ht="15.75" customHeight="1" x14ac:dyDescent="0.2">
      <c r="C1128" s="1" t="s">
        <v>604</v>
      </c>
      <c r="D1128" s="1" t="s">
        <v>334</v>
      </c>
      <c r="E1128" s="1">
        <v>0.71</v>
      </c>
      <c r="F1128" s="1">
        <v>17</v>
      </c>
      <c r="G1128" s="1">
        <v>12</v>
      </c>
      <c r="I1128" s="58" t="str">
        <f t="shared" si="17"/>
        <v>Belvoir Tree Care</v>
      </c>
    </row>
    <row r="1129" spans="2:9" ht="15.75" customHeight="1" x14ac:dyDescent="0.2">
      <c r="D1129" s="1" t="s">
        <v>340</v>
      </c>
      <c r="E1129" s="1">
        <v>0.43</v>
      </c>
      <c r="F1129" s="1">
        <v>7</v>
      </c>
      <c r="G1129" s="1">
        <v>3</v>
      </c>
      <c r="I1129" s="58" t="str">
        <f t="shared" si="17"/>
        <v>Belvoir Tree Care</v>
      </c>
    </row>
    <row r="1130" spans="2:9" ht="15.75" customHeight="1" x14ac:dyDescent="0.2">
      <c r="D1130" s="1" t="s">
        <v>337</v>
      </c>
      <c r="E1130" s="1">
        <v>0.75</v>
      </c>
      <c r="F1130" s="1">
        <v>4</v>
      </c>
      <c r="G1130" s="1">
        <v>3</v>
      </c>
      <c r="I1130" s="58" t="str">
        <f t="shared" si="17"/>
        <v>Belvoir Tree Care</v>
      </c>
    </row>
    <row r="1131" spans="2:9" ht="15.75" customHeight="1" x14ac:dyDescent="0.2">
      <c r="D1131" s="1" t="s">
        <v>336</v>
      </c>
      <c r="E1131" s="1">
        <v>1</v>
      </c>
      <c r="F1131" s="1">
        <v>6</v>
      </c>
      <c r="G1131" s="1">
        <v>6</v>
      </c>
      <c r="I1131" s="58" t="str">
        <f t="shared" si="17"/>
        <v>Belvoir Tree Care</v>
      </c>
    </row>
    <row r="1132" spans="2:9" ht="15.75" customHeight="1" x14ac:dyDescent="0.2">
      <c r="C1132" s="1" t="s">
        <v>605</v>
      </c>
      <c r="D1132" s="1" t="s">
        <v>334</v>
      </c>
      <c r="E1132" s="1">
        <v>0.75</v>
      </c>
      <c r="F1132" s="1">
        <v>4</v>
      </c>
      <c r="G1132" s="1">
        <v>3</v>
      </c>
      <c r="I1132" s="58" t="str">
        <f t="shared" si="17"/>
        <v>Belvoir Tree Care</v>
      </c>
    </row>
    <row r="1133" spans="2:9" ht="15.75" customHeight="1" x14ac:dyDescent="0.2">
      <c r="D1133" s="1" t="s">
        <v>343</v>
      </c>
      <c r="E1133" s="1">
        <v>0.75</v>
      </c>
      <c r="F1133" s="1">
        <v>4</v>
      </c>
      <c r="G1133" s="1">
        <v>3</v>
      </c>
      <c r="I1133" s="58" t="str">
        <f t="shared" si="17"/>
        <v>Belvoir Tree Care</v>
      </c>
    </row>
    <row r="1134" spans="2:9" ht="15.75" customHeight="1" x14ac:dyDescent="0.2">
      <c r="C1134" s="1" t="s">
        <v>606</v>
      </c>
      <c r="D1134" s="1" t="s">
        <v>334</v>
      </c>
      <c r="E1134" s="1">
        <v>0.95</v>
      </c>
      <c r="F1134" s="1">
        <v>17</v>
      </c>
      <c r="G1134" s="1">
        <v>16</v>
      </c>
      <c r="I1134" s="58" t="str">
        <f t="shared" si="17"/>
        <v>Belvoir Tree Care</v>
      </c>
    </row>
    <row r="1135" spans="2:9" ht="15.75" customHeight="1" x14ac:dyDescent="0.2">
      <c r="D1135" s="1" t="s">
        <v>340</v>
      </c>
      <c r="E1135" s="1">
        <v>0.86</v>
      </c>
      <c r="F1135" s="1">
        <v>7</v>
      </c>
      <c r="G1135" s="1">
        <v>6</v>
      </c>
      <c r="I1135" s="58" t="str">
        <f t="shared" si="17"/>
        <v>Belvoir Tree Care</v>
      </c>
    </row>
    <row r="1136" spans="2:9" ht="15.75" customHeight="1" x14ac:dyDescent="0.2">
      <c r="D1136" s="1" t="s">
        <v>336</v>
      </c>
      <c r="E1136" s="1">
        <v>1</v>
      </c>
      <c r="F1136" s="1">
        <v>6</v>
      </c>
      <c r="G1136" s="1">
        <v>6</v>
      </c>
      <c r="I1136" s="58" t="str">
        <f t="shared" si="17"/>
        <v>Belvoir Tree Care</v>
      </c>
    </row>
    <row r="1137" spans="2:9" ht="15.75" customHeight="1" x14ac:dyDescent="0.2">
      <c r="D1137" s="1" t="s">
        <v>337</v>
      </c>
      <c r="E1137" s="1">
        <v>1</v>
      </c>
      <c r="F1137" s="1">
        <v>4</v>
      </c>
      <c r="G1137" s="1">
        <v>4</v>
      </c>
      <c r="I1137" s="58" t="str">
        <f t="shared" si="17"/>
        <v>Belvoir Tree Care</v>
      </c>
    </row>
    <row r="1138" spans="2:9" ht="15.75" customHeight="1" x14ac:dyDescent="0.2">
      <c r="B1138" s="1" t="s">
        <v>136</v>
      </c>
      <c r="C1138" s="1" t="s">
        <v>334</v>
      </c>
      <c r="E1138" s="1">
        <v>0.82</v>
      </c>
      <c r="F1138" s="1">
        <v>38</v>
      </c>
      <c r="G1138" s="1">
        <v>31</v>
      </c>
      <c r="H1138" s="57">
        <v>44901</v>
      </c>
      <c r="I1138" s="58" t="str">
        <f t="shared" si="17"/>
        <v>LT Countryside Services Ltd</v>
      </c>
    </row>
    <row r="1139" spans="2:9" ht="15.75" customHeight="1" x14ac:dyDescent="0.2">
      <c r="C1139" s="1" t="s">
        <v>607</v>
      </c>
      <c r="D1139" s="1" t="s">
        <v>334</v>
      </c>
      <c r="E1139" s="1">
        <v>0.5</v>
      </c>
      <c r="F1139" s="1">
        <v>4</v>
      </c>
      <c r="G1139" s="1">
        <v>2</v>
      </c>
      <c r="I1139" s="58" t="str">
        <f t="shared" si="17"/>
        <v>LT Countryside Services Ltd</v>
      </c>
    </row>
    <row r="1140" spans="2:9" ht="15.75" customHeight="1" x14ac:dyDescent="0.2">
      <c r="D1140" s="1" t="s">
        <v>343</v>
      </c>
      <c r="E1140" s="1">
        <v>0.5</v>
      </c>
      <c r="F1140" s="1">
        <v>4</v>
      </c>
      <c r="G1140" s="1">
        <v>2</v>
      </c>
      <c r="I1140" s="58" t="str">
        <f t="shared" si="17"/>
        <v>LT Countryside Services Ltd</v>
      </c>
    </row>
    <row r="1141" spans="2:9" ht="15.75" customHeight="1" x14ac:dyDescent="0.2">
      <c r="C1141" s="1" t="s">
        <v>608</v>
      </c>
      <c r="D1141" s="1" t="s">
        <v>334</v>
      </c>
      <c r="E1141" s="1">
        <v>0.83</v>
      </c>
      <c r="F1141" s="1">
        <v>17</v>
      </c>
      <c r="G1141" s="1">
        <v>14</v>
      </c>
      <c r="I1141" s="58" t="str">
        <f t="shared" si="17"/>
        <v>LT Countryside Services Ltd</v>
      </c>
    </row>
    <row r="1142" spans="2:9" ht="15.75" customHeight="1" x14ac:dyDescent="0.2">
      <c r="D1142" s="1" t="s">
        <v>337</v>
      </c>
      <c r="E1142" s="1">
        <v>0.75</v>
      </c>
      <c r="F1142" s="1">
        <v>4</v>
      </c>
      <c r="G1142" s="1">
        <v>3</v>
      </c>
      <c r="I1142" s="58" t="str">
        <f t="shared" si="17"/>
        <v>LT Countryside Services Ltd</v>
      </c>
    </row>
    <row r="1143" spans="2:9" ht="15.75" customHeight="1" x14ac:dyDescent="0.2">
      <c r="D1143" s="1" t="s">
        <v>336</v>
      </c>
      <c r="E1143" s="1">
        <v>0.84</v>
      </c>
      <c r="F1143" s="1">
        <v>6</v>
      </c>
      <c r="G1143" s="1">
        <v>5</v>
      </c>
      <c r="I1143" s="58" t="str">
        <f t="shared" si="17"/>
        <v>LT Countryside Services Ltd</v>
      </c>
    </row>
    <row r="1144" spans="2:9" ht="15.75" customHeight="1" x14ac:dyDescent="0.2">
      <c r="D1144" s="1" t="s">
        <v>340</v>
      </c>
      <c r="E1144" s="1">
        <v>0.86</v>
      </c>
      <c r="F1144" s="1">
        <v>7</v>
      </c>
      <c r="G1144" s="1">
        <v>6</v>
      </c>
      <c r="I1144" s="58" t="str">
        <f t="shared" si="17"/>
        <v>LT Countryside Services Ltd</v>
      </c>
    </row>
    <row r="1145" spans="2:9" ht="15.75" customHeight="1" x14ac:dyDescent="0.2">
      <c r="C1145" s="1" t="s">
        <v>609</v>
      </c>
      <c r="D1145" s="1" t="s">
        <v>334</v>
      </c>
      <c r="E1145" s="1">
        <v>0.89</v>
      </c>
      <c r="F1145" s="1">
        <v>17</v>
      </c>
      <c r="G1145" s="1">
        <v>15</v>
      </c>
      <c r="I1145" s="58" t="str">
        <f t="shared" si="17"/>
        <v>LT Countryside Services Ltd</v>
      </c>
    </row>
    <row r="1146" spans="2:9" ht="15.75" customHeight="1" x14ac:dyDescent="0.2">
      <c r="D1146" s="1" t="s">
        <v>337</v>
      </c>
      <c r="E1146" s="1">
        <v>0.75</v>
      </c>
      <c r="F1146" s="1">
        <v>4</v>
      </c>
      <c r="G1146" s="1">
        <v>3</v>
      </c>
      <c r="I1146" s="58" t="str">
        <f t="shared" si="17"/>
        <v>LT Countryside Services Ltd</v>
      </c>
    </row>
    <row r="1147" spans="2:9" ht="15.75" customHeight="1" x14ac:dyDescent="0.2">
      <c r="D1147" s="1" t="s">
        <v>340</v>
      </c>
      <c r="E1147" s="1">
        <v>0.86</v>
      </c>
      <c r="F1147" s="1">
        <v>7</v>
      </c>
      <c r="G1147" s="1">
        <v>6</v>
      </c>
      <c r="I1147" s="58" t="str">
        <f t="shared" si="17"/>
        <v>LT Countryside Services Ltd</v>
      </c>
    </row>
    <row r="1148" spans="2:9" ht="15.75" customHeight="1" x14ac:dyDescent="0.2">
      <c r="D1148" s="1" t="s">
        <v>336</v>
      </c>
      <c r="E1148" s="1">
        <v>1</v>
      </c>
      <c r="F1148" s="1">
        <v>6</v>
      </c>
      <c r="G1148" s="1">
        <v>6</v>
      </c>
      <c r="I1148" s="58" t="str">
        <f t="shared" si="17"/>
        <v>LT Countryside Services Ltd</v>
      </c>
    </row>
    <row r="1149" spans="2:9" ht="15.75" customHeight="1" x14ac:dyDescent="0.2">
      <c r="B1149" s="1" t="s">
        <v>209</v>
      </c>
      <c r="C1149" s="1" t="s">
        <v>334</v>
      </c>
      <c r="E1149" s="1">
        <v>0.82</v>
      </c>
      <c r="F1149" s="1">
        <v>38</v>
      </c>
      <c r="G1149" s="1">
        <v>31</v>
      </c>
      <c r="H1149" s="57">
        <v>46065</v>
      </c>
      <c r="I1149" s="58" t="str">
        <f t="shared" si="17"/>
        <v>MX2 Trees Ltd</v>
      </c>
    </row>
    <row r="1150" spans="2:9" ht="15.75" customHeight="1" x14ac:dyDescent="0.2">
      <c r="C1150" s="1" t="s">
        <v>610</v>
      </c>
      <c r="D1150" s="1" t="s">
        <v>334</v>
      </c>
      <c r="E1150" s="1">
        <v>0.59</v>
      </c>
      <c r="F1150" s="1">
        <v>17</v>
      </c>
      <c r="G1150" s="1">
        <v>10</v>
      </c>
      <c r="I1150" s="58" t="str">
        <f t="shared" si="17"/>
        <v>MX2 Trees Ltd</v>
      </c>
    </row>
    <row r="1151" spans="2:9" ht="15.75" customHeight="1" x14ac:dyDescent="0.2">
      <c r="D1151" s="1" t="s">
        <v>337</v>
      </c>
      <c r="E1151" s="1">
        <v>0.25</v>
      </c>
      <c r="F1151" s="1">
        <v>4</v>
      </c>
      <c r="G1151" s="1">
        <v>1</v>
      </c>
      <c r="I1151" s="58" t="str">
        <f t="shared" si="17"/>
        <v>MX2 Trees Ltd</v>
      </c>
    </row>
    <row r="1152" spans="2:9" ht="15.75" customHeight="1" x14ac:dyDescent="0.2">
      <c r="D1152" s="1" t="s">
        <v>340</v>
      </c>
      <c r="E1152" s="1">
        <v>0.43</v>
      </c>
      <c r="F1152" s="1">
        <v>7</v>
      </c>
      <c r="G1152" s="1">
        <v>3</v>
      </c>
      <c r="I1152" s="58" t="str">
        <f t="shared" si="17"/>
        <v>MX2 Trees Ltd</v>
      </c>
    </row>
    <row r="1153" spans="2:9" ht="15.75" customHeight="1" x14ac:dyDescent="0.2">
      <c r="D1153" s="1" t="s">
        <v>336</v>
      </c>
      <c r="E1153" s="1">
        <v>1</v>
      </c>
      <c r="F1153" s="1">
        <v>6</v>
      </c>
      <c r="G1153" s="1">
        <v>6</v>
      </c>
      <c r="I1153" s="58" t="str">
        <f t="shared" si="17"/>
        <v>MX2 Trees Ltd</v>
      </c>
    </row>
    <row r="1154" spans="2:9" ht="15.75" customHeight="1" x14ac:dyDescent="0.2">
      <c r="C1154" s="1" t="s">
        <v>611</v>
      </c>
      <c r="D1154" s="1" t="s">
        <v>334</v>
      </c>
      <c r="E1154" s="1">
        <v>1</v>
      </c>
      <c r="F1154" s="1">
        <v>17</v>
      </c>
      <c r="G1154" s="1">
        <v>17</v>
      </c>
      <c r="I1154" s="58" t="str">
        <f t="shared" si="17"/>
        <v>MX2 Trees Ltd</v>
      </c>
    </row>
    <row r="1155" spans="2:9" ht="15.75" customHeight="1" x14ac:dyDescent="0.2">
      <c r="D1155" s="1" t="s">
        <v>340</v>
      </c>
      <c r="E1155" s="1">
        <v>1</v>
      </c>
      <c r="F1155" s="1">
        <v>7</v>
      </c>
      <c r="G1155" s="1">
        <v>7</v>
      </c>
      <c r="I1155" s="58" t="str">
        <f t="shared" si="17"/>
        <v>MX2 Trees Ltd</v>
      </c>
    </row>
    <row r="1156" spans="2:9" ht="15.75" customHeight="1" x14ac:dyDescent="0.2">
      <c r="D1156" s="1" t="s">
        <v>336</v>
      </c>
      <c r="E1156" s="1">
        <v>1</v>
      </c>
      <c r="F1156" s="1">
        <v>6</v>
      </c>
      <c r="G1156" s="1">
        <v>6</v>
      </c>
      <c r="I1156" s="58" t="str">
        <f t="shared" si="17"/>
        <v>MX2 Trees Ltd</v>
      </c>
    </row>
    <row r="1157" spans="2:9" ht="15.75" customHeight="1" x14ac:dyDescent="0.2">
      <c r="D1157" s="1" t="s">
        <v>337</v>
      </c>
      <c r="E1157" s="1">
        <v>1</v>
      </c>
      <c r="F1157" s="1">
        <v>4</v>
      </c>
      <c r="G1157" s="1">
        <v>4</v>
      </c>
      <c r="I1157" s="58" t="str">
        <f t="shared" si="17"/>
        <v>MX2 Trees Ltd</v>
      </c>
    </row>
    <row r="1158" spans="2:9" ht="15.75" customHeight="1" x14ac:dyDescent="0.2">
      <c r="C1158" s="1" t="s">
        <v>612</v>
      </c>
      <c r="D1158" s="1" t="s">
        <v>334</v>
      </c>
      <c r="E1158" s="1">
        <v>1</v>
      </c>
      <c r="F1158" s="1">
        <v>4</v>
      </c>
      <c r="G1158" s="1">
        <v>4</v>
      </c>
      <c r="I1158" s="58" t="str">
        <f t="shared" ref="I1158:I1221" si="18">IF(B1158&lt;&gt;"",B1158,I1157)</f>
        <v>MX2 Trees Ltd</v>
      </c>
    </row>
    <row r="1159" spans="2:9" ht="15.75" customHeight="1" x14ac:dyDescent="0.2">
      <c r="D1159" s="1" t="s">
        <v>343</v>
      </c>
      <c r="E1159" s="1">
        <v>1</v>
      </c>
      <c r="F1159" s="1">
        <v>4</v>
      </c>
      <c r="G1159" s="1">
        <v>4</v>
      </c>
      <c r="I1159" s="58" t="str">
        <f t="shared" si="18"/>
        <v>MX2 Trees Ltd</v>
      </c>
    </row>
    <row r="1160" spans="2:9" ht="15.75" customHeight="1" x14ac:dyDescent="0.2">
      <c r="B1160" s="1" t="s">
        <v>148</v>
      </c>
      <c r="C1160" s="1" t="s">
        <v>334</v>
      </c>
      <c r="E1160" s="1">
        <v>0.85</v>
      </c>
      <c r="F1160" s="1">
        <v>32</v>
      </c>
      <c r="G1160" s="1">
        <v>27</v>
      </c>
      <c r="H1160" s="57">
        <v>45790</v>
      </c>
      <c r="I1160" s="58" t="str">
        <f t="shared" si="18"/>
        <v>Cedar Park Tree Care Ltd</v>
      </c>
    </row>
    <row r="1161" spans="2:9" ht="15.75" customHeight="1" x14ac:dyDescent="0.2">
      <c r="C1161" s="1" t="s">
        <v>613</v>
      </c>
      <c r="D1161" s="1" t="s">
        <v>334</v>
      </c>
      <c r="E1161" s="1">
        <v>0.74</v>
      </c>
      <c r="F1161" s="1">
        <v>15</v>
      </c>
      <c r="G1161" s="1">
        <v>11</v>
      </c>
      <c r="I1161" s="58" t="str">
        <f t="shared" si="18"/>
        <v>Cedar Park Tree Care Ltd</v>
      </c>
    </row>
    <row r="1162" spans="2:9" ht="15.75" customHeight="1" x14ac:dyDescent="0.2">
      <c r="D1162" s="1" t="s">
        <v>337</v>
      </c>
      <c r="E1162" s="1">
        <v>0.25</v>
      </c>
      <c r="F1162" s="1">
        <v>4</v>
      </c>
      <c r="G1162" s="1">
        <v>1</v>
      </c>
      <c r="I1162" s="58" t="str">
        <f t="shared" si="18"/>
        <v>Cedar Park Tree Care Ltd</v>
      </c>
    </row>
    <row r="1163" spans="2:9" ht="15.75" customHeight="1" x14ac:dyDescent="0.2">
      <c r="D1163" s="1" t="s">
        <v>338</v>
      </c>
      <c r="E1163" s="1">
        <v>0.8</v>
      </c>
      <c r="F1163" s="1">
        <v>5</v>
      </c>
      <c r="G1163" s="1">
        <v>4</v>
      </c>
      <c r="I1163" s="58" t="str">
        <f t="shared" si="18"/>
        <v>Cedar Park Tree Care Ltd</v>
      </c>
    </row>
    <row r="1164" spans="2:9" ht="15.75" customHeight="1" x14ac:dyDescent="0.2">
      <c r="D1164" s="1" t="s">
        <v>336</v>
      </c>
      <c r="E1164" s="1">
        <v>1</v>
      </c>
      <c r="F1164" s="1">
        <v>6</v>
      </c>
      <c r="G1164" s="1">
        <v>6</v>
      </c>
      <c r="I1164" s="58" t="str">
        <f t="shared" si="18"/>
        <v>Cedar Park Tree Care Ltd</v>
      </c>
    </row>
    <row r="1165" spans="2:9" ht="15.75" customHeight="1" x14ac:dyDescent="0.2">
      <c r="C1165" s="1" t="s">
        <v>614</v>
      </c>
      <c r="D1165" s="1" t="s">
        <v>334</v>
      </c>
      <c r="E1165" s="1">
        <v>0.95</v>
      </c>
      <c r="F1165" s="1">
        <v>17</v>
      </c>
      <c r="G1165" s="1">
        <v>16</v>
      </c>
      <c r="I1165" s="58" t="str">
        <f t="shared" si="18"/>
        <v>Cedar Park Tree Care Ltd</v>
      </c>
    </row>
    <row r="1166" spans="2:9" ht="15.75" customHeight="1" x14ac:dyDescent="0.2">
      <c r="D1166" s="1" t="s">
        <v>340</v>
      </c>
      <c r="E1166" s="1">
        <v>0.86</v>
      </c>
      <c r="F1166" s="1">
        <v>7</v>
      </c>
      <c r="G1166" s="1">
        <v>6</v>
      </c>
      <c r="I1166" s="58" t="str">
        <f t="shared" si="18"/>
        <v>Cedar Park Tree Care Ltd</v>
      </c>
    </row>
    <row r="1167" spans="2:9" ht="15.75" customHeight="1" x14ac:dyDescent="0.2">
      <c r="D1167" s="1" t="s">
        <v>336</v>
      </c>
      <c r="E1167" s="1">
        <v>1</v>
      </c>
      <c r="F1167" s="1">
        <v>6</v>
      </c>
      <c r="G1167" s="1">
        <v>6</v>
      </c>
      <c r="I1167" s="58" t="str">
        <f t="shared" si="18"/>
        <v>Cedar Park Tree Care Ltd</v>
      </c>
    </row>
    <row r="1168" spans="2:9" ht="15.75" customHeight="1" x14ac:dyDescent="0.2">
      <c r="D1168" s="1" t="s">
        <v>337</v>
      </c>
      <c r="E1168" s="1">
        <v>1</v>
      </c>
      <c r="F1168" s="1">
        <v>4</v>
      </c>
      <c r="G1168" s="1">
        <v>4</v>
      </c>
      <c r="I1168" s="58" t="str">
        <f t="shared" si="18"/>
        <v>Cedar Park Tree Care Ltd</v>
      </c>
    </row>
    <row r="1169" spans="2:9" ht="15.75" customHeight="1" x14ac:dyDescent="0.2">
      <c r="B1169" s="1" t="s">
        <v>84</v>
      </c>
      <c r="C1169" s="1" t="s">
        <v>334</v>
      </c>
      <c r="E1169" s="1">
        <v>0.85</v>
      </c>
      <c r="F1169" s="1">
        <v>32</v>
      </c>
      <c r="G1169" s="1">
        <v>27</v>
      </c>
      <c r="H1169" s="57">
        <v>45279</v>
      </c>
      <c r="I1169" s="58" t="str">
        <f t="shared" si="18"/>
        <v>Optimum Tree Services</v>
      </c>
    </row>
    <row r="1170" spans="2:9" ht="15.75" customHeight="1" x14ac:dyDescent="0.2">
      <c r="C1170" s="1" t="s">
        <v>615</v>
      </c>
      <c r="D1170" s="1" t="s">
        <v>334</v>
      </c>
      <c r="E1170" s="1">
        <v>0.83</v>
      </c>
      <c r="F1170" s="1">
        <v>17</v>
      </c>
      <c r="G1170" s="1">
        <v>14</v>
      </c>
      <c r="I1170" s="58" t="str">
        <f t="shared" si="18"/>
        <v>Optimum Tree Services</v>
      </c>
    </row>
    <row r="1171" spans="2:9" ht="15.75" customHeight="1" x14ac:dyDescent="0.2">
      <c r="D1171" s="1" t="s">
        <v>340</v>
      </c>
      <c r="E1171" s="1">
        <v>0.72</v>
      </c>
      <c r="F1171" s="1">
        <v>7</v>
      </c>
      <c r="G1171" s="1">
        <v>5</v>
      </c>
      <c r="I1171" s="58" t="str">
        <f t="shared" si="18"/>
        <v>Optimum Tree Services</v>
      </c>
    </row>
    <row r="1172" spans="2:9" ht="15.75" customHeight="1" x14ac:dyDescent="0.2">
      <c r="D1172" s="1" t="s">
        <v>336</v>
      </c>
      <c r="E1172" s="1">
        <v>0.84</v>
      </c>
      <c r="F1172" s="1">
        <v>6</v>
      </c>
      <c r="G1172" s="1">
        <v>5</v>
      </c>
      <c r="I1172" s="58" t="str">
        <f t="shared" si="18"/>
        <v>Optimum Tree Services</v>
      </c>
    </row>
    <row r="1173" spans="2:9" ht="15.75" customHeight="1" x14ac:dyDescent="0.2">
      <c r="D1173" s="1" t="s">
        <v>337</v>
      </c>
      <c r="E1173" s="1">
        <v>1</v>
      </c>
      <c r="F1173" s="1">
        <v>4</v>
      </c>
      <c r="G1173" s="1">
        <v>4</v>
      </c>
      <c r="I1173" s="58" t="str">
        <f t="shared" si="18"/>
        <v>Optimum Tree Services</v>
      </c>
    </row>
    <row r="1174" spans="2:9" ht="15.75" customHeight="1" x14ac:dyDescent="0.2">
      <c r="C1174" s="1" t="s">
        <v>616</v>
      </c>
      <c r="D1174" s="1" t="s">
        <v>334</v>
      </c>
      <c r="E1174" s="1">
        <v>0.87</v>
      </c>
      <c r="F1174" s="1">
        <v>15</v>
      </c>
      <c r="G1174" s="1">
        <v>13</v>
      </c>
      <c r="I1174" s="58" t="str">
        <f t="shared" si="18"/>
        <v>Optimum Tree Services</v>
      </c>
    </row>
    <row r="1175" spans="2:9" ht="15.75" customHeight="1" x14ac:dyDescent="0.2">
      <c r="D1175" s="1" t="s">
        <v>337</v>
      </c>
      <c r="E1175" s="1">
        <v>0.75</v>
      </c>
      <c r="F1175" s="1">
        <v>4</v>
      </c>
      <c r="G1175" s="1">
        <v>3</v>
      </c>
      <c r="I1175" s="58" t="str">
        <f t="shared" si="18"/>
        <v>Optimum Tree Services</v>
      </c>
    </row>
    <row r="1176" spans="2:9" ht="15.75" customHeight="1" x14ac:dyDescent="0.2">
      <c r="D1176" s="1" t="s">
        <v>336</v>
      </c>
      <c r="E1176" s="1">
        <v>0.84</v>
      </c>
      <c r="F1176" s="1">
        <v>6</v>
      </c>
      <c r="G1176" s="1">
        <v>5</v>
      </c>
      <c r="I1176" s="58" t="str">
        <f t="shared" si="18"/>
        <v>Optimum Tree Services</v>
      </c>
    </row>
    <row r="1177" spans="2:9" ht="15.75" customHeight="1" x14ac:dyDescent="0.2">
      <c r="D1177" s="1" t="s">
        <v>338</v>
      </c>
      <c r="E1177" s="1">
        <v>1</v>
      </c>
      <c r="F1177" s="1">
        <v>5</v>
      </c>
      <c r="G1177" s="1">
        <v>5</v>
      </c>
      <c r="I1177" s="58" t="str">
        <f t="shared" si="18"/>
        <v>Optimum Tree Services</v>
      </c>
    </row>
    <row r="1178" spans="2:9" ht="15.75" customHeight="1" x14ac:dyDescent="0.2">
      <c r="B1178" s="1" t="s">
        <v>88</v>
      </c>
      <c r="C1178" s="1" t="s">
        <v>334</v>
      </c>
      <c r="E1178" s="1">
        <v>0.87</v>
      </c>
      <c r="F1178" s="1">
        <v>53</v>
      </c>
      <c r="G1178" s="1">
        <v>46</v>
      </c>
      <c r="H1178" s="57">
        <v>45303</v>
      </c>
      <c r="I1178" s="58" t="str">
        <f t="shared" si="18"/>
        <v>Tree Tech Suffolk Ltd</v>
      </c>
    </row>
    <row r="1179" spans="2:9" ht="15.75" customHeight="1" x14ac:dyDescent="0.2">
      <c r="C1179" s="1" t="s">
        <v>617</v>
      </c>
      <c r="D1179" s="1" t="s">
        <v>334</v>
      </c>
      <c r="E1179" s="1">
        <v>0.74</v>
      </c>
      <c r="F1179" s="1">
        <v>15</v>
      </c>
      <c r="G1179" s="1">
        <v>11</v>
      </c>
      <c r="I1179" s="58" t="str">
        <f t="shared" si="18"/>
        <v>Tree Tech Suffolk Ltd</v>
      </c>
    </row>
    <row r="1180" spans="2:9" ht="15.75" customHeight="1" x14ac:dyDescent="0.2">
      <c r="D1180" s="1" t="s">
        <v>338</v>
      </c>
      <c r="E1180" s="1">
        <v>0.4</v>
      </c>
      <c r="F1180" s="1">
        <v>5</v>
      </c>
      <c r="G1180" s="1">
        <v>2</v>
      </c>
      <c r="I1180" s="58" t="str">
        <f t="shared" si="18"/>
        <v>Tree Tech Suffolk Ltd</v>
      </c>
    </row>
    <row r="1181" spans="2:9" ht="15.75" customHeight="1" x14ac:dyDescent="0.2">
      <c r="D1181" s="1" t="s">
        <v>337</v>
      </c>
      <c r="E1181" s="1">
        <v>0.75</v>
      </c>
      <c r="F1181" s="1">
        <v>4</v>
      </c>
      <c r="G1181" s="1">
        <v>3</v>
      </c>
      <c r="I1181" s="58" t="str">
        <f t="shared" si="18"/>
        <v>Tree Tech Suffolk Ltd</v>
      </c>
    </row>
    <row r="1182" spans="2:9" ht="15.75" customHeight="1" x14ac:dyDescent="0.2">
      <c r="D1182" s="1" t="s">
        <v>336</v>
      </c>
      <c r="E1182" s="1">
        <v>1</v>
      </c>
      <c r="F1182" s="1">
        <v>6</v>
      </c>
      <c r="G1182" s="1">
        <v>6</v>
      </c>
      <c r="I1182" s="58" t="str">
        <f t="shared" si="18"/>
        <v>Tree Tech Suffolk Ltd</v>
      </c>
    </row>
    <row r="1183" spans="2:9" ht="15.75" customHeight="1" x14ac:dyDescent="0.2">
      <c r="C1183" s="1" t="s">
        <v>618</v>
      </c>
      <c r="D1183" s="1" t="s">
        <v>334</v>
      </c>
      <c r="E1183" s="1">
        <v>0.89</v>
      </c>
      <c r="F1183" s="1">
        <v>17</v>
      </c>
      <c r="G1183" s="1">
        <v>15</v>
      </c>
      <c r="I1183" s="58" t="str">
        <f t="shared" si="18"/>
        <v>Tree Tech Suffolk Ltd</v>
      </c>
    </row>
    <row r="1184" spans="2:9" ht="15.75" customHeight="1" x14ac:dyDescent="0.2">
      <c r="D1184" s="1" t="s">
        <v>340</v>
      </c>
      <c r="E1184" s="1">
        <v>0.72</v>
      </c>
      <c r="F1184" s="1">
        <v>7</v>
      </c>
      <c r="G1184" s="1">
        <v>5</v>
      </c>
      <c r="I1184" s="58" t="str">
        <f t="shared" si="18"/>
        <v>Tree Tech Suffolk Ltd</v>
      </c>
    </row>
    <row r="1185" spans="2:9" ht="15.75" customHeight="1" x14ac:dyDescent="0.2">
      <c r="D1185" s="1" t="s">
        <v>336</v>
      </c>
      <c r="E1185" s="1">
        <v>1</v>
      </c>
      <c r="F1185" s="1">
        <v>6</v>
      </c>
      <c r="G1185" s="1">
        <v>6</v>
      </c>
      <c r="I1185" s="58" t="str">
        <f t="shared" si="18"/>
        <v>Tree Tech Suffolk Ltd</v>
      </c>
    </row>
    <row r="1186" spans="2:9" ht="15.75" customHeight="1" x14ac:dyDescent="0.2">
      <c r="D1186" s="1" t="s">
        <v>337</v>
      </c>
      <c r="E1186" s="1">
        <v>1</v>
      </c>
      <c r="F1186" s="1">
        <v>4</v>
      </c>
      <c r="G1186" s="1">
        <v>4</v>
      </c>
      <c r="I1186" s="58" t="str">
        <f t="shared" si="18"/>
        <v>Tree Tech Suffolk Ltd</v>
      </c>
    </row>
    <row r="1187" spans="2:9" ht="15.75" customHeight="1" x14ac:dyDescent="0.2">
      <c r="C1187" s="1" t="s">
        <v>619</v>
      </c>
      <c r="D1187" s="1" t="s">
        <v>334</v>
      </c>
      <c r="E1187" s="1">
        <v>0.95</v>
      </c>
      <c r="F1187" s="1">
        <v>17</v>
      </c>
      <c r="G1187" s="1">
        <v>16</v>
      </c>
      <c r="I1187" s="58" t="str">
        <f t="shared" si="18"/>
        <v>Tree Tech Suffolk Ltd</v>
      </c>
    </row>
    <row r="1188" spans="2:9" ht="15.75" customHeight="1" x14ac:dyDescent="0.2">
      <c r="D1188" s="1" t="s">
        <v>340</v>
      </c>
      <c r="E1188" s="1">
        <v>0.86</v>
      </c>
      <c r="F1188" s="1">
        <v>7</v>
      </c>
      <c r="G1188" s="1">
        <v>6</v>
      </c>
      <c r="I1188" s="58" t="str">
        <f t="shared" si="18"/>
        <v>Tree Tech Suffolk Ltd</v>
      </c>
    </row>
    <row r="1189" spans="2:9" ht="15.75" customHeight="1" x14ac:dyDescent="0.2">
      <c r="D1189" s="1" t="s">
        <v>336</v>
      </c>
      <c r="E1189" s="1">
        <v>1</v>
      </c>
      <c r="F1189" s="1">
        <v>6</v>
      </c>
      <c r="G1189" s="1">
        <v>6</v>
      </c>
      <c r="I1189" s="58" t="str">
        <f t="shared" si="18"/>
        <v>Tree Tech Suffolk Ltd</v>
      </c>
    </row>
    <row r="1190" spans="2:9" ht="15.75" customHeight="1" x14ac:dyDescent="0.2">
      <c r="D1190" s="1" t="s">
        <v>337</v>
      </c>
      <c r="E1190" s="1">
        <v>1</v>
      </c>
      <c r="F1190" s="1">
        <v>4</v>
      </c>
      <c r="G1190" s="1">
        <v>4</v>
      </c>
      <c r="I1190" s="58" t="str">
        <f t="shared" si="18"/>
        <v>Tree Tech Suffolk Ltd</v>
      </c>
    </row>
    <row r="1191" spans="2:9" ht="15.75" customHeight="1" x14ac:dyDescent="0.2">
      <c r="C1191" s="1" t="s">
        <v>620</v>
      </c>
      <c r="D1191" s="1" t="s">
        <v>334</v>
      </c>
      <c r="E1191" s="1">
        <v>1</v>
      </c>
      <c r="F1191" s="1">
        <v>4</v>
      </c>
      <c r="G1191" s="1">
        <v>4</v>
      </c>
      <c r="I1191" s="58" t="str">
        <f t="shared" si="18"/>
        <v>Tree Tech Suffolk Ltd</v>
      </c>
    </row>
    <row r="1192" spans="2:9" ht="15.75" customHeight="1" x14ac:dyDescent="0.2">
      <c r="D1192" s="1" t="s">
        <v>343</v>
      </c>
      <c r="E1192" s="1">
        <v>1</v>
      </c>
      <c r="F1192" s="1">
        <v>4</v>
      </c>
      <c r="G1192" s="1">
        <v>4</v>
      </c>
      <c r="I1192" s="58" t="str">
        <f t="shared" si="18"/>
        <v>Tree Tech Suffolk Ltd</v>
      </c>
    </row>
    <row r="1193" spans="2:9" ht="15.75" customHeight="1" x14ac:dyDescent="0.2">
      <c r="B1193" s="1" t="s">
        <v>192</v>
      </c>
      <c r="C1193" s="1" t="s">
        <v>334</v>
      </c>
      <c r="E1193" s="1">
        <v>0.88</v>
      </c>
      <c r="F1193" s="1">
        <v>119</v>
      </c>
      <c r="G1193" s="1">
        <v>104</v>
      </c>
      <c r="H1193" s="57">
        <v>45728</v>
      </c>
      <c r="I1193" s="58" t="str">
        <f t="shared" si="18"/>
        <v>Blue Sky Arboriculture Ltd</v>
      </c>
    </row>
    <row r="1194" spans="2:9" ht="15.75" customHeight="1" x14ac:dyDescent="0.2">
      <c r="C1194" s="1" t="s">
        <v>621</v>
      </c>
      <c r="D1194" s="1" t="s">
        <v>334</v>
      </c>
      <c r="E1194" s="1">
        <v>0.67</v>
      </c>
      <c r="F1194" s="1">
        <v>15</v>
      </c>
      <c r="G1194" s="1">
        <v>10</v>
      </c>
      <c r="I1194" s="58" t="str">
        <f t="shared" si="18"/>
        <v>Blue Sky Arboriculture Ltd</v>
      </c>
    </row>
    <row r="1195" spans="2:9" ht="15.75" customHeight="1" x14ac:dyDescent="0.2">
      <c r="D1195" s="1" t="s">
        <v>337</v>
      </c>
      <c r="E1195" s="1">
        <v>0.5</v>
      </c>
      <c r="F1195" s="1">
        <v>4</v>
      </c>
      <c r="G1195" s="1">
        <v>2</v>
      </c>
      <c r="I1195" s="58" t="str">
        <f t="shared" si="18"/>
        <v>Blue Sky Arboriculture Ltd</v>
      </c>
    </row>
    <row r="1196" spans="2:9" ht="15.75" customHeight="1" x14ac:dyDescent="0.2">
      <c r="D1196" s="1" t="s">
        <v>338</v>
      </c>
      <c r="E1196" s="1">
        <v>0.6</v>
      </c>
      <c r="F1196" s="1">
        <v>5</v>
      </c>
      <c r="G1196" s="1">
        <v>3</v>
      </c>
      <c r="I1196" s="58" t="str">
        <f t="shared" si="18"/>
        <v>Blue Sky Arboriculture Ltd</v>
      </c>
    </row>
    <row r="1197" spans="2:9" ht="15.75" customHeight="1" x14ac:dyDescent="0.2">
      <c r="D1197" s="1" t="s">
        <v>336</v>
      </c>
      <c r="E1197" s="1">
        <v>0.84</v>
      </c>
      <c r="F1197" s="1">
        <v>6</v>
      </c>
      <c r="G1197" s="1">
        <v>5</v>
      </c>
      <c r="I1197" s="58" t="str">
        <f t="shared" si="18"/>
        <v>Blue Sky Arboriculture Ltd</v>
      </c>
    </row>
    <row r="1198" spans="2:9" ht="15.75" customHeight="1" x14ac:dyDescent="0.2">
      <c r="C1198" s="1" t="s">
        <v>622</v>
      </c>
      <c r="D1198" s="1" t="s">
        <v>334</v>
      </c>
      <c r="E1198" s="1">
        <v>0.77</v>
      </c>
      <c r="F1198" s="1">
        <v>17</v>
      </c>
      <c r="G1198" s="1">
        <v>13</v>
      </c>
      <c r="I1198" s="58" t="str">
        <f t="shared" si="18"/>
        <v>Blue Sky Arboriculture Ltd</v>
      </c>
    </row>
    <row r="1199" spans="2:9" ht="15.75" customHeight="1" x14ac:dyDescent="0.2">
      <c r="D1199" s="1" t="s">
        <v>340</v>
      </c>
      <c r="E1199" s="1">
        <v>0.57999999999999996</v>
      </c>
      <c r="F1199" s="1">
        <v>7</v>
      </c>
      <c r="G1199" s="1">
        <v>4</v>
      </c>
      <c r="I1199" s="58" t="str">
        <f t="shared" si="18"/>
        <v>Blue Sky Arboriculture Ltd</v>
      </c>
    </row>
    <row r="1200" spans="2:9" ht="15.75" customHeight="1" x14ac:dyDescent="0.2">
      <c r="D1200" s="1" t="s">
        <v>337</v>
      </c>
      <c r="E1200" s="1">
        <v>0.75</v>
      </c>
      <c r="F1200" s="1">
        <v>4</v>
      </c>
      <c r="G1200" s="1">
        <v>3</v>
      </c>
      <c r="I1200" s="58" t="str">
        <f t="shared" si="18"/>
        <v>Blue Sky Arboriculture Ltd</v>
      </c>
    </row>
    <row r="1201" spans="3:9" ht="15.75" customHeight="1" x14ac:dyDescent="0.2">
      <c r="D1201" s="1" t="s">
        <v>336</v>
      </c>
      <c r="E1201" s="1">
        <v>1</v>
      </c>
      <c r="F1201" s="1">
        <v>6</v>
      </c>
      <c r="G1201" s="1">
        <v>6</v>
      </c>
      <c r="I1201" s="58" t="str">
        <f t="shared" si="18"/>
        <v>Blue Sky Arboriculture Ltd</v>
      </c>
    </row>
    <row r="1202" spans="3:9" ht="15.75" customHeight="1" x14ac:dyDescent="0.2">
      <c r="C1202" s="1" t="s">
        <v>623</v>
      </c>
      <c r="D1202" s="1" t="s">
        <v>334</v>
      </c>
      <c r="E1202" s="1">
        <v>0.8</v>
      </c>
      <c r="F1202" s="1">
        <v>15</v>
      </c>
      <c r="G1202" s="1">
        <v>12</v>
      </c>
      <c r="I1202" s="58" t="str">
        <f t="shared" si="18"/>
        <v>Blue Sky Arboriculture Ltd</v>
      </c>
    </row>
    <row r="1203" spans="3:9" ht="15.75" customHeight="1" x14ac:dyDescent="0.2">
      <c r="D1203" s="1" t="s">
        <v>337</v>
      </c>
      <c r="E1203" s="1">
        <v>0.5</v>
      </c>
      <c r="F1203" s="1">
        <v>4</v>
      </c>
      <c r="G1203" s="1">
        <v>2</v>
      </c>
      <c r="I1203" s="58" t="str">
        <f t="shared" si="18"/>
        <v>Blue Sky Arboriculture Ltd</v>
      </c>
    </row>
    <row r="1204" spans="3:9" ht="15.75" customHeight="1" x14ac:dyDescent="0.2">
      <c r="D1204" s="1" t="s">
        <v>336</v>
      </c>
      <c r="E1204" s="1">
        <v>0.84</v>
      </c>
      <c r="F1204" s="1">
        <v>6</v>
      </c>
      <c r="G1204" s="1">
        <v>5</v>
      </c>
      <c r="I1204" s="58" t="str">
        <f t="shared" si="18"/>
        <v>Blue Sky Arboriculture Ltd</v>
      </c>
    </row>
    <row r="1205" spans="3:9" ht="15.75" customHeight="1" x14ac:dyDescent="0.2">
      <c r="D1205" s="1" t="s">
        <v>338</v>
      </c>
      <c r="E1205" s="1">
        <v>1</v>
      </c>
      <c r="F1205" s="1">
        <v>5</v>
      </c>
      <c r="G1205" s="1">
        <v>5</v>
      </c>
      <c r="I1205" s="58" t="str">
        <f t="shared" si="18"/>
        <v>Blue Sky Arboriculture Ltd</v>
      </c>
    </row>
    <row r="1206" spans="3:9" ht="15.75" customHeight="1" x14ac:dyDescent="0.2">
      <c r="C1206" s="1" t="s">
        <v>624</v>
      </c>
      <c r="D1206" s="1" t="s">
        <v>334</v>
      </c>
      <c r="E1206" s="1">
        <v>0.89</v>
      </c>
      <c r="F1206" s="1">
        <v>17</v>
      </c>
      <c r="G1206" s="1">
        <v>15</v>
      </c>
      <c r="I1206" s="58" t="str">
        <f t="shared" si="18"/>
        <v>Blue Sky Arboriculture Ltd</v>
      </c>
    </row>
    <row r="1207" spans="3:9" ht="15.75" customHeight="1" x14ac:dyDescent="0.2">
      <c r="D1207" s="1" t="s">
        <v>337</v>
      </c>
      <c r="E1207" s="1">
        <v>0.5</v>
      </c>
      <c r="F1207" s="1">
        <v>4</v>
      </c>
      <c r="G1207" s="1">
        <v>2</v>
      </c>
      <c r="I1207" s="58" t="str">
        <f t="shared" si="18"/>
        <v>Blue Sky Arboriculture Ltd</v>
      </c>
    </row>
    <row r="1208" spans="3:9" ht="15.75" customHeight="1" x14ac:dyDescent="0.2">
      <c r="D1208" s="1" t="s">
        <v>340</v>
      </c>
      <c r="E1208" s="1">
        <v>1</v>
      </c>
      <c r="F1208" s="1">
        <v>7</v>
      </c>
      <c r="G1208" s="1">
        <v>7</v>
      </c>
      <c r="I1208" s="58" t="str">
        <f t="shared" si="18"/>
        <v>Blue Sky Arboriculture Ltd</v>
      </c>
    </row>
    <row r="1209" spans="3:9" ht="15.75" customHeight="1" x14ac:dyDescent="0.2">
      <c r="D1209" s="1" t="s">
        <v>336</v>
      </c>
      <c r="E1209" s="1">
        <v>1</v>
      </c>
      <c r="F1209" s="1">
        <v>6</v>
      </c>
      <c r="G1209" s="1">
        <v>6</v>
      </c>
      <c r="I1209" s="58" t="str">
        <f t="shared" si="18"/>
        <v>Blue Sky Arboriculture Ltd</v>
      </c>
    </row>
    <row r="1210" spans="3:9" ht="15.75" customHeight="1" x14ac:dyDescent="0.2">
      <c r="C1210" s="1" t="s">
        <v>625</v>
      </c>
      <c r="D1210" s="1" t="s">
        <v>334</v>
      </c>
      <c r="E1210" s="1">
        <v>0.95</v>
      </c>
      <c r="F1210" s="1">
        <v>17</v>
      </c>
      <c r="G1210" s="1">
        <v>16</v>
      </c>
      <c r="I1210" s="58" t="str">
        <f t="shared" si="18"/>
        <v>Blue Sky Arboriculture Ltd</v>
      </c>
    </row>
    <row r="1211" spans="3:9" ht="15.75" customHeight="1" x14ac:dyDescent="0.2">
      <c r="D1211" s="1" t="s">
        <v>336</v>
      </c>
      <c r="E1211" s="1">
        <v>0.84</v>
      </c>
      <c r="F1211" s="1">
        <v>6</v>
      </c>
      <c r="G1211" s="1">
        <v>5</v>
      </c>
      <c r="I1211" s="58" t="str">
        <f t="shared" si="18"/>
        <v>Blue Sky Arboriculture Ltd</v>
      </c>
    </row>
    <row r="1212" spans="3:9" ht="15.75" customHeight="1" x14ac:dyDescent="0.2">
      <c r="D1212" s="1" t="s">
        <v>340</v>
      </c>
      <c r="E1212" s="1">
        <v>1</v>
      </c>
      <c r="F1212" s="1">
        <v>7</v>
      </c>
      <c r="G1212" s="1">
        <v>7</v>
      </c>
      <c r="I1212" s="58" t="str">
        <f t="shared" si="18"/>
        <v>Blue Sky Arboriculture Ltd</v>
      </c>
    </row>
    <row r="1213" spans="3:9" ht="15.75" customHeight="1" x14ac:dyDescent="0.2">
      <c r="D1213" s="1" t="s">
        <v>337</v>
      </c>
      <c r="E1213" s="1">
        <v>1</v>
      </c>
      <c r="F1213" s="1">
        <v>4</v>
      </c>
      <c r="G1213" s="1">
        <v>4</v>
      </c>
      <c r="I1213" s="58" t="str">
        <f t="shared" si="18"/>
        <v>Blue Sky Arboriculture Ltd</v>
      </c>
    </row>
    <row r="1214" spans="3:9" ht="15.75" customHeight="1" x14ac:dyDescent="0.2">
      <c r="C1214" s="1" t="s">
        <v>626</v>
      </c>
      <c r="D1214" s="1" t="s">
        <v>334</v>
      </c>
      <c r="E1214" s="1">
        <v>1</v>
      </c>
      <c r="F1214" s="1">
        <v>17</v>
      </c>
      <c r="G1214" s="1">
        <v>17</v>
      </c>
      <c r="I1214" s="58" t="str">
        <f t="shared" si="18"/>
        <v>Blue Sky Arboriculture Ltd</v>
      </c>
    </row>
    <row r="1215" spans="3:9" ht="15.75" customHeight="1" x14ac:dyDescent="0.2">
      <c r="D1215" s="1" t="s">
        <v>340</v>
      </c>
      <c r="E1215" s="1">
        <v>1</v>
      </c>
      <c r="F1215" s="1">
        <v>7</v>
      </c>
      <c r="G1215" s="1">
        <v>7</v>
      </c>
      <c r="I1215" s="58" t="str">
        <f t="shared" si="18"/>
        <v>Blue Sky Arboriculture Ltd</v>
      </c>
    </row>
    <row r="1216" spans="3:9" ht="15.75" customHeight="1" x14ac:dyDescent="0.2">
      <c r="D1216" s="1" t="s">
        <v>336</v>
      </c>
      <c r="E1216" s="1">
        <v>1</v>
      </c>
      <c r="F1216" s="1">
        <v>6</v>
      </c>
      <c r="G1216" s="1">
        <v>6</v>
      </c>
      <c r="I1216" s="58" t="str">
        <f t="shared" si="18"/>
        <v>Blue Sky Arboriculture Ltd</v>
      </c>
    </row>
    <row r="1217" spans="2:9" ht="15.75" customHeight="1" x14ac:dyDescent="0.2">
      <c r="D1217" s="1" t="s">
        <v>337</v>
      </c>
      <c r="E1217" s="1">
        <v>1</v>
      </c>
      <c r="F1217" s="1">
        <v>4</v>
      </c>
      <c r="G1217" s="1">
        <v>4</v>
      </c>
      <c r="I1217" s="58" t="str">
        <f t="shared" si="18"/>
        <v>Blue Sky Arboriculture Ltd</v>
      </c>
    </row>
    <row r="1218" spans="2:9" ht="15.75" customHeight="1" x14ac:dyDescent="0.2">
      <c r="C1218" s="1" t="s">
        <v>627</v>
      </c>
      <c r="D1218" s="1" t="s">
        <v>334</v>
      </c>
      <c r="E1218" s="1">
        <v>1</v>
      </c>
      <c r="F1218" s="1">
        <v>4</v>
      </c>
      <c r="G1218" s="1">
        <v>4</v>
      </c>
      <c r="I1218" s="58" t="str">
        <f t="shared" si="18"/>
        <v>Blue Sky Arboriculture Ltd</v>
      </c>
    </row>
    <row r="1219" spans="2:9" ht="15.75" customHeight="1" x14ac:dyDescent="0.2">
      <c r="D1219" s="1" t="s">
        <v>343</v>
      </c>
      <c r="E1219" s="1">
        <v>1</v>
      </c>
      <c r="F1219" s="1">
        <v>4</v>
      </c>
      <c r="G1219" s="1">
        <v>4</v>
      </c>
      <c r="I1219" s="58" t="str">
        <f t="shared" si="18"/>
        <v>Blue Sky Arboriculture Ltd</v>
      </c>
    </row>
    <row r="1220" spans="2:9" ht="15.75" customHeight="1" x14ac:dyDescent="0.2">
      <c r="C1220" s="1" t="s">
        <v>628</v>
      </c>
      <c r="D1220" s="1" t="s">
        <v>334</v>
      </c>
      <c r="E1220" s="1">
        <v>1</v>
      </c>
      <c r="F1220" s="1">
        <v>17</v>
      </c>
      <c r="G1220" s="1">
        <v>17</v>
      </c>
      <c r="I1220" s="58" t="str">
        <f t="shared" si="18"/>
        <v>Blue Sky Arboriculture Ltd</v>
      </c>
    </row>
    <row r="1221" spans="2:9" ht="15.75" customHeight="1" x14ac:dyDescent="0.2">
      <c r="D1221" s="1" t="s">
        <v>340</v>
      </c>
      <c r="E1221" s="1">
        <v>1</v>
      </c>
      <c r="F1221" s="1">
        <v>7</v>
      </c>
      <c r="G1221" s="1">
        <v>7</v>
      </c>
      <c r="I1221" s="58" t="str">
        <f t="shared" si="18"/>
        <v>Blue Sky Arboriculture Ltd</v>
      </c>
    </row>
    <row r="1222" spans="2:9" ht="15.75" customHeight="1" x14ac:dyDescent="0.2">
      <c r="D1222" s="1" t="s">
        <v>336</v>
      </c>
      <c r="E1222" s="1">
        <v>1</v>
      </c>
      <c r="F1222" s="1">
        <v>6</v>
      </c>
      <c r="G1222" s="1">
        <v>6</v>
      </c>
      <c r="I1222" s="58" t="str">
        <f t="shared" ref="I1222:I1285" si="19">IF(B1222&lt;&gt;"",B1222,I1221)</f>
        <v>Blue Sky Arboriculture Ltd</v>
      </c>
    </row>
    <row r="1223" spans="2:9" ht="15.75" customHeight="1" x14ac:dyDescent="0.2">
      <c r="D1223" s="1" t="s">
        <v>337</v>
      </c>
      <c r="E1223" s="1">
        <v>1</v>
      </c>
      <c r="F1223" s="1">
        <v>4</v>
      </c>
      <c r="G1223" s="1">
        <v>4</v>
      </c>
      <c r="I1223" s="58" t="str">
        <f t="shared" si="19"/>
        <v>Blue Sky Arboriculture Ltd</v>
      </c>
    </row>
    <row r="1224" spans="2:9" ht="15.75" customHeight="1" x14ac:dyDescent="0.2">
      <c r="B1224" s="1" t="s">
        <v>86</v>
      </c>
      <c r="C1224" s="1" t="s">
        <v>334</v>
      </c>
      <c r="E1224" s="1">
        <v>0.89</v>
      </c>
      <c r="F1224" s="1">
        <v>36</v>
      </c>
      <c r="G1224" s="1">
        <v>32</v>
      </c>
      <c r="H1224" s="57">
        <v>45705</v>
      </c>
      <c r="I1224" s="58" t="str">
        <f t="shared" si="19"/>
        <v>S6 Tree Specialists Ltd</v>
      </c>
    </row>
    <row r="1225" spans="2:9" ht="15.75" customHeight="1" x14ac:dyDescent="0.2">
      <c r="C1225" s="1" t="s">
        <v>629</v>
      </c>
      <c r="D1225" s="1" t="s">
        <v>334</v>
      </c>
      <c r="E1225" s="1">
        <v>0.5</v>
      </c>
      <c r="F1225" s="1">
        <v>4</v>
      </c>
      <c r="G1225" s="1">
        <v>2</v>
      </c>
      <c r="I1225" s="58" t="str">
        <f t="shared" si="19"/>
        <v>S6 Tree Specialists Ltd</v>
      </c>
    </row>
    <row r="1226" spans="2:9" ht="15.75" customHeight="1" x14ac:dyDescent="0.2">
      <c r="D1226" s="1" t="s">
        <v>343</v>
      </c>
      <c r="E1226" s="1">
        <v>0.5</v>
      </c>
      <c r="F1226" s="1">
        <v>4</v>
      </c>
      <c r="G1226" s="1">
        <v>2</v>
      </c>
      <c r="I1226" s="58" t="str">
        <f t="shared" si="19"/>
        <v>S6 Tree Specialists Ltd</v>
      </c>
    </row>
    <row r="1227" spans="2:9" ht="15.75" customHeight="1" x14ac:dyDescent="0.2">
      <c r="C1227" s="1" t="s">
        <v>630</v>
      </c>
      <c r="D1227" s="1" t="s">
        <v>334</v>
      </c>
      <c r="E1227" s="1">
        <v>0.89</v>
      </c>
      <c r="F1227" s="1">
        <v>17</v>
      </c>
      <c r="G1227" s="1">
        <v>15</v>
      </c>
      <c r="I1227" s="58" t="str">
        <f t="shared" si="19"/>
        <v>S6 Tree Specialists Ltd</v>
      </c>
    </row>
    <row r="1228" spans="2:9" ht="15.75" customHeight="1" x14ac:dyDescent="0.2">
      <c r="D1228" s="1" t="s">
        <v>336</v>
      </c>
      <c r="E1228" s="1">
        <v>0.84</v>
      </c>
      <c r="F1228" s="1">
        <v>6</v>
      </c>
      <c r="G1228" s="1">
        <v>5</v>
      </c>
      <c r="I1228" s="58" t="str">
        <f t="shared" si="19"/>
        <v>S6 Tree Specialists Ltd</v>
      </c>
    </row>
    <row r="1229" spans="2:9" ht="15.75" customHeight="1" x14ac:dyDescent="0.2">
      <c r="D1229" s="1" t="s">
        <v>340</v>
      </c>
      <c r="E1229" s="1">
        <v>0.86</v>
      </c>
      <c r="F1229" s="1">
        <v>7</v>
      </c>
      <c r="G1229" s="1">
        <v>6</v>
      </c>
      <c r="I1229" s="58" t="str">
        <f t="shared" si="19"/>
        <v>S6 Tree Specialists Ltd</v>
      </c>
    </row>
    <row r="1230" spans="2:9" ht="15.75" customHeight="1" x14ac:dyDescent="0.2">
      <c r="D1230" s="1" t="s">
        <v>337</v>
      </c>
      <c r="E1230" s="1">
        <v>1</v>
      </c>
      <c r="F1230" s="1">
        <v>4</v>
      </c>
      <c r="G1230" s="1">
        <v>4</v>
      </c>
      <c r="I1230" s="58" t="str">
        <f t="shared" si="19"/>
        <v>S6 Tree Specialists Ltd</v>
      </c>
    </row>
    <row r="1231" spans="2:9" ht="15.75" customHeight="1" x14ac:dyDescent="0.2">
      <c r="C1231" s="1" t="s">
        <v>631</v>
      </c>
      <c r="D1231" s="1" t="s">
        <v>334</v>
      </c>
      <c r="E1231" s="1">
        <v>1</v>
      </c>
      <c r="F1231" s="1">
        <v>15</v>
      </c>
      <c r="G1231" s="1">
        <v>15</v>
      </c>
      <c r="I1231" s="58" t="str">
        <f t="shared" si="19"/>
        <v>S6 Tree Specialists Ltd</v>
      </c>
    </row>
    <row r="1232" spans="2:9" ht="15.75" customHeight="1" x14ac:dyDescent="0.2">
      <c r="D1232" s="1" t="s">
        <v>336</v>
      </c>
      <c r="E1232" s="1">
        <v>1</v>
      </c>
      <c r="F1232" s="1">
        <v>6</v>
      </c>
      <c r="G1232" s="1">
        <v>6</v>
      </c>
      <c r="I1232" s="58" t="str">
        <f t="shared" si="19"/>
        <v>S6 Tree Specialists Ltd</v>
      </c>
    </row>
    <row r="1233" spans="2:9" ht="15.75" customHeight="1" x14ac:dyDescent="0.2">
      <c r="D1233" s="1" t="s">
        <v>337</v>
      </c>
      <c r="E1233" s="1">
        <v>1</v>
      </c>
      <c r="F1233" s="1">
        <v>4</v>
      </c>
      <c r="G1233" s="1">
        <v>4</v>
      </c>
      <c r="I1233" s="58" t="str">
        <f t="shared" si="19"/>
        <v>S6 Tree Specialists Ltd</v>
      </c>
    </row>
    <row r="1234" spans="2:9" ht="15.75" customHeight="1" x14ac:dyDescent="0.2">
      <c r="D1234" s="1" t="s">
        <v>338</v>
      </c>
      <c r="E1234" s="1">
        <v>1</v>
      </c>
      <c r="F1234" s="1">
        <v>5</v>
      </c>
      <c r="G1234" s="1">
        <v>5</v>
      </c>
      <c r="I1234" s="58" t="str">
        <f t="shared" si="19"/>
        <v>S6 Tree Specialists Ltd</v>
      </c>
    </row>
    <row r="1235" spans="2:9" ht="15.75" customHeight="1" x14ac:dyDescent="0.2">
      <c r="B1235" s="1" t="s">
        <v>126</v>
      </c>
      <c r="C1235" s="1" t="s">
        <v>334</v>
      </c>
      <c r="E1235" s="1">
        <v>0.9</v>
      </c>
      <c r="F1235" s="1">
        <v>70</v>
      </c>
      <c r="G1235" s="1">
        <v>63</v>
      </c>
      <c r="H1235" s="57">
        <v>45845</v>
      </c>
      <c r="I1235" s="58" t="str">
        <f t="shared" si="19"/>
        <v>Roots 2 Shoots Tree Care Ltd</v>
      </c>
    </row>
    <row r="1236" spans="2:9" ht="15.75" customHeight="1" x14ac:dyDescent="0.2">
      <c r="C1236" s="1" t="s">
        <v>632</v>
      </c>
      <c r="D1236" s="1" t="s">
        <v>334</v>
      </c>
      <c r="E1236" s="1">
        <v>0.83</v>
      </c>
      <c r="F1236" s="1">
        <v>17</v>
      </c>
      <c r="G1236" s="1">
        <v>14</v>
      </c>
      <c r="I1236" s="58" t="str">
        <f t="shared" si="19"/>
        <v>Roots 2 Shoots Tree Care Ltd</v>
      </c>
    </row>
    <row r="1237" spans="2:9" ht="15.75" customHeight="1" x14ac:dyDescent="0.2">
      <c r="D1237" s="1" t="s">
        <v>340</v>
      </c>
      <c r="E1237" s="1">
        <v>0.57999999999999996</v>
      </c>
      <c r="F1237" s="1">
        <v>7</v>
      </c>
      <c r="G1237" s="1">
        <v>4</v>
      </c>
      <c r="I1237" s="58" t="str">
        <f t="shared" si="19"/>
        <v>Roots 2 Shoots Tree Care Ltd</v>
      </c>
    </row>
    <row r="1238" spans="2:9" ht="15.75" customHeight="1" x14ac:dyDescent="0.2">
      <c r="D1238" s="1" t="s">
        <v>336</v>
      </c>
      <c r="E1238" s="1">
        <v>1</v>
      </c>
      <c r="F1238" s="1">
        <v>6</v>
      </c>
      <c r="G1238" s="1">
        <v>6</v>
      </c>
      <c r="I1238" s="58" t="str">
        <f t="shared" si="19"/>
        <v>Roots 2 Shoots Tree Care Ltd</v>
      </c>
    </row>
    <row r="1239" spans="2:9" ht="15.75" customHeight="1" x14ac:dyDescent="0.2">
      <c r="D1239" s="1" t="s">
        <v>337</v>
      </c>
      <c r="E1239" s="1">
        <v>1</v>
      </c>
      <c r="F1239" s="1">
        <v>4</v>
      </c>
      <c r="G1239" s="1">
        <v>4</v>
      </c>
      <c r="I1239" s="58" t="str">
        <f t="shared" si="19"/>
        <v>Roots 2 Shoots Tree Care Ltd</v>
      </c>
    </row>
    <row r="1240" spans="2:9" ht="15.75" customHeight="1" x14ac:dyDescent="0.2">
      <c r="C1240" s="1" t="s">
        <v>633</v>
      </c>
      <c r="D1240" s="1" t="s">
        <v>334</v>
      </c>
      <c r="E1240" s="1">
        <v>0.89</v>
      </c>
      <c r="F1240" s="1">
        <v>17</v>
      </c>
      <c r="G1240" s="1">
        <v>15</v>
      </c>
      <c r="I1240" s="58" t="str">
        <f t="shared" si="19"/>
        <v>Roots 2 Shoots Tree Care Ltd</v>
      </c>
    </row>
    <row r="1241" spans="2:9" ht="15.75" customHeight="1" x14ac:dyDescent="0.2">
      <c r="D1241" s="1" t="s">
        <v>340</v>
      </c>
      <c r="E1241" s="1">
        <v>0.72</v>
      </c>
      <c r="F1241" s="1">
        <v>7</v>
      </c>
      <c r="G1241" s="1">
        <v>5</v>
      </c>
      <c r="I1241" s="58" t="str">
        <f t="shared" si="19"/>
        <v>Roots 2 Shoots Tree Care Ltd</v>
      </c>
    </row>
    <row r="1242" spans="2:9" ht="15.75" customHeight="1" x14ac:dyDescent="0.2">
      <c r="D1242" s="1" t="s">
        <v>336</v>
      </c>
      <c r="E1242" s="1">
        <v>1</v>
      </c>
      <c r="F1242" s="1">
        <v>6</v>
      </c>
      <c r="G1242" s="1">
        <v>6</v>
      </c>
      <c r="I1242" s="58" t="str">
        <f t="shared" si="19"/>
        <v>Roots 2 Shoots Tree Care Ltd</v>
      </c>
    </row>
    <row r="1243" spans="2:9" ht="15.75" customHeight="1" x14ac:dyDescent="0.2">
      <c r="D1243" s="1" t="s">
        <v>337</v>
      </c>
      <c r="E1243" s="1">
        <v>1</v>
      </c>
      <c r="F1243" s="1">
        <v>4</v>
      </c>
      <c r="G1243" s="1">
        <v>4</v>
      </c>
      <c r="I1243" s="58" t="str">
        <f t="shared" si="19"/>
        <v>Roots 2 Shoots Tree Care Ltd</v>
      </c>
    </row>
    <row r="1244" spans="2:9" ht="15.75" customHeight="1" x14ac:dyDescent="0.2">
      <c r="C1244" s="1" t="s">
        <v>634</v>
      </c>
      <c r="D1244" s="1" t="s">
        <v>334</v>
      </c>
      <c r="E1244" s="1">
        <v>0.94</v>
      </c>
      <c r="F1244" s="1">
        <v>15</v>
      </c>
      <c r="G1244" s="1">
        <v>14</v>
      </c>
      <c r="I1244" s="58" t="str">
        <f t="shared" si="19"/>
        <v>Roots 2 Shoots Tree Care Ltd</v>
      </c>
    </row>
    <row r="1245" spans="2:9" ht="15.75" customHeight="1" x14ac:dyDescent="0.2">
      <c r="D1245" s="1" t="s">
        <v>338</v>
      </c>
      <c r="E1245" s="1">
        <v>0.8</v>
      </c>
      <c r="F1245" s="1">
        <v>5</v>
      </c>
      <c r="G1245" s="1">
        <v>4</v>
      </c>
      <c r="I1245" s="58" t="str">
        <f t="shared" si="19"/>
        <v>Roots 2 Shoots Tree Care Ltd</v>
      </c>
    </row>
    <row r="1246" spans="2:9" ht="15.75" customHeight="1" x14ac:dyDescent="0.2">
      <c r="D1246" s="1" t="s">
        <v>336</v>
      </c>
      <c r="E1246" s="1">
        <v>1</v>
      </c>
      <c r="F1246" s="1">
        <v>6</v>
      </c>
      <c r="G1246" s="1">
        <v>6</v>
      </c>
      <c r="I1246" s="58" t="str">
        <f t="shared" si="19"/>
        <v>Roots 2 Shoots Tree Care Ltd</v>
      </c>
    </row>
    <row r="1247" spans="2:9" ht="15.75" customHeight="1" x14ac:dyDescent="0.2">
      <c r="D1247" s="1" t="s">
        <v>337</v>
      </c>
      <c r="E1247" s="1">
        <v>1</v>
      </c>
      <c r="F1247" s="1">
        <v>4</v>
      </c>
      <c r="G1247" s="1">
        <v>4</v>
      </c>
      <c r="I1247" s="58" t="str">
        <f t="shared" si="19"/>
        <v>Roots 2 Shoots Tree Care Ltd</v>
      </c>
    </row>
    <row r="1248" spans="2:9" ht="15.75" customHeight="1" x14ac:dyDescent="0.2">
      <c r="C1248" s="1" t="s">
        <v>635</v>
      </c>
      <c r="D1248" s="1" t="s">
        <v>334</v>
      </c>
      <c r="E1248" s="1">
        <v>0.95</v>
      </c>
      <c r="F1248" s="1">
        <v>17</v>
      </c>
      <c r="G1248" s="1">
        <v>16</v>
      </c>
      <c r="I1248" s="58" t="str">
        <f t="shared" si="19"/>
        <v>Roots 2 Shoots Tree Care Ltd</v>
      </c>
    </row>
    <row r="1249" spans="2:9" ht="15.75" customHeight="1" x14ac:dyDescent="0.2">
      <c r="D1249" s="1" t="s">
        <v>340</v>
      </c>
      <c r="E1249" s="1">
        <v>0.86</v>
      </c>
      <c r="F1249" s="1">
        <v>7</v>
      </c>
      <c r="G1249" s="1">
        <v>6</v>
      </c>
      <c r="I1249" s="58" t="str">
        <f t="shared" si="19"/>
        <v>Roots 2 Shoots Tree Care Ltd</v>
      </c>
    </row>
    <row r="1250" spans="2:9" ht="15.75" customHeight="1" x14ac:dyDescent="0.2">
      <c r="D1250" s="1" t="s">
        <v>336</v>
      </c>
      <c r="E1250" s="1">
        <v>1</v>
      </c>
      <c r="F1250" s="1">
        <v>6</v>
      </c>
      <c r="G1250" s="1">
        <v>6</v>
      </c>
      <c r="I1250" s="58" t="str">
        <f t="shared" si="19"/>
        <v>Roots 2 Shoots Tree Care Ltd</v>
      </c>
    </row>
    <row r="1251" spans="2:9" ht="15.75" customHeight="1" x14ac:dyDescent="0.2">
      <c r="D1251" s="1" t="s">
        <v>337</v>
      </c>
      <c r="E1251" s="1">
        <v>1</v>
      </c>
      <c r="F1251" s="1">
        <v>4</v>
      </c>
      <c r="G1251" s="1">
        <v>4</v>
      </c>
      <c r="I1251" s="58" t="str">
        <f t="shared" si="19"/>
        <v>Roots 2 Shoots Tree Care Ltd</v>
      </c>
    </row>
    <row r="1252" spans="2:9" ht="15.75" customHeight="1" x14ac:dyDescent="0.2">
      <c r="C1252" s="1" t="s">
        <v>636</v>
      </c>
      <c r="D1252" s="1" t="s">
        <v>334</v>
      </c>
      <c r="E1252" s="1">
        <v>1</v>
      </c>
      <c r="F1252" s="1">
        <v>4</v>
      </c>
      <c r="G1252" s="1">
        <v>4</v>
      </c>
      <c r="I1252" s="58" t="str">
        <f t="shared" si="19"/>
        <v>Roots 2 Shoots Tree Care Ltd</v>
      </c>
    </row>
    <row r="1253" spans="2:9" ht="15.75" customHeight="1" x14ac:dyDescent="0.2">
      <c r="D1253" s="1" t="s">
        <v>343</v>
      </c>
      <c r="E1253" s="1">
        <v>1</v>
      </c>
      <c r="F1253" s="1">
        <v>4</v>
      </c>
      <c r="G1253" s="1">
        <v>4</v>
      </c>
      <c r="I1253" s="58" t="str">
        <f t="shared" si="19"/>
        <v>Roots 2 Shoots Tree Care Ltd</v>
      </c>
    </row>
    <row r="1254" spans="2:9" ht="15.75" customHeight="1" x14ac:dyDescent="0.2">
      <c r="B1254" s="1" t="s">
        <v>96</v>
      </c>
      <c r="C1254" s="1" t="s">
        <v>334</v>
      </c>
      <c r="E1254" s="1">
        <v>0.91</v>
      </c>
      <c r="F1254" s="1">
        <v>121</v>
      </c>
      <c r="G1254" s="1">
        <v>110</v>
      </c>
      <c r="H1254" s="57">
        <v>45922</v>
      </c>
      <c r="I1254" s="58" t="str">
        <f t="shared" si="19"/>
        <v>Andrew Munns Tree Surgery Ltd</v>
      </c>
    </row>
    <row r="1255" spans="2:9" ht="15.75" customHeight="1" x14ac:dyDescent="0.2">
      <c r="C1255" s="1" t="s">
        <v>637</v>
      </c>
      <c r="D1255" s="1" t="s">
        <v>334</v>
      </c>
      <c r="E1255" s="1">
        <v>0.83</v>
      </c>
      <c r="F1255" s="1">
        <v>17</v>
      </c>
      <c r="G1255" s="1">
        <v>14</v>
      </c>
      <c r="I1255" s="58" t="str">
        <f t="shared" si="19"/>
        <v>Andrew Munns Tree Surgery Ltd</v>
      </c>
    </row>
    <row r="1256" spans="2:9" ht="15.75" customHeight="1" x14ac:dyDescent="0.2">
      <c r="D1256" s="1" t="s">
        <v>337</v>
      </c>
      <c r="E1256" s="1">
        <v>0.75</v>
      </c>
      <c r="F1256" s="1">
        <v>4</v>
      </c>
      <c r="G1256" s="1">
        <v>3</v>
      </c>
      <c r="I1256" s="58" t="str">
        <f t="shared" si="19"/>
        <v>Andrew Munns Tree Surgery Ltd</v>
      </c>
    </row>
    <row r="1257" spans="2:9" ht="15.75" customHeight="1" x14ac:dyDescent="0.2">
      <c r="D1257" s="1" t="s">
        <v>336</v>
      </c>
      <c r="E1257" s="1">
        <v>0.84</v>
      </c>
      <c r="F1257" s="1">
        <v>6</v>
      </c>
      <c r="G1257" s="1">
        <v>5</v>
      </c>
      <c r="I1257" s="58" t="str">
        <f t="shared" si="19"/>
        <v>Andrew Munns Tree Surgery Ltd</v>
      </c>
    </row>
    <row r="1258" spans="2:9" ht="15.75" customHeight="1" x14ac:dyDescent="0.2">
      <c r="D1258" s="1" t="s">
        <v>340</v>
      </c>
      <c r="E1258" s="1">
        <v>0.86</v>
      </c>
      <c r="F1258" s="1">
        <v>7</v>
      </c>
      <c r="G1258" s="1">
        <v>6</v>
      </c>
      <c r="I1258" s="58" t="str">
        <f t="shared" si="19"/>
        <v>Andrew Munns Tree Surgery Ltd</v>
      </c>
    </row>
    <row r="1259" spans="2:9" ht="15.75" customHeight="1" x14ac:dyDescent="0.2">
      <c r="C1259" s="1" t="s">
        <v>638</v>
      </c>
      <c r="D1259" s="1" t="s">
        <v>334</v>
      </c>
      <c r="E1259" s="1">
        <v>0.87</v>
      </c>
      <c r="F1259" s="1">
        <v>15</v>
      </c>
      <c r="G1259" s="1">
        <v>13</v>
      </c>
      <c r="I1259" s="58" t="str">
        <f t="shared" si="19"/>
        <v>Andrew Munns Tree Surgery Ltd</v>
      </c>
    </row>
    <row r="1260" spans="2:9" ht="15.75" customHeight="1" x14ac:dyDescent="0.2">
      <c r="D1260" s="1" t="s">
        <v>337</v>
      </c>
      <c r="E1260" s="1">
        <v>0.5</v>
      </c>
      <c r="F1260" s="1">
        <v>4</v>
      </c>
      <c r="G1260" s="1">
        <v>2</v>
      </c>
      <c r="I1260" s="58" t="str">
        <f t="shared" si="19"/>
        <v>Andrew Munns Tree Surgery Ltd</v>
      </c>
    </row>
    <row r="1261" spans="2:9" ht="15.75" customHeight="1" x14ac:dyDescent="0.2">
      <c r="D1261" s="1" t="s">
        <v>336</v>
      </c>
      <c r="E1261" s="1">
        <v>1</v>
      </c>
      <c r="F1261" s="1">
        <v>6</v>
      </c>
      <c r="G1261" s="1">
        <v>6</v>
      </c>
      <c r="I1261" s="58" t="str">
        <f t="shared" si="19"/>
        <v>Andrew Munns Tree Surgery Ltd</v>
      </c>
    </row>
    <row r="1262" spans="2:9" ht="15.75" customHeight="1" x14ac:dyDescent="0.2">
      <c r="D1262" s="1" t="s">
        <v>338</v>
      </c>
      <c r="E1262" s="1">
        <v>1</v>
      </c>
      <c r="F1262" s="1">
        <v>5</v>
      </c>
      <c r="G1262" s="1">
        <v>5</v>
      </c>
      <c r="I1262" s="58" t="str">
        <f t="shared" si="19"/>
        <v>Andrew Munns Tree Surgery Ltd</v>
      </c>
    </row>
    <row r="1263" spans="2:9" ht="15.75" customHeight="1" x14ac:dyDescent="0.2">
      <c r="C1263" s="1" t="s">
        <v>639</v>
      </c>
      <c r="D1263" s="1" t="s">
        <v>334</v>
      </c>
      <c r="E1263" s="1">
        <v>0.89</v>
      </c>
      <c r="F1263" s="1">
        <v>17</v>
      </c>
      <c r="G1263" s="1">
        <v>15</v>
      </c>
      <c r="I1263" s="58" t="str">
        <f t="shared" si="19"/>
        <v>Andrew Munns Tree Surgery Ltd</v>
      </c>
    </row>
    <row r="1264" spans="2:9" ht="15.75" customHeight="1" x14ac:dyDescent="0.2">
      <c r="D1264" s="1" t="s">
        <v>336</v>
      </c>
      <c r="E1264" s="1">
        <v>0.84</v>
      </c>
      <c r="F1264" s="1">
        <v>6</v>
      </c>
      <c r="G1264" s="1">
        <v>5</v>
      </c>
      <c r="I1264" s="58" t="str">
        <f t="shared" si="19"/>
        <v>Andrew Munns Tree Surgery Ltd</v>
      </c>
    </row>
    <row r="1265" spans="3:9" ht="15.75" customHeight="1" x14ac:dyDescent="0.2">
      <c r="D1265" s="1" t="s">
        <v>340</v>
      </c>
      <c r="E1265" s="1">
        <v>0.86</v>
      </c>
      <c r="F1265" s="1">
        <v>7</v>
      </c>
      <c r="G1265" s="1">
        <v>6</v>
      </c>
      <c r="I1265" s="58" t="str">
        <f t="shared" si="19"/>
        <v>Andrew Munns Tree Surgery Ltd</v>
      </c>
    </row>
    <row r="1266" spans="3:9" ht="15.75" customHeight="1" x14ac:dyDescent="0.2">
      <c r="D1266" s="1" t="s">
        <v>337</v>
      </c>
      <c r="E1266" s="1">
        <v>1</v>
      </c>
      <c r="F1266" s="1">
        <v>4</v>
      </c>
      <c r="G1266" s="1">
        <v>4</v>
      </c>
      <c r="I1266" s="58" t="str">
        <f t="shared" si="19"/>
        <v>Andrew Munns Tree Surgery Ltd</v>
      </c>
    </row>
    <row r="1267" spans="3:9" ht="15.75" customHeight="1" x14ac:dyDescent="0.2">
      <c r="C1267" s="1" t="s">
        <v>640</v>
      </c>
      <c r="D1267" s="1" t="s">
        <v>334</v>
      </c>
      <c r="E1267" s="1">
        <v>0.95</v>
      </c>
      <c r="F1267" s="1">
        <v>17</v>
      </c>
      <c r="G1267" s="1">
        <v>16</v>
      </c>
      <c r="I1267" s="58" t="str">
        <f t="shared" si="19"/>
        <v>Andrew Munns Tree Surgery Ltd</v>
      </c>
    </row>
    <row r="1268" spans="3:9" ht="15.75" customHeight="1" x14ac:dyDescent="0.2">
      <c r="D1268" s="1" t="s">
        <v>340</v>
      </c>
      <c r="E1268" s="1">
        <v>0.86</v>
      </c>
      <c r="F1268" s="1">
        <v>7</v>
      </c>
      <c r="G1268" s="1">
        <v>6</v>
      </c>
      <c r="I1268" s="58" t="str">
        <f t="shared" si="19"/>
        <v>Andrew Munns Tree Surgery Ltd</v>
      </c>
    </row>
    <row r="1269" spans="3:9" ht="15.75" customHeight="1" x14ac:dyDescent="0.2">
      <c r="D1269" s="1" t="s">
        <v>336</v>
      </c>
      <c r="E1269" s="1">
        <v>1</v>
      </c>
      <c r="F1269" s="1">
        <v>6</v>
      </c>
      <c r="G1269" s="1">
        <v>6</v>
      </c>
      <c r="I1269" s="58" t="str">
        <f t="shared" si="19"/>
        <v>Andrew Munns Tree Surgery Ltd</v>
      </c>
    </row>
    <row r="1270" spans="3:9" ht="15.75" customHeight="1" x14ac:dyDescent="0.2">
      <c r="D1270" s="1" t="s">
        <v>337</v>
      </c>
      <c r="E1270" s="1">
        <v>1</v>
      </c>
      <c r="F1270" s="1">
        <v>4</v>
      </c>
      <c r="G1270" s="1">
        <v>4</v>
      </c>
      <c r="I1270" s="58" t="str">
        <f t="shared" si="19"/>
        <v>Andrew Munns Tree Surgery Ltd</v>
      </c>
    </row>
    <row r="1271" spans="3:9" ht="15.75" customHeight="1" x14ac:dyDescent="0.2">
      <c r="C1271" s="1" t="s">
        <v>641</v>
      </c>
      <c r="D1271" s="1" t="s">
        <v>334</v>
      </c>
      <c r="E1271" s="1">
        <v>0.95</v>
      </c>
      <c r="F1271" s="1">
        <v>17</v>
      </c>
      <c r="G1271" s="1">
        <v>16</v>
      </c>
      <c r="I1271" s="58" t="str">
        <f t="shared" si="19"/>
        <v>Andrew Munns Tree Surgery Ltd</v>
      </c>
    </row>
    <row r="1272" spans="3:9" ht="15.75" customHeight="1" x14ac:dyDescent="0.2">
      <c r="D1272" s="1" t="s">
        <v>340</v>
      </c>
      <c r="E1272" s="1">
        <v>0.86</v>
      </c>
      <c r="F1272" s="1">
        <v>7</v>
      </c>
      <c r="G1272" s="1">
        <v>6</v>
      </c>
      <c r="I1272" s="58" t="str">
        <f t="shared" si="19"/>
        <v>Andrew Munns Tree Surgery Ltd</v>
      </c>
    </row>
    <row r="1273" spans="3:9" ht="15.75" customHeight="1" x14ac:dyDescent="0.2">
      <c r="D1273" s="1" t="s">
        <v>336</v>
      </c>
      <c r="E1273" s="1">
        <v>1</v>
      </c>
      <c r="F1273" s="1">
        <v>6</v>
      </c>
      <c r="G1273" s="1">
        <v>6</v>
      </c>
      <c r="I1273" s="58" t="str">
        <f t="shared" si="19"/>
        <v>Andrew Munns Tree Surgery Ltd</v>
      </c>
    </row>
    <row r="1274" spans="3:9" ht="15.75" customHeight="1" x14ac:dyDescent="0.2">
      <c r="D1274" s="1" t="s">
        <v>337</v>
      </c>
      <c r="E1274" s="1">
        <v>1</v>
      </c>
      <c r="F1274" s="1">
        <v>4</v>
      </c>
      <c r="G1274" s="1">
        <v>4</v>
      </c>
      <c r="I1274" s="58" t="str">
        <f t="shared" si="19"/>
        <v>Andrew Munns Tree Surgery Ltd</v>
      </c>
    </row>
    <row r="1275" spans="3:9" ht="15.75" customHeight="1" x14ac:dyDescent="0.2">
      <c r="C1275" s="1" t="s">
        <v>642</v>
      </c>
      <c r="D1275" s="1" t="s">
        <v>334</v>
      </c>
      <c r="E1275" s="1">
        <v>0.95</v>
      </c>
      <c r="F1275" s="1">
        <v>17</v>
      </c>
      <c r="G1275" s="1">
        <v>16</v>
      </c>
      <c r="I1275" s="58" t="str">
        <f t="shared" si="19"/>
        <v>Andrew Munns Tree Surgery Ltd</v>
      </c>
    </row>
    <row r="1276" spans="3:9" ht="15.75" customHeight="1" x14ac:dyDescent="0.2">
      <c r="D1276" s="1" t="s">
        <v>340</v>
      </c>
      <c r="E1276" s="1">
        <v>0.86</v>
      </c>
      <c r="F1276" s="1">
        <v>7</v>
      </c>
      <c r="G1276" s="1">
        <v>6</v>
      </c>
      <c r="I1276" s="58" t="str">
        <f t="shared" si="19"/>
        <v>Andrew Munns Tree Surgery Ltd</v>
      </c>
    </row>
    <row r="1277" spans="3:9" ht="15.75" customHeight="1" x14ac:dyDescent="0.2">
      <c r="D1277" s="1" t="s">
        <v>336</v>
      </c>
      <c r="E1277" s="1">
        <v>1</v>
      </c>
      <c r="F1277" s="1">
        <v>6</v>
      </c>
      <c r="G1277" s="1">
        <v>6</v>
      </c>
      <c r="I1277" s="58" t="str">
        <f t="shared" si="19"/>
        <v>Andrew Munns Tree Surgery Ltd</v>
      </c>
    </row>
    <row r="1278" spans="3:9" ht="15.75" customHeight="1" x14ac:dyDescent="0.2">
      <c r="D1278" s="1" t="s">
        <v>337</v>
      </c>
      <c r="E1278" s="1">
        <v>1</v>
      </c>
      <c r="F1278" s="1">
        <v>4</v>
      </c>
      <c r="G1278" s="1">
        <v>4</v>
      </c>
      <c r="I1278" s="58" t="str">
        <f t="shared" si="19"/>
        <v>Andrew Munns Tree Surgery Ltd</v>
      </c>
    </row>
    <row r="1279" spans="3:9" ht="15.75" customHeight="1" x14ac:dyDescent="0.2">
      <c r="C1279" s="1" t="s">
        <v>643</v>
      </c>
      <c r="D1279" s="1" t="s">
        <v>334</v>
      </c>
      <c r="E1279" s="1">
        <v>0.95</v>
      </c>
      <c r="F1279" s="1">
        <v>17</v>
      </c>
      <c r="G1279" s="1">
        <v>16</v>
      </c>
      <c r="I1279" s="58" t="str">
        <f t="shared" si="19"/>
        <v>Andrew Munns Tree Surgery Ltd</v>
      </c>
    </row>
    <row r="1280" spans="3:9" ht="15.75" customHeight="1" x14ac:dyDescent="0.2">
      <c r="D1280" s="1" t="s">
        <v>340</v>
      </c>
      <c r="E1280" s="1">
        <v>0.86</v>
      </c>
      <c r="F1280" s="1">
        <v>7</v>
      </c>
      <c r="G1280" s="1">
        <v>6</v>
      </c>
      <c r="I1280" s="58" t="str">
        <f t="shared" si="19"/>
        <v>Andrew Munns Tree Surgery Ltd</v>
      </c>
    </row>
    <row r="1281" spans="2:9" ht="15.75" customHeight="1" x14ac:dyDescent="0.2">
      <c r="D1281" s="1" t="s">
        <v>336</v>
      </c>
      <c r="E1281" s="1">
        <v>1</v>
      </c>
      <c r="F1281" s="1">
        <v>6</v>
      </c>
      <c r="G1281" s="1">
        <v>6</v>
      </c>
      <c r="I1281" s="58" t="str">
        <f t="shared" si="19"/>
        <v>Andrew Munns Tree Surgery Ltd</v>
      </c>
    </row>
    <row r="1282" spans="2:9" ht="15.75" customHeight="1" x14ac:dyDescent="0.2">
      <c r="D1282" s="1" t="s">
        <v>337</v>
      </c>
      <c r="E1282" s="1">
        <v>1</v>
      </c>
      <c r="F1282" s="1">
        <v>4</v>
      </c>
      <c r="G1282" s="1">
        <v>4</v>
      </c>
      <c r="I1282" s="58" t="str">
        <f t="shared" si="19"/>
        <v>Andrew Munns Tree Surgery Ltd</v>
      </c>
    </row>
    <row r="1283" spans="2:9" ht="15.75" customHeight="1" x14ac:dyDescent="0.2">
      <c r="C1283" s="1" t="s">
        <v>644</v>
      </c>
      <c r="D1283" s="1" t="s">
        <v>334</v>
      </c>
      <c r="E1283" s="1">
        <v>1</v>
      </c>
      <c r="F1283" s="1">
        <v>4</v>
      </c>
      <c r="G1283" s="1">
        <v>4</v>
      </c>
      <c r="I1283" s="58" t="str">
        <f t="shared" si="19"/>
        <v>Andrew Munns Tree Surgery Ltd</v>
      </c>
    </row>
    <row r="1284" spans="2:9" ht="15.75" customHeight="1" x14ac:dyDescent="0.2">
      <c r="D1284" s="1" t="s">
        <v>343</v>
      </c>
      <c r="E1284" s="1">
        <v>1</v>
      </c>
      <c r="F1284" s="1">
        <v>4</v>
      </c>
      <c r="G1284" s="1">
        <v>4</v>
      </c>
      <c r="I1284" s="58" t="str">
        <f t="shared" si="19"/>
        <v>Andrew Munns Tree Surgery Ltd</v>
      </c>
    </row>
    <row r="1285" spans="2:9" ht="15.75" customHeight="1" x14ac:dyDescent="0.2">
      <c r="B1285" s="1" t="s">
        <v>78</v>
      </c>
      <c r="C1285" s="1" t="s">
        <v>334</v>
      </c>
      <c r="E1285" s="1">
        <v>0.93</v>
      </c>
      <c r="F1285" s="1">
        <v>38</v>
      </c>
      <c r="G1285" s="1">
        <v>35</v>
      </c>
      <c r="H1285" s="57">
        <v>45846</v>
      </c>
      <c r="I1285" s="58" t="str">
        <f t="shared" si="19"/>
        <v>Hope Ground and Tree Care</v>
      </c>
    </row>
    <row r="1286" spans="2:9" ht="15.75" customHeight="1" x14ac:dyDescent="0.2">
      <c r="C1286" s="1" t="s">
        <v>645</v>
      </c>
      <c r="D1286" s="1" t="s">
        <v>334</v>
      </c>
      <c r="E1286" s="1">
        <v>0.89</v>
      </c>
      <c r="F1286" s="1">
        <v>17</v>
      </c>
      <c r="G1286" s="1">
        <v>15</v>
      </c>
      <c r="I1286" s="58" t="str">
        <f t="shared" ref="I1286:I1349" si="20">IF(B1286&lt;&gt;"",B1286,I1285)</f>
        <v>Hope Ground and Tree Care</v>
      </c>
    </row>
    <row r="1287" spans="2:9" ht="15.75" customHeight="1" x14ac:dyDescent="0.2">
      <c r="D1287" s="1" t="s">
        <v>340</v>
      </c>
      <c r="E1287" s="1">
        <v>0.72</v>
      </c>
      <c r="F1287" s="1">
        <v>7</v>
      </c>
      <c r="G1287" s="1">
        <v>5</v>
      </c>
      <c r="I1287" s="58" t="str">
        <f t="shared" si="20"/>
        <v>Hope Ground and Tree Care</v>
      </c>
    </row>
    <row r="1288" spans="2:9" ht="15.75" customHeight="1" x14ac:dyDescent="0.2">
      <c r="D1288" s="1" t="s">
        <v>336</v>
      </c>
      <c r="E1288" s="1">
        <v>1</v>
      </c>
      <c r="F1288" s="1">
        <v>6</v>
      </c>
      <c r="G1288" s="1">
        <v>6</v>
      </c>
      <c r="I1288" s="58" t="str">
        <f t="shared" si="20"/>
        <v>Hope Ground and Tree Care</v>
      </c>
    </row>
    <row r="1289" spans="2:9" ht="15.75" customHeight="1" x14ac:dyDescent="0.2">
      <c r="D1289" s="1" t="s">
        <v>337</v>
      </c>
      <c r="E1289" s="1">
        <v>1</v>
      </c>
      <c r="F1289" s="1">
        <v>4</v>
      </c>
      <c r="G1289" s="1">
        <v>4</v>
      </c>
      <c r="I1289" s="58" t="str">
        <f t="shared" si="20"/>
        <v>Hope Ground and Tree Care</v>
      </c>
    </row>
    <row r="1290" spans="2:9" ht="15.75" customHeight="1" x14ac:dyDescent="0.2">
      <c r="C1290" s="1" t="s">
        <v>646</v>
      </c>
      <c r="D1290" s="1" t="s">
        <v>334</v>
      </c>
      <c r="E1290" s="1">
        <v>0.95</v>
      </c>
      <c r="F1290" s="1">
        <v>17</v>
      </c>
      <c r="G1290" s="1">
        <v>16</v>
      </c>
      <c r="I1290" s="58" t="str">
        <f t="shared" si="20"/>
        <v>Hope Ground and Tree Care</v>
      </c>
    </row>
    <row r="1291" spans="2:9" ht="15.75" customHeight="1" x14ac:dyDescent="0.2">
      <c r="D1291" s="1" t="s">
        <v>340</v>
      </c>
      <c r="E1291" s="1">
        <v>0.86</v>
      </c>
      <c r="F1291" s="1">
        <v>7</v>
      </c>
      <c r="G1291" s="1">
        <v>6</v>
      </c>
      <c r="I1291" s="58" t="str">
        <f t="shared" si="20"/>
        <v>Hope Ground and Tree Care</v>
      </c>
    </row>
    <row r="1292" spans="2:9" ht="15.75" customHeight="1" x14ac:dyDescent="0.2">
      <c r="D1292" s="1" t="s">
        <v>336</v>
      </c>
      <c r="E1292" s="1">
        <v>1</v>
      </c>
      <c r="F1292" s="1">
        <v>6</v>
      </c>
      <c r="G1292" s="1">
        <v>6</v>
      </c>
      <c r="I1292" s="58" t="str">
        <f t="shared" si="20"/>
        <v>Hope Ground and Tree Care</v>
      </c>
    </row>
    <row r="1293" spans="2:9" ht="15.75" customHeight="1" x14ac:dyDescent="0.2">
      <c r="D1293" s="1" t="s">
        <v>337</v>
      </c>
      <c r="E1293" s="1">
        <v>1</v>
      </c>
      <c r="F1293" s="1">
        <v>4</v>
      </c>
      <c r="G1293" s="1">
        <v>4</v>
      </c>
      <c r="I1293" s="58" t="str">
        <f t="shared" si="20"/>
        <v>Hope Ground and Tree Care</v>
      </c>
    </row>
    <row r="1294" spans="2:9" ht="15.75" customHeight="1" x14ac:dyDescent="0.2">
      <c r="C1294" s="1" t="s">
        <v>647</v>
      </c>
      <c r="D1294" s="1" t="s">
        <v>334</v>
      </c>
      <c r="E1294" s="1">
        <v>1</v>
      </c>
      <c r="F1294" s="1">
        <v>4</v>
      </c>
      <c r="G1294" s="1">
        <v>4</v>
      </c>
      <c r="I1294" s="58" t="str">
        <f t="shared" si="20"/>
        <v>Hope Ground and Tree Care</v>
      </c>
    </row>
    <row r="1295" spans="2:9" ht="15.75" customHeight="1" x14ac:dyDescent="0.2">
      <c r="D1295" s="1" t="s">
        <v>343</v>
      </c>
      <c r="E1295" s="1">
        <v>1</v>
      </c>
      <c r="F1295" s="1">
        <v>4</v>
      </c>
      <c r="G1295" s="1">
        <v>4</v>
      </c>
      <c r="I1295" s="58" t="str">
        <f t="shared" si="20"/>
        <v>Hope Ground and Tree Care</v>
      </c>
    </row>
    <row r="1296" spans="2:9" ht="15.75" customHeight="1" x14ac:dyDescent="0.2">
      <c r="B1296" s="1" t="s">
        <v>80</v>
      </c>
      <c r="C1296" s="1" t="s">
        <v>334</v>
      </c>
      <c r="E1296" s="1">
        <v>0.93</v>
      </c>
      <c r="F1296" s="1">
        <v>55</v>
      </c>
      <c r="G1296" s="1">
        <v>51</v>
      </c>
      <c r="H1296" s="57">
        <v>45623</v>
      </c>
      <c r="I1296" s="58" t="str">
        <f t="shared" si="20"/>
        <v>M G Tree Surgery Ltd</v>
      </c>
    </row>
    <row r="1297" spans="2:9" ht="15.75" customHeight="1" x14ac:dyDescent="0.2">
      <c r="C1297" s="1" t="s">
        <v>648</v>
      </c>
      <c r="D1297" s="1" t="s">
        <v>334</v>
      </c>
      <c r="E1297" s="1">
        <v>0.25</v>
      </c>
      <c r="F1297" s="1">
        <v>4</v>
      </c>
      <c r="G1297" s="1">
        <v>1</v>
      </c>
      <c r="I1297" s="58" t="str">
        <f t="shared" si="20"/>
        <v>M G Tree Surgery Ltd</v>
      </c>
    </row>
    <row r="1298" spans="2:9" ht="15.75" customHeight="1" x14ac:dyDescent="0.2">
      <c r="D1298" s="1" t="s">
        <v>343</v>
      </c>
      <c r="E1298" s="1">
        <v>0.25</v>
      </c>
      <c r="F1298" s="1">
        <v>4</v>
      </c>
      <c r="G1298" s="1">
        <v>1</v>
      </c>
      <c r="I1298" s="58" t="str">
        <f t="shared" si="20"/>
        <v>M G Tree Surgery Ltd</v>
      </c>
    </row>
    <row r="1299" spans="2:9" ht="15.75" customHeight="1" x14ac:dyDescent="0.2">
      <c r="C1299" s="1" t="s">
        <v>649</v>
      </c>
      <c r="D1299" s="1" t="s">
        <v>334</v>
      </c>
      <c r="E1299" s="1">
        <v>0.95</v>
      </c>
      <c r="F1299" s="1">
        <v>17</v>
      </c>
      <c r="G1299" s="1">
        <v>16</v>
      </c>
      <c r="I1299" s="58" t="str">
        <f t="shared" si="20"/>
        <v>M G Tree Surgery Ltd</v>
      </c>
    </row>
    <row r="1300" spans="2:9" ht="15.75" customHeight="1" x14ac:dyDescent="0.2">
      <c r="D1300" s="1" t="s">
        <v>340</v>
      </c>
      <c r="E1300" s="1">
        <v>0.86</v>
      </c>
      <c r="F1300" s="1">
        <v>7</v>
      </c>
      <c r="G1300" s="1">
        <v>6</v>
      </c>
      <c r="I1300" s="58" t="str">
        <f t="shared" si="20"/>
        <v>M G Tree Surgery Ltd</v>
      </c>
    </row>
    <row r="1301" spans="2:9" ht="15.75" customHeight="1" x14ac:dyDescent="0.2">
      <c r="D1301" s="1" t="s">
        <v>336</v>
      </c>
      <c r="E1301" s="1">
        <v>1</v>
      </c>
      <c r="F1301" s="1">
        <v>6</v>
      </c>
      <c r="G1301" s="1">
        <v>6</v>
      </c>
      <c r="I1301" s="58" t="str">
        <f t="shared" si="20"/>
        <v>M G Tree Surgery Ltd</v>
      </c>
    </row>
    <row r="1302" spans="2:9" ht="15.75" customHeight="1" x14ac:dyDescent="0.2">
      <c r="D1302" s="1" t="s">
        <v>337</v>
      </c>
      <c r="E1302" s="1">
        <v>1</v>
      </c>
      <c r="F1302" s="1">
        <v>4</v>
      </c>
      <c r="G1302" s="1">
        <v>4</v>
      </c>
      <c r="I1302" s="58" t="str">
        <f t="shared" si="20"/>
        <v>M G Tree Surgery Ltd</v>
      </c>
    </row>
    <row r="1303" spans="2:9" ht="15.75" customHeight="1" x14ac:dyDescent="0.2">
      <c r="C1303" s="1" t="s">
        <v>650</v>
      </c>
      <c r="D1303" s="1" t="s">
        <v>334</v>
      </c>
      <c r="E1303" s="1">
        <v>1</v>
      </c>
      <c r="F1303" s="1">
        <v>17</v>
      </c>
      <c r="G1303" s="1">
        <v>17</v>
      </c>
      <c r="I1303" s="58" t="str">
        <f t="shared" si="20"/>
        <v>M G Tree Surgery Ltd</v>
      </c>
    </row>
    <row r="1304" spans="2:9" ht="15.75" customHeight="1" x14ac:dyDescent="0.2">
      <c r="D1304" s="1" t="s">
        <v>340</v>
      </c>
      <c r="E1304" s="1">
        <v>1</v>
      </c>
      <c r="F1304" s="1">
        <v>7</v>
      </c>
      <c r="G1304" s="1">
        <v>7</v>
      </c>
      <c r="I1304" s="58" t="str">
        <f t="shared" si="20"/>
        <v>M G Tree Surgery Ltd</v>
      </c>
    </row>
    <row r="1305" spans="2:9" ht="15.75" customHeight="1" x14ac:dyDescent="0.2">
      <c r="D1305" s="1" t="s">
        <v>336</v>
      </c>
      <c r="E1305" s="1">
        <v>1</v>
      </c>
      <c r="F1305" s="1">
        <v>6</v>
      </c>
      <c r="G1305" s="1">
        <v>6</v>
      </c>
      <c r="I1305" s="58" t="str">
        <f t="shared" si="20"/>
        <v>M G Tree Surgery Ltd</v>
      </c>
    </row>
    <row r="1306" spans="2:9" ht="15.75" customHeight="1" x14ac:dyDescent="0.2">
      <c r="D1306" s="1" t="s">
        <v>337</v>
      </c>
      <c r="E1306" s="1">
        <v>1</v>
      </c>
      <c r="F1306" s="1">
        <v>4</v>
      </c>
      <c r="G1306" s="1">
        <v>4</v>
      </c>
      <c r="I1306" s="58" t="str">
        <f t="shared" si="20"/>
        <v>M G Tree Surgery Ltd</v>
      </c>
    </row>
    <row r="1307" spans="2:9" ht="15.75" customHeight="1" x14ac:dyDescent="0.2">
      <c r="C1307" s="1" t="s">
        <v>651</v>
      </c>
      <c r="D1307" s="1" t="s">
        <v>334</v>
      </c>
      <c r="E1307" s="1">
        <v>1</v>
      </c>
      <c r="F1307" s="1">
        <v>17</v>
      </c>
      <c r="G1307" s="1">
        <v>17</v>
      </c>
      <c r="I1307" s="58" t="str">
        <f t="shared" si="20"/>
        <v>M G Tree Surgery Ltd</v>
      </c>
    </row>
    <row r="1308" spans="2:9" ht="15.75" customHeight="1" x14ac:dyDescent="0.2">
      <c r="D1308" s="1" t="s">
        <v>340</v>
      </c>
      <c r="E1308" s="1">
        <v>1</v>
      </c>
      <c r="F1308" s="1">
        <v>7</v>
      </c>
      <c r="G1308" s="1">
        <v>7</v>
      </c>
      <c r="I1308" s="58" t="str">
        <f t="shared" si="20"/>
        <v>M G Tree Surgery Ltd</v>
      </c>
    </row>
    <row r="1309" spans="2:9" ht="15.75" customHeight="1" x14ac:dyDescent="0.2">
      <c r="D1309" s="1" t="s">
        <v>336</v>
      </c>
      <c r="E1309" s="1">
        <v>1</v>
      </c>
      <c r="F1309" s="1">
        <v>6</v>
      </c>
      <c r="G1309" s="1">
        <v>6</v>
      </c>
      <c r="I1309" s="58" t="str">
        <f t="shared" si="20"/>
        <v>M G Tree Surgery Ltd</v>
      </c>
    </row>
    <row r="1310" spans="2:9" ht="15.75" customHeight="1" x14ac:dyDescent="0.2">
      <c r="D1310" s="1" t="s">
        <v>337</v>
      </c>
      <c r="E1310" s="1">
        <v>1</v>
      </c>
      <c r="F1310" s="1">
        <v>4</v>
      </c>
      <c r="G1310" s="1">
        <v>4</v>
      </c>
      <c r="I1310" s="58" t="str">
        <f t="shared" si="20"/>
        <v>M G Tree Surgery Ltd</v>
      </c>
    </row>
    <row r="1311" spans="2:9" ht="15.75" customHeight="1" x14ac:dyDescent="0.2">
      <c r="B1311" s="1" t="s">
        <v>132</v>
      </c>
      <c r="C1311" s="1" t="s">
        <v>334</v>
      </c>
      <c r="E1311" s="1">
        <v>0.93</v>
      </c>
      <c r="F1311" s="1">
        <v>38</v>
      </c>
      <c r="G1311" s="1">
        <v>35</v>
      </c>
      <c r="H1311" s="57">
        <v>46002</v>
      </c>
      <c r="I1311" s="58" t="str">
        <f t="shared" si="20"/>
        <v>Two Counties Tree Care Ltd</v>
      </c>
    </row>
    <row r="1312" spans="2:9" ht="15.75" customHeight="1" x14ac:dyDescent="0.2">
      <c r="C1312" s="1" t="s">
        <v>592</v>
      </c>
      <c r="D1312" s="1" t="s">
        <v>334</v>
      </c>
      <c r="E1312" s="1">
        <v>0.89</v>
      </c>
      <c r="F1312" s="1">
        <v>17</v>
      </c>
      <c r="G1312" s="1">
        <v>15</v>
      </c>
      <c r="I1312" s="58" t="str">
        <f t="shared" si="20"/>
        <v>Two Counties Tree Care Ltd</v>
      </c>
    </row>
    <row r="1313" spans="2:9" ht="15.75" customHeight="1" x14ac:dyDescent="0.2">
      <c r="D1313" s="1" t="s">
        <v>340</v>
      </c>
      <c r="E1313" s="1">
        <v>0.72</v>
      </c>
      <c r="F1313" s="1">
        <v>7</v>
      </c>
      <c r="G1313" s="1">
        <v>5</v>
      </c>
      <c r="I1313" s="58" t="str">
        <f t="shared" si="20"/>
        <v>Two Counties Tree Care Ltd</v>
      </c>
    </row>
    <row r="1314" spans="2:9" ht="15.75" customHeight="1" x14ac:dyDescent="0.2">
      <c r="D1314" s="1" t="s">
        <v>336</v>
      </c>
      <c r="E1314" s="1">
        <v>1</v>
      </c>
      <c r="F1314" s="1">
        <v>6</v>
      </c>
      <c r="G1314" s="1">
        <v>6</v>
      </c>
      <c r="I1314" s="58" t="str">
        <f t="shared" si="20"/>
        <v>Two Counties Tree Care Ltd</v>
      </c>
    </row>
    <row r="1315" spans="2:9" ht="15.75" customHeight="1" x14ac:dyDescent="0.2">
      <c r="D1315" s="1" t="s">
        <v>337</v>
      </c>
      <c r="E1315" s="1">
        <v>1</v>
      </c>
      <c r="F1315" s="1">
        <v>4</v>
      </c>
      <c r="G1315" s="1">
        <v>4</v>
      </c>
      <c r="I1315" s="58" t="str">
        <f t="shared" si="20"/>
        <v>Two Counties Tree Care Ltd</v>
      </c>
    </row>
    <row r="1316" spans="2:9" ht="15.75" customHeight="1" x14ac:dyDescent="0.2">
      <c r="C1316" s="1" t="s">
        <v>652</v>
      </c>
      <c r="D1316" s="1" t="s">
        <v>334</v>
      </c>
      <c r="E1316" s="1">
        <v>0.95</v>
      </c>
      <c r="F1316" s="1">
        <v>17</v>
      </c>
      <c r="G1316" s="1">
        <v>16</v>
      </c>
      <c r="I1316" s="58" t="str">
        <f t="shared" si="20"/>
        <v>Two Counties Tree Care Ltd</v>
      </c>
    </row>
    <row r="1317" spans="2:9" ht="15.75" customHeight="1" x14ac:dyDescent="0.2">
      <c r="D1317" s="1" t="s">
        <v>340</v>
      </c>
      <c r="E1317" s="1">
        <v>0.86</v>
      </c>
      <c r="F1317" s="1">
        <v>7</v>
      </c>
      <c r="G1317" s="1">
        <v>6</v>
      </c>
      <c r="I1317" s="58" t="str">
        <f t="shared" si="20"/>
        <v>Two Counties Tree Care Ltd</v>
      </c>
    </row>
    <row r="1318" spans="2:9" ht="15.75" customHeight="1" x14ac:dyDescent="0.2">
      <c r="D1318" s="1" t="s">
        <v>336</v>
      </c>
      <c r="E1318" s="1">
        <v>1</v>
      </c>
      <c r="F1318" s="1">
        <v>6</v>
      </c>
      <c r="G1318" s="1">
        <v>6</v>
      </c>
      <c r="I1318" s="58" t="str">
        <f t="shared" si="20"/>
        <v>Two Counties Tree Care Ltd</v>
      </c>
    </row>
    <row r="1319" spans="2:9" ht="15.75" customHeight="1" x14ac:dyDescent="0.2">
      <c r="D1319" s="1" t="s">
        <v>337</v>
      </c>
      <c r="E1319" s="1">
        <v>1</v>
      </c>
      <c r="F1319" s="1">
        <v>4</v>
      </c>
      <c r="G1319" s="1">
        <v>4</v>
      </c>
      <c r="I1319" s="58" t="str">
        <f t="shared" si="20"/>
        <v>Two Counties Tree Care Ltd</v>
      </c>
    </row>
    <row r="1320" spans="2:9" ht="15.75" customHeight="1" x14ac:dyDescent="0.2">
      <c r="C1320" s="1" t="s">
        <v>653</v>
      </c>
      <c r="D1320" s="1" t="s">
        <v>334</v>
      </c>
      <c r="E1320" s="1">
        <v>1</v>
      </c>
      <c r="F1320" s="1">
        <v>4</v>
      </c>
      <c r="G1320" s="1">
        <v>4</v>
      </c>
      <c r="I1320" s="58" t="str">
        <f t="shared" si="20"/>
        <v>Two Counties Tree Care Ltd</v>
      </c>
    </row>
    <row r="1321" spans="2:9" ht="15.75" customHeight="1" x14ac:dyDescent="0.2">
      <c r="D1321" s="1" t="s">
        <v>343</v>
      </c>
      <c r="E1321" s="1">
        <v>1</v>
      </c>
      <c r="F1321" s="1">
        <v>4</v>
      </c>
      <c r="G1321" s="1">
        <v>4</v>
      </c>
      <c r="I1321" s="58" t="str">
        <f t="shared" si="20"/>
        <v>Two Counties Tree Care Ltd</v>
      </c>
    </row>
    <row r="1322" spans="2:9" ht="15.75" customHeight="1" x14ac:dyDescent="0.2">
      <c r="B1322" s="1" t="s">
        <v>61</v>
      </c>
      <c r="C1322" s="1" t="s">
        <v>334</v>
      </c>
      <c r="E1322" s="1">
        <v>0.93</v>
      </c>
      <c r="F1322" s="1">
        <v>55</v>
      </c>
      <c r="G1322" s="1">
        <v>51</v>
      </c>
      <c r="H1322" s="57">
        <v>42475</v>
      </c>
      <c r="I1322" s="58" t="str">
        <f t="shared" si="20"/>
        <v>WRS Tree Services Ltd</v>
      </c>
    </row>
    <row r="1323" spans="2:9" ht="15.75" customHeight="1" x14ac:dyDescent="0.2">
      <c r="C1323" s="1" t="s">
        <v>61</v>
      </c>
      <c r="D1323" s="1" t="s">
        <v>334</v>
      </c>
      <c r="E1323" s="1">
        <v>0.5</v>
      </c>
      <c r="F1323" s="1">
        <v>4</v>
      </c>
      <c r="G1323" s="1">
        <v>2</v>
      </c>
      <c r="I1323" s="58" t="str">
        <f t="shared" si="20"/>
        <v>WRS Tree Services Ltd</v>
      </c>
    </row>
    <row r="1324" spans="2:9" ht="15.75" customHeight="1" x14ac:dyDescent="0.2">
      <c r="D1324" s="1" t="s">
        <v>343</v>
      </c>
      <c r="E1324" s="1">
        <v>0.5</v>
      </c>
      <c r="F1324" s="1">
        <v>4</v>
      </c>
      <c r="G1324" s="1">
        <v>2</v>
      </c>
      <c r="I1324" s="58" t="str">
        <f t="shared" si="20"/>
        <v>WRS Tree Services Ltd</v>
      </c>
    </row>
    <row r="1325" spans="2:9" ht="15.75" customHeight="1" x14ac:dyDescent="0.2">
      <c r="C1325" s="1" t="s">
        <v>654</v>
      </c>
      <c r="D1325" s="1" t="s">
        <v>334</v>
      </c>
      <c r="E1325" s="1">
        <v>0.89</v>
      </c>
      <c r="F1325" s="1">
        <v>17</v>
      </c>
      <c r="G1325" s="1">
        <v>15</v>
      </c>
      <c r="I1325" s="58" t="str">
        <f t="shared" si="20"/>
        <v>WRS Tree Services Ltd</v>
      </c>
    </row>
    <row r="1326" spans="2:9" ht="15.75" customHeight="1" x14ac:dyDescent="0.2">
      <c r="D1326" s="1" t="s">
        <v>340</v>
      </c>
      <c r="E1326" s="1">
        <v>0.72</v>
      </c>
      <c r="F1326" s="1">
        <v>7</v>
      </c>
      <c r="G1326" s="1">
        <v>5</v>
      </c>
      <c r="I1326" s="58" t="str">
        <f t="shared" si="20"/>
        <v>WRS Tree Services Ltd</v>
      </c>
    </row>
    <row r="1327" spans="2:9" ht="15.75" customHeight="1" x14ac:dyDescent="0.2">
      <c r="D1327" s="1" t="s">
        <v>336</v>
      </c>
      <c r="E1327" s="1">
        <v>1</v>
      </c>
      <c r="F1327" s="1">
        <v>6</v>
      </c>
      <c r="G1327" s="1">
        <v>6</v>
      </c>
      <c r="I1327" s="58" t="str">
        <f t="shared" si="20"/>
        <v>WRS Tree Services Ltd</v>
      </c>
    </row>
    <row r="1328" spans="2:9" ht="15.75" customHeight="1" x14ac:dyDescent="0.2">
      <c r="D1328" s="1" t="s">
        <v>337</v>
      </c>
      <c r="E1328" s="1">
        <v>1</v>
      </c>
      <c r="F1328" s="1">
        <v>4</v>
      </c>
      <c r="G1328" s="1">
        <v>4</v>
      </c>
      <c r="I1328" s="58" t="str">
        <f t="shared" si="20"/>
        <v>WRS Tree Services Ltd</v>
      </c>
    </row>
    <row r="1329" spans="2:9" ht="15.75" customHeight="1" x14ac:dyDescent="0.2">
      <c r="C1329" s="1" t="s">
        <v>655</v>
      </c>
      <c r="D1329" s="1" t="s">
        <v>334</v>
      </c>
      <c r="E1329" s="1">
        <v>1</v>
      </c>
      <c r="F1329" s="1">
        <v>17</v>
      </c>
      <c r="G1329" s="1">
        <v>17</v>
      </c>
      <c r="I1329" s="58" t="str">
        <f t="shared" si="20"/>
        <v>WRS Tree Services Ltd</v>
      </c>
    </row>
    <row r="1330" spans="2:9" ht="15.75" customHeight="1" x14ac:dyDescent="0.2">
      <c r="D1330" s="1" t="s">
        <v>340</v>
      </c>
      <c r="E1330" s="1">
        <v>1</v>
      </c>
      <c r="F1330" s="1">
        <v>7</v>
      </c>
      <c r="G1330" s="1">
        <v>7</v>
      </c>
      <c r="I1330" s="58" t="str">
        <f t="shared" si="20"/>
        <v>WRS Tree Services Ltd</v>
      </c>
    </row>
    <row r="1331" spans="2:9" ht="15.75" customHeight="1" x14ac:dyDescent="0.2">
      <c r="D1331" s="1" t="s">
        <v>336</v>
      </c>
      <c r="E1331" s="1">
        <v>1</v>
      </c>
      <c r="F1331" s="1">
        <v>6</v>
      </c>
      <c r="G1331" s="1">
        <v>6</v>
      </c>
      <c r="I1331" s="58" t="str">
        <f t="shared" si="20"/>
        <v>WRS Tree Services Ltd</v>
      </c>
    </row>
    <row r="1332" spans="2:9" ht="15.75" customHeight="1" x14ac:dyDescent="0.2">
      <c r="D1332" s="1" t="s">
        <v>337</v>
      </c>
      <c r="E1332" s="1">
        <v>1</v>
      </c>
      <c r="F1332" s="1">
        <v>4</v>
      </c>
      <c r="G1332" s="1">
        <v>4</v>
      </c>
      <c r="I1332" s="58" t="str">
        <f t="shared" si="20"/>
        <v>WRS Tree Services Ltd</v>
      </c>
    </row>
    <row r="1333" spans="2:9" ht="15.75" customHeight="1" x14ac:dyDescent="0.2">
      <c r="C1333" s="1" t="s">
        <v>656</v>
      </c>
      <c r="D1333" s="1" t="s">
        <v>334</v>
      </c>
      <c r="E1333" s="1">
        <v>1</v>
      </c>
      <c r="F1333" s="1">
        <v>17</v>
      </c>
      <c r="G1333" s="1">
        <v>17</v>
      </c>
      <c r="I1333" s="58" t="str">
        <f t="shared" si="20"/>
        <v>WRS Tree Services Ltd</v>
      </c>
    </row>
    <row r="1334" spans="2:9" ht="15.75" customHeight="1" x14ac:dyDescent="0.2">
      <c r="D1334" s="1" t="s">
        <v>340</v>
      </c>
      <c r="E1334" s="1">
        <v>1</v>
      </c>
      <c r="F1334" s="1">
        <v>7</v>
      </c>
      <c r="G1334" s="1">
        <v>7</v>
      </c>
      <c r="I1334" s="58" t="str">
        <f t="shared" si="20"/>
        <v>WRS Tree Services Ltd</v>
      </c>
    </row>
    <row r="1335" spans="2:9" ht="15.75" customHeight="1" x14ac:dyDescent="0.2">
      <c r="D1335" s="1" t="s">
        <v>336</v>
      </c>
      <c r="E1335" s="1">
        <v>1</v>
      </c>
      <c r="F1335" s="1">
        <v>6</v>
      </c>
      <c r="G1335" s="1">
        <v>6</v>
      </c>
      <c r="I1335" s="58" t="str">
        <f t="shared" si="20"/>
        <v>WRS Tree Services Ltd</v>
      </c>
    </row>
    <row r="1336" spans="2:9" ht="15.75" customHeight="1" x14ac:dyDescent="0.2">
      <c r="D1336" s="1" t="s">
        <v>337</v>
      </c>
      <c r="E1336" s="1">
        <v>1</v>
      </c>
      <c r="F1336" s="1">
        <v>4</v>
      </c>
      <c r="G1336" s="1">
        <v>4</v>
      </c>
      <c r="I1336" s="58" t="str">
        <f t="shared" si="20"/>
        <v>WRS Tree Services Ltd</v>
      </c>
    </row>
    <row r="1337" spans="2:9" ht="15.75" customHeight="1" x14ac:dyDescent="0.2">
      <c r="B1337" s="1" t="s">
        <v>164</v>
      </c>
      <c r="C1337" s="1" t="s">
        <v>334</v>
      </c>
      <c r="E1337" s="1">
        <v>0.95</v>
      </c>
      <c r="F1337" s="1">
        <v>53</v>
      </c>
      <c r="G1337" s="1">
        <v>50</v>
      </c>
      <c r="H1337" s="57">
        <v>45890</v>
      </c>
      <c r="I1337" s="58" t="str">
        <f t="shared" si="20"/>
        <v>Greenland Services Ltd</v>
      </c>
    </row>
    <row r="1338" spans="2:9" ht="15.75" customHeight="1" x14ac:dyDescent="0.2">
      <c r="C1338" s="1" t="s">
        <v>657</v>
      </c>
      <c r="D1338" s="1" t="s">
        <v>334</v>
      </c>
      <c r="E1338" s="1">
        <v>0.5</v>
      </c>
      <c r="F1338" s="1">
        <v>4</v>
      </c>
      <c r="G1338" s="1">
        <v>2</v>
      </c>
      <c r="I1338" s="58" t="str">
        <f t="shared" si="20"/>
        <v>Greenland Services Ltd</v>
      </c>
    </row>
    <row r="1339" spans="2:9" ht="15.75" customHeight="1" x14ac:dyDescent="0.2">
      <c r="D1339" s="1" t="s">
        <v>343</v>
      </c>
      <c r="E1339" s="1">
        <v>0.5</v>
      </c>
      <c r="F1339" s="1">
        <v>4</v>
      </c>
      <c r="G1339" s="1">
        <v>2</v>
      </c>
      <c r="I1339" s="58" t="str">
        <f t="shared" si="20"/>
        <v>Greenland Services Ltd</v>
      </c>
    </row>
    <row r="1340" spans="2:9" ht="15.75" customHeight="1" x14ac:dyDescent="0.2">
      <c r="C1340" s="1" t="s">
        <v>658</v>
      </c>
      <c r="D1340" s="1" t="s">
        <v>334</v>
      </c>
      <c r="E1340" s="1">
        <v>0.95</v>
      </c>
      <c r="F1340" s="1">
        <v>17</v>
      </c>
      <c r="G1340" s="1">
        <v>16</v>
      </c>
      <c r="I1340" s="58" t="str">
        <f t="shared" si="20"/>
        <v>Greenland Services Ltd</v>
      </c>
    </row>
    <row r="1341" spans="2:9" ht="15.75" customHeight="1" x14ac:dyDescent="0.2">
      <c r="D1341" s="1" t="s">
        <v>340</v>
      </c>
      <c r="E1341" s="1">
        <v>0.86</v>
      </c>
      <c r="F1341" s="1">
        <v>7</v>
      </c>
      <c r="G1341" s="1">
        <v>6</v>
      </c>
      <c r="I1341" s="58" t="str">
        <f t="shared" si="20"/>
        <v>Greenland Services Ltd</v>
      </c>
    </row>
    <row r="1342" spans="2:9" ht="15.75" customHeight="1" x14ac:dyDescent="0.2">
      <c r="D1342" s="1" t="s">
        <v>336</v>
      </c>
      <c r="E1342" s="1">
        <v>1</v>
      </c>
      <c r="F1342" s="1">
        <v>6</v>
      </c>
      <c r="G1342" s="1">
        <v>6</v>
      </c>
      <c r="I1342" s="58" t="str">
        <f t="shared" si="20"/>
        <v>Greenland Services Ltd</v>
      </c>
    </row>
    <row r="1343" spans="2:9" ht="15.75" customHeight="1" x14ac:dyDescent="0.2">
      <c r="D1343" s="1" t="s">
        <v>337</v>
      </c>
      <c r="E1343" s="1">
        <v>1</v>
      </c>
      <c r="F1343" s="1">
        <v>4</v>
      </c>
      <c r="G1343" s="1">
        <v>4</v>
      </c>
      <c r="I1343" s="58" t="str">
        <f t="shared" si="20"/>
        <v>Greenland Services Ltd</v>
      </c>
    </row>
    <row r="1344" spans="2:9" ht="15.75" customHeight="1" x14ac:dyDescent="0.2">
      <c r="C1344" s="1" t="s">
        <v>659</v>
      </c>
      <c r="D1344" s="1" t="s">
        <v>334</v>
      </c>
      <c r="E1344" s="1">
        <v>1</v>
      </c>
      <c r="F1344" s="1">
        <v>15</v>
      </c>
      <c r="G1344" s="1">
        <v>15</v>
      </c>
      <c r="I1344" s="58" t="str">
        <f t="shared" si="20"/>
        <v>Greenland Services Ltd</v>
      </c>
    </row>
    <row r="1345" spans="2:9" ht="15.75" customHeight="1" x14ac:dyDescent="0.2">
      <c r="D1345" s="1" t="s">
        <v>336</v>
      </c>
      <c r="E1345" s="1">
        <v>1</v>
      </c>
      <c r="F1345" s="1">
        <v>6</v>
      </c>
      <c r="G1345" s="1">
        <v>6</v>
      </c>
      <c r="I1345" s="58" t="str">
        <f t="shared" si="20"/>
        <v>Greenland Services Ltd</v>
      </c>
    </row>
    <row r="1346" spans="2:9" ht="15.75" customHeight="1" x14ac:dyDescent="0.2">
      <c r="D1346" s="1" t="s">
        <v>337</v>
      </c>
      <c r="E1346" s="1">
        <v>1</v>
      </c>
      <c r="F1346" s="1">
        <v>4</v>
      </c>
      <c r="G1346" s="1">
        <v>4</v>
      </c>
      <c r="I1346" s="58" t="str">
        <f t="shared" si="20"/>
        <v>Greenland Services Ltd</v>
      </c>
    </row>
    <row r="1347" spans="2:9" ht="15.75" customHeight="1" x14ac:dyDescent="0.2">
      <c r="D1347" s="1" t="s">
        <v>338</v>
      </c>
      <c r="E1347" s="1">
        <v>1</v>
      </c>
      <c r="F1347" s="1">
        <v>5</v>
      </c>
      <c r="G1347" s="1">
        <v>5</v>
      </c>
      <c r="I1347" s="58" t="str">
        <f t="shared" si="20"/>
        <v>Greenland Services Ltd</v>
      </c>
    </row>
    <row r="1348" spans="2:9" ht="15.75" customHeight="1" x14ac:dyDescent="0.2">
      <c r="C1348" s="1" t="s">
        <v>660</v>
      </c>
      <c r="D1348" s="1" t="s">
        <v>334</v>
      </c>
      <c r="E1348" s="1">
        <v>1</v>
      </c>
      <c r="F1348" s="1">
        <v>17</v>
      </c>
      <c r="G1348" s="1">
        <v>17</v>
      </c>
      <c r="I1348" s="58" t="str">
        <f t="shared" si="20"/>
        <v>Greenland Services Ltd</v>
      </c>
    </row>
    <row r="1349" spans="2:9" ht="15.75" customHeight="1" x14ac:dyDescent="0.2">
      <c r="D1349" s="1" t="s">
        <v>340</v>
      </c>
      <c r="E1349" s="1">
        <v>1</v>
      </c>
      <c r="F1349" s="1">
        <v>7</v>
      </c>
      <c r="G1349" s="1">
        <v>7</v>
      </c>
      <c r="I1349" s="58" t="str">
        <f t="shared" si="20"/>
        <v>Greenland Services Ltd</v>
      </c>
    </row>
    <row r="1350" spans="2:9" ht="15.75" customHeight="1" x14ac:dyDescent="0.2">
      <c r="D1350" s="1" t="s">
        <v>336</v>
      </c>
      <c r="E1350" s="1">
        <v>1</v>
      </c>
      <c r="F1350" s="1">
        <v>6</v>
      </c>
      <c r="G1350" s="1">
        <v>6</v>
      </c>
      <c r="I1350" s="58" t="str">
        <f t="shared" ref="I1350:I1413" si="21">IF(B1350&lt;&gt;"",B1350,I1349)</f>
        <v>Greenland Services Ltd</v>
      </c>
    </row>
    <row r="1351" spans="2:9" ht="15.75" customHeight="1" x14ac:dyDescent="0.2">
      <c r="D1351" s="1" t="s">
        <v>337</v>
      </c>
      <c r="E1351" s="1">
        <v>1</v>
      </c>
      <c r="F1351" s="1">
        <v>4</v>
      </c>
      <c r="G1351" s="1">
        <v>4</v>
      </c>
      <c r="I1351" s="58" t="str">
        <f t="shared" si="21"/>
        <v>Greenland Services Ltd</v>
      </c>
    </row>
    <row r="1352" spans="2:9" ht="15.75" customHeight="1" x14ac:dyDescent="0.2">
      <c r="B1352" s="1" t="s">
        <v>178</v>
      </c>
      <c r="C1352" s="1" t="s">
        <v>334</v>
      </c>
      <c r="E1352" s="1">
        <v>0.95</v>
      </c>
      <c r="F1352" s="1">
        <v>38</v>
      </c>
      <c r="G1352" s="1">
        <v>36</v>
      </c>
      <c r="H1352" s="57">
        <v>41836</v>
      </c>
      <c r="I1352" s="58" t="str">
        <f t="shared" si="21"/>
        <v>PB Tree Contractors</v>
      </c>
    </row>
    <row r="1353" spans="2:9" ht="15.75" customHeight="1" x14ac:dyDescent="0.2">
      <c r="C1353" s="1" t="s">
        <v>661</v>
      </c>
      <c r="D1353" s="1" t="s">
        <v>334</v>
      </c>
      <c r="E1353" s="1">
        <v>0.95</v>
      </c>
      <c r="F1353" s="1">
        <v>17</v>
      </c>
      <c r="G1353" s="1">
        <v>16</v>
      </c>
      <c r="I1353" s="58" t="str">
        <f t="shared" si="21"/>
        <v>PB Tree Contractors</v>
      </c>
    </row>
    <row r="1354" spans="2:9" ht="15.75" customHeight="1" x14ac:dyDescent="0.2">
      <c r="D1354" s="1" t="s">
        <v>340</v>
      </c>
      <c r="E1354" s="1">
        <v>0.86</v>
      </c>
      <c r="F1354" s="1">
        <v>7</v>
      </c>
      <c r="G1354" s="1">
        <v>6</v>
      </c>
      <c r="I1354" s="58" t="str">
        <f t="shared" si="21"/>
        <v>PB Tree Contractors</v>
      </c>
    </row>
    <row r="1355" spans="2:9" ht="15.75" customHeight="1" x14ac:dyDescent="0.2">
      <c r="D1355" s="1" t="s">
        <v>336</v>
      </c>
      <c r="E1355" s="1">
        <v>1</v>
      </c>
      <c r="F1355" s="1">
        <v>6</v>
      </c>
      <c r="G1355" s="1">
        <v>6</v>
      </c>
      <c r="I1355" s="58" t="str">
        <f t="shared" si="21"/>
        <v>PB Tree Contractors</v>
      </c>
    </row>
    <row r="1356" spans="2:9" ht="15.75" customHeight="1" x14ac:dyDescent="0.2">
      <c r="D1356" s="1" t="s">
        <v>337</v>
      </c>
      <c r="E1356" s="1">
        <v>1</v>
      </c>
      <c r="F1356" s="1">
        <v>4</v>
      </c>
      <c r="G1356" s="1">
        <v>4</v>
      </c>
      <c r="I1356" s="58" t="str">
        <f t="shared" si="21"/>
        <v>PB Tree Contractors</v>
      </c>
    </row>
    <row r="1357" spans="2:9" ht="15.75" customHeight="1" x14ac:dyDescent="0.2">
      <c r="C1357" s="1" t="s">
        <v>617</v>
      </c>
      <c r="D1357" s="1" t="s">
        <v>334</v>
      </c>
      <c r="E1357" s="1">
        <v>0.95</v>
      </c>
      <c r="F1357" s="1">
        <v>17</v>
      </c>
      <c r="G1357" s="1">
        <v>16</v>
      </c>
      <c r="I1357" s="58" t="str">
        <f t="shared" si="21"/>
        <v>PB Tree Contractors</v>
      </c>
    </row>
    <row r="1358" spans="2:9" ht="15.75" customHeight="1" x14ac:dyDescent="0.2">
      <c r="D1358" s="1" t="s">
        <v>340</v>
      </c>
      <c r="E1358" s="1">
        <v>0.86</v>
      </c>
      <c r="F1358" s="1">
        <v>7</v>
      </c>
      <c r="G1358" s="1">
        <v>6</v>
      </c>
      <c r="I1358" s="58" t="str">
        <f t="shared" si="21"/>
        <v>PB Tree Contractors</v>
      </c>
    </row>
    <row r="1359" spans="2:9" ht="15.75" customHeight="1" x14ac:dyDescent="0.2">
      <c r="D1359" s="1" t="s">
        <v>336</v>
      </c>
      <c r="E1359" s="1">
        <v>1</v>
      </c>
      <c r="F1359" s="1">
        <v>6</v>
      </c>
      <c r="G1359" s="1">
        <v>6</v>
      </c>
      <c r="I1359" s="58" t="str">
        <f t="shared" si="21"/>
        <v>PB Tree Contractors</v>
      </c>
    </row>
    <row r="1360" spans="2:9" ht="15.75" customHeight="1" x14ac:dyDescent="0.2">
      <c r="D1360" s="1" t="s">
        <v>337</v>
      </c>
      <c r="E1360" s="1">
        <v>1</v>
      </c>
      <c r="F1360" s="1">
        <v>4</v>
      </c>
      <c r="G1360" s="1">
        <v>4</v>
      </c>
      <c r="I1360" s="58" t="str">
        <f t="shared" si="21"/>
        <v>PB Tree Contractors</v>
      </c>
    </row>
    <row r="1361" spans="2:9" ht="15.75" customHeight="1" x14ac:dyDescent="0.2">
      <c r="C1361" s="1" t="s">
        <v>178</v>
      </c>
      <c r="D1361" s="1" t="s">
        <v>334</v>
      </c>
      <c r="E1361" s="1">
        <v>1</v>
      </c>
      <c r="F1361" s="1">
        <v>4</v>
      </c>
      <c r="G1361" s="1">
        <v>4</v>
      </c>
      <c r="I1361" s="58" t="str">
        <f t="shared" si="21"/>
        <v>PB Tree Contractors</v>
      </c>
    </row>
    <row r="1362" spans="2:9" ht="15.75" customHeight="1" x14ac:dyDescent="0.2">
      <c r="D1362" s="1" t="s">
        <v>343</v>
      </c>
      <c r="E1362" s="1">
        <v>1</v>
      </c>
      <c r="F1362" s="1">
        <v>4</v>
      </c>
      <c r="G1362" s="1">
        <v>4</v>
      </c>
      <c r="I1362" s="58" t="str">
        <f t="shared" si="21"/>
        <v>PB Tree Contractors</v>
      </c>
    </row>
    <row r="1363" spans="2:9" ht="15.75" customHeight="1" x14ac:dyDescent="0.2">
      <c r="B1363" s="1" t="s">
        <v>211</v>
      </c>
      <c r="C1363" s="1" t="s">
        <v>334</v>
      </c>
      <c r="E1363" s="1">
        <v>0.95</v>
      </c>
      <c r="F1363" s="1">
        <v>38</v>
      </c>
      <c r="G1363" s="1">
        <v>36</v>
      </c>
      <c r="H1363" s="57">
        <v>46064</v>
      </c>
      <c r="I1363" s="58" t="str">
        <f t="shared" si="21"/>
        <v>Ropes and Slopes Limited</v>
      </c>
    </row>
    <row r="1364" spans="2:9" ht="15.75" customHeight="1" x14ac:dyDescent="0.2">
      <c r="C1364" s="1" t="s">
        <v>662</v>
      </c>
      <c r="D1364" s="1" t="s">
        <v>334</v>
      </c>
      <c r="E1364" s="1">
        <v>0.5</v>
      </c>
      <c r="F1364" s="1">
        <v>4</v>
      </c>
      <c r="G1364" s="1">
        <v>2</v>
      </c>
      <c r="I1364" s="58" t="str">
        <f t="shared" si="21"/>
        <v>Ropes and Slopes Limited</v>
      </c>
    </row>
    <row r="1365" spans="2:9" ht="15.75" customHeight="1" x14ac:dyDescent="0.2">
      <c r="D1365" s="1" t="s">
        <v>343</v>
      </c>
      <c r="E1365" s="1">
        <v>0.5</v>
      </c>
      <c r="F1365" s="1">
        <v>4</v>
      </c>
      <c r="G1365" s="1">
        <v>2</v>
      </c>
      <c r="I1365" s="58" t="str">
        <f t="shared" si="21"/>
        <v>Ropes and Slopes Limited</v>
      </c>
    </row>
    <row r="1366" spans="2:9" ht="15.75" customHeight="1" x14ac:dyDescent="0.2">
      <c r="C1366" s="1" t="s">
        <v>663</v>
      </c>
      <c r="D1366" s="1" t="s">
        <v>334</v>
      </c>
      <c r="E1366" s="1">
        <v>1</v>
      </c>
      <c r="F1366" s="1">
        <v>17</v>
      </c>
      <c r="G1366" s="1">
        <v>17</v>
      </c>
      <c r="I1366" s="58" t="str">
        <f t="shared" si="21"/>
        <v>Ropes and Slopes Limited</v>
      </c>
    </row>
    <row r="1367" spans="2:9" ht="15.75" customHeight="1" x14ac:dyDescent="0.2">
      <c r="D1367" s="1" t="s">
        <v>340</v>
      </c>
      <c r="E1367" s="1">
        <v>1</v>
      </c>
      <c r="F1367" s="1">
        <v>7</v>
      </c>
      <c r="G1367" s="1">
        <v>7</v>
      </c>
      <c r="I1367" s="58" t="str">
        <f t="shared" si="21"/>
        <v>Ropes and Slopes Limited</v>
      </c>
    </row>
    <row r="1368" spans="2:9" ht="15.75" customHeight="1" x14ac:dyDescent="0.2">
      <c r="D1368" s="1" t="s">
        <v>336</v>
      </c>
      <c r="E1368" s="1">
        <v>1</v>
      </c>
      <c r="F1368" s="1">
        <v>6</v>
      </c>
      <c r="G1368" s="1">
        <v>6</v>
      </c>
      <c r="I1368" s="58" t="str">
        <f t="shared" si="21"/>
        <v>Ropes and Slopes Limited</v>
      </c>
    </row>
    <row r="1369" spans="2:9" ht="15.75" customHeight="1" x14ac:dyDescent="0.2">
      <c r="D1369" s="1" t="s">
        <v>337</v>
      </c>
      <c r="E1369" s="1">
        <v>1</v>
      </c>
      <c r="F1369" s="1">
        <v>4</v>
      </c>
      <c r="G1369" s="1">
        <v>4</v>
      </c>
      <c r="I1369" s="58" t="str">
        <f t="shared" si="21"/>
        <v>Ropes and Slopes Limited</v>
      </c>
    </row>
    <row r="1370" spans="2:9" ht="15.75" customHeight="1" x14ac:dyDescent="0.2">
      <c r="C1370" s="1" t="s">
        <v>664</v>
      </c>
      <c r="D1370" s="1" t="s">
        <v>334</v>
      </c>
      <c r="E1370" s="1">
        <v>1</v>
      </c>
      <c r="F1370" s="1">
        <v>17</v>
      </c>
      <c r="G1370" s="1">
        <v>17</v>
      </c>
      <c r="I1370" s="58" t="str">
        <f t="shared" si="21"/>
        <v>Ropes and Slopes Limited</v>
      </c>
    </row>
    <row r="1371" spans="2:9" ht="15.75" customHeight="1" x14ac:dyDescent="0.2">
      <c r="D1371" s="1" t="s">
        <v>340</v>
      </c>
      <c r="E1371" s="1">
        <v>1</v>
      </c>
      <c r="F1371" s="1">
        <v>7</v>
      </c>
      <c r="G1371" s="1">
        <v>7</v>
      </c>
      <c r="I1371" s="58" t="str">
        <f t="shared" si="21"/>
        <v>Ropes and Slopes Limited</v>
      </c>
    </row>
    <row r="1372" spans="2:9" ht="15.75" customHeight="1" x14ac:dyDescent="0.2">
      <c r="D1372" s="1" t="s">
        <v>336</v>
      </c>
      <c r="E1372" s="1">
        <v>1</v>
      </c>
      <c r="F1372" s="1">
        <v>6</v>
      </c>
      <c r="G1372" s="1">
        <v>6</v>
      </c>
      <c r="I1372" s="58" t="str">
        <f t="shared" si="21"/>
        <v>Ropes and Slopes Limited</v>
      </c>
    </row>
    <row r="1373" spans="2:9" ht="15.75" customHeight="1" x14ac:dyDescent="0.2">
      <c r="D1373" s="1" t="s">
        <v>337</v>
      </c>
      <c r="E1373" s="1">
        <v>1</v>
      </c>
      <c r="F1373" s="1">
        <v>4</v>
      </c>
      <c r="G1373" s="1">
        <v>4</v>
      </c>
      <c r="I1373" s="58" t="str">
        <f t="shared" si="21"/>
        <v>Ropes and Slopes Limited</v>
      </c>
    </row>
    <row r="1374" spans="2:9" ht="15.75" customHeight="1" x14ac:dyDescent="0.2">
      <c r="B1374" s="1" t="s">
        <v>124</v>
      </c>
      <c r="C1374" s="1" t="s">
        <v>334</v>
      </c>
      <c r="E1374" s="1">
        <v>0.96</v>
      </c>
      <c r="F1374" s="1">
        <v>175</v>
      </c>
      <c r="G1374" s="1">
        <v>168</v>
      </c>
      <c r="H1374" s="57">
        <v>44601</v>
      </c>
      <c r="I1374" s="58" t="str">
        <f t="shared" si="21"/>
        <v>RFP Tree and Landscape Services Ltd</v>
      </c>
    </row>
    <row r="1375" spans="2:9" ht="15.75" customHeight="1" x14ac:dyDescent="0.2">
      <c r="C1375" s="1" t="s">
        <v>665</v>
      </c>
      <c r="D1375" s="1" t="s">
        <v>334</v>
      </c>
      <c r="E1375" s="1">
        <v>0.77</v>
      </c>
      <c r="F1375" s="1">
        <v>17</v>
      </c>
      <c r="G1375" s="1">
        <v>13</v>
      </c>
      <c r="I1375" s="58" t="str">
        <f t="shared" si="21"/>
        <v>RFP Tree and Landscape Services Ltd</v>
      </c>
    </row>
    <row r="1376" spans="2:9" ht="15.75" customHeight="1" x14ac:dyDescent="0.2">
      <c r="D1376" s="1" t="s">
        <v>337</v>
      </c>
      <c r="E1376" s="1">
        <v>0.25</v>
      </c>
      <c r="F1376" s="1">
        <v>4</v>
      </c>
      <c r="G1376" s="1">
        <v>1</v>
      </c>
      <c r="I1376" s="58" t="str">
        <f t="shared" si="21"/>
        <v>RFP Tree and Landscape Services Ltd</v>
      </c>
    </row>
    <row r="1377" spans="3:9" ht="15.75" customHeight="1" x14ac:dyDescent="0.2">
      <c r="D1377" s="1" t="s">
        <v>340</v>
      </c>
      <c r="E1377" s="1">
        <v>0.86</v>
      </c>
      <c r="F1377" s="1">
        <v>7</v>
      </c>
      <c r="G1377" s="1">
        <v>6</v>
      </c>
      <c r="I1377" s="58" t="str">
        <f t="shared" si="21"/>
        <v>RFP Tree and Landscape Services Ltd</v>
      </c>
    </row>
    <row r="1378" spans="3:9" ht="15.75" customHeight="1" x14ac:dyDescent="0.2">
      <c r="D1378" s="1" t="s">
        <v>336</v>
      </c>
      <c r="E1378" s="1">
        <v>1</v>
      </c>
      <c r="F1378" s="1">
        <v>6</v>
      </c>
      <c r="G1378" s="1">
        <v>6</v>
      </c>
      <c r="I1378" s="58" t="str">
        <f t="shared" si="21"/>
        <v>RFP Tree and Landscape Services Ltd</v>
      </c>
    </row>
    <row r="1379" spans="3:9" ht="15.75" customHeight="1" x14ac:dyDescent="0.2">
      <c r="C1379" s="1" t="s">
        <v>666</v>
      </c>
      <c r="D1379" s="1" t="s">
        <v>334</v>
      </c>
      <c r="E1379" s="1">
        <v>0.89</v>
      </c>
      <c r="F1379" s="1">
        <v>17</v>
      </c>
      <c r="G1379" s="1">
        <v>15</v>
      </c>
      <c r="I1379" s="58" t="str">
        <f t="shared" si="21"/>
        <v>RFP Tree and Landscape Services Ltd</v>
      </c>
    </row>
    <row r="1380" spans="3:9" ht="15.75" customHeight="1" x14ac:dyDescent="0.2">
      <c r="D1380" s="1" t="s">
        <v>340</v>
      </c>
      <c r="E1380" s="1">
        <v>0.72</v>
      </c>
      <c r="F1380" s="1">
        <v>7</v>
      </c>
      <c r="G1380" s="1">
        <v>5</v>
      </c>
      <c r="I1380" s="58" t="str">
        <f t="shared" si="21"/>
        <v>RFP Tree and Landscape Services Ltd</v>
      </c>
    </row>
    <row r="1381" spans="3:9" ht="15.75" customHeight="1" x14ac:dyDescent="0.2">
      <c r="D1381" s="1" t="s">
        <v>336</v>
      </c>
      <c r="E1381" s="1">
        <v>1</v>
      </c>
      <c r="F1381" s="1">
        <v>6</v>
      </c>
      <c r="G1381" s="1">
        <v>6</v>
      </c>
      <c r="I1381" s="58" t="str">
        <f t="shared" si="21"/>
        <v>RFP Tree and Landscape Services Ltd</v>
      </c>
    </row>
    <row r="1382" spans="3:9" ht="15.75" customHeight="1" x14ac:dyDescent="0.2">
      <c r="D1382" s="1" t="s">
        <v>337</v>
      </c>
      <c r="E1382" s="1">
        <v>1</v>
      </c>
      <c r="F1382" s="1">
        <v>4</v>
      </c>
      <c r="G1382" s="1">
        <v>4</v>
      </c>
      <c r="I1382" s="58" t="str">
        <f t="shared" si="21"/>
        <v>RFP Tree and Landscape Services Ltd</v>
      </c>
    </row>
    <row r="1383" spans="3:9" ht="15.75" customHeight="1" x14ac:dyDescent="0.2">
      <c r="C1383" s="1" t="s">
        <v>667</v>
      </c>
      <c r="D1383" s="1" t="s">
        <v>334</v>
      </c>
      <c r="E1383" s="1">
        <v>0.95</v>
      </c>
      <c r="F1383" s="1">
        <v>17</v>
      </c>
      <c r="G1383" s="1">
        <v>16</v>
      </c>
      <c r="I1383" s="58" t="str">
        <f t="shared" si="21"/>
        <v>RFP Tree and Landscape Services Ltd</v>
      </c>
    </row>
    <row r="1384" spans="3:9" ht="15.75" customHeight="1" x14ac:dyDescent="0.2">
      <c r="D1384" s="1" t="s">
        <v>340</v>
      </c>
      <c r="E1384" s="1">
        <v>0.86</v>
      </c>
      <c r="F1384" s="1">
        <v>7</v>
      </c>
      <c r="G1384" s="1">
        <v>6</v>
      </c>
      <c r="I1384" s="58" t="str">
        <f t="shared" si="21"/>
        <v>RFP Tree and Landscape Services Ltd</v>
      </c>
    </row>
    <row r="1385" spans="3:9" ht="15.75" customHeight="1" x14ac:dyDescent="0.2">
      <c r="D1385" s="1" t="s">
        <v>336</v>
      </c>
      <c r="E1385" s="1">
        <v>1</v>
      </c>
      <c r="F1385" s="1">
        <v>6</v>
      </c>
      <c r="G1385" s="1">
        <v>6</v>
      </c>
      <c r="I1385" s="58" t="str">
        <f t="shared" si="21"/>
        <v>RFP Tree and Landscape Services Ltd</v>
      </c>
    </row>
    <row r="1386" spans="3:9" ht="15.75" customHeight="1" x14ac:dyDescent="0.2">
      <c r="D1386" s="1" t="s">
        <v>337</v>
      </c>
      <c r="E1386" s="1">
        <v>1</v>
      </c>
      <c r="F1386" s="1">
        <v>4</v>
      </c>
      <c r="G1386" s="1">
        <v>4</v>
      </c>
      <c r="I1386" s="58" t="str">
        <f t="shared" si="21"/>
        <v>RFP Tree and Landscape Services Ltd</v>
      </c>
    </row>
    <row r="1387" spans="3:9" ht="15.75" customHeight="1" x14ac:dyDescent="0.2">
      <c r="C1387" s="1" t="s">
        <v>668</v>
      </c>
      <c r="D1387" s="1" t="s">
        <v>334</v>
      </c>
      <c r="E1387" s="1">
        <v>1</v>
      </c>
      <c r="F1387" s="1">
        <v>17</v>
      </c>
      <c r="G1387" s="1">
        <v>17</v>
      </c>
      <c r="I1387" s="58" t="str">
        <f t="shared" si="21"/>
        <v>RFP Tree and Landscape Services Ltd</v>
      </c>
    </row>
    <row r="1388" spans="3:9" ht="15.75" customHeight="1" x14ac:dyDescent="0.2">
      <c r="D1388" s="1" t="s">
        <v>340</v>
      </c>
      <c r="E1388" s="1">
        <v>1</v>
      </c>
      <c r="F1388" s="1">
        <v>7</v>
      </c>
      <c r="G1388" s="1">
        <v>7</v>
      </c>
      <c r="I1388" s="58" t="str">
        <f t="shared" si="21"/>
        <v>RFP Tree and Landscape Services Ltd</v>
      </c>
    </row>
    <row r="1389" spans="3:9" ht="15.75" customHeight="1" x14ac:dyDescent="0.2">
      <c r="D1389" s="1" t="s">
        <v>336</v>
      </c>
      <c r="E1389" s="1">
        <v>1</v>
      </c>
      <c r="F1389" s="1">
        <v>6</v>
      </c>
      <c r="G1389" s="1">
        <v>6</v>
      </c>
      <c r="I1389" s="58" t="str">
        <f t="shared" si="21"/>
        <v>RFP Tree and Landscape Services Ltd</v>
      </c>
    </row>
    <row r="1390" spans="3:9" ht="15.75" customHeight="1" x14ac:dyDescent="0.2">
      <c r="D1390" s="1" t="s">
        <v>337</v>
      </c>
      <c r="E1390" s="1">
        <v>1</v>
      </c>
      <c r="F1390" s="1">
        <v>4</v>
      </c>
      <c r="G1390" s="1">
        <v>4</v>
      </c>
      <c r="I1390" s="58" t="str">
        <f t="shared" si="21"/>
        <v>RFP Tree and Landscape Services Ltd</v>
      </c>
    </row>
    <row r="1391" spans="3:9" ht="15.75" customHeight="1" x14ac:dyDescent="0.2">
      <c r="C1391" s="1" t="s">
        <v>669</v>
      </c>
      <c r="D1391" s="1" t="s">
        <v>334</v>
      </c>
      <c r="E1391" s="1">
        <v>1</v>
      </c>
      <c r="F1391" s="1">
        <v>17</v>
      </c>
      <c r="G1391" s="1">
        <v>17</v>
      </c>
      <c r="I1391" s="58" t="str">
        <f t="shared" si="21"/>
        <v>RFP Tree and Landscape Services Ltd</v>
      </c>
    </row>
    <row r="1392" spans="3:9" ht="15.75" customHeight="1" x14ac:dyDescent="0.2">
      <c r="D1392" s="1" t="s">
        <v>340</v>
      </c>
      <c r="E1392" s="1">
        <v>1</v>
      </c>
      <c r="F1392" s="1">
        <v>7</v>
      </c>
      <c r="G1392" s="1">
        <v>7</v>
      </c>
      <c r="I1392" s="58" t="str">
        <f t="shared" si="21"/>
        <v>RFP Tree and Landscape Services Ltd</v>
      </c>
    </row>
    <row r="1393" spans="3:9" ht="15.75" customHeight="1" x14ac:dyDescent="0.2">
      <c r="D1393" s="1" t="s">
        <v>336</v>
      </c>
      <c r="E1393" s="1">
        <v>1</v>
      </c>
      <c r="F1393" s="1">
        <v>6</v>
      </c>
      <c r="G1393" s="1">
        <v>6</v>
      </c>
      <c r="I1393" s="58" t="str">
        <f t="shared" si="21"/>
        <v>RFP Tree and Landscape Services Ltd</v>
      </c>
    </row>
    <row r="1394" spans="3:9" ht="15.75" customHeight="1" x14ac:dyDescent="0.2">
      <c r="D1394" s="1" t="s">
        <v>337</v>
      </c>
      <c r="E1394" s="1">
        <v>1</v>
      </c>
      <c r="F1394" s="1">
        <v>4</v>
      </c>
      <c r="G1394" s="1">
        <v>4</v>
      </c>
      <c r="I1394" s="58" t="str">
        <f t="shared" si="21"/>
        <v>RFP Tree and Landscape Services Ltd</v>
      </c>
    </row>
    <row r="1395" spans="3:9" ht="15.75" customHeight="1" x14ac:dyDescent="0.2">
      <c r="C1395" s="1" t="s">
        <v>670</v>
      </c>
      <c r="D1395" s="1" t="s">
        <v>334</v>
      </c>
      <c r="E1395" s="1">
        <v>1</v>
      </c>
      <c r="F1395" s="1">
        <v>17</v>
      </c>
      <c r="G1395" s="1">
        <v>17</v>
      </c>
      <c r="I1395" s="58" t="str">
        <f t="shared" si="21"/>
        <v>RFP Tree and Landscape Services Ltd</v>
      </c>
    </row>
    <row r="1396" spans="3:9" ht="15.75" customHeight="1" x14ac:dyDescent="0.2">
      <c r="D1396" s="1" t="s">
        <v>340</v>
      </c>
      <c r="E1396" s="1">
        <v>1</v>
      </c>
      <c r="F1396" s="1">
        <v>7</v>
      </c>
      <c r="G1396" s="1">
        <v>7</v>
      </c>
      <c r="I1396" s="58" t="str">
        <f t="shared" si="21"/>
        <v>RFP Tree and Landscape Services Ltd</v>
      </c>
    </row>
    <row r="1397" spans="3:9" ht="15.75" customHeight="1" x14ac:dyDescent="0.2">
      <c r="D1397" s="1" t="s">
        <v>336</v>
      </c>
      <c r="E1397" s="1">
        <v>1</v>
      </c>
      <c r="F1397" s="1">
        <v>6</v>
      </c>
      <c r="G1397" s="1">
        <v>6</v>
      </c>
      <c r="I1397" s="58" t="str">
        <f t="shared" si="21"/>
        <v>RFP Tree and Landscape Services Ltd</v>
      </c>
    </row>
    <row r="1398" spans="3:9" ht="15.75" customHeight="1" x14ac:dyDescent="0.2">
      <c r="D1398" s="1" t="s">
        <v>337</v>
      </c>
      <c r="E1398" s="1">
        <v>1</v>
      </c>
      <c r="F1398" s="1">
        <v>4</v>
      </c>
      <c r="G1398" s="1">
        <v>4</v>
      </c>
      <c r="I1398" s="58" t="str">
        <f t="shared" si="21"/>
        <v>RFP Tree and Landscape Services Ltd</v>
      </c>
    </row>
    <row r="1399" spans="3:9" ht="15.75" customHeight="1" x14ac:dyDescent="0.2">
      <c r="C1399" s="1" t="s">
        <v>671</v>
      </c>
      <c r="D1399" s="1" t="s">
        <v>334</v>
      </c>
      <c r="E1399" s="1">
        <v>1</v>
      </c>
      <c r="F1399" s="1">
        <v>17</v>
      </c>
      <c r="G1399" s="1">
        <v>17</v>
      </c>
      <c r="I1399" s="58" t="str">
        <f t="shared" si="21"/>
        <v>RFP Tree and Landscape Services Ltd</v>
      </c>
    </row>
    <row r="1400" spans="3:9" ht="15.75" customHeight="1" x14ac:dyDescent="0.2">
      <c r="D1400" s="1" t="s">
        <v>340</v>
      </c>
      <c r="E1400" s="1">
        <v>1</v>
      </c>
      <c r="F1400" s="1">
        <v>7</v>
      </c>
      <c r="G1400" s="1">
        <v>7</v>
      </c>
      <c r="I1400" s="58" t="str">
        <f t="shared" si="21"/>
        <v>RFP Tree and Landscape Services Ltd</v>
      </c>
    </row>
    <row r="1401" spans="3:9" ht="15.75" customHeight="1" x14ac:dyDescent="0.2">
      <c r="D1401" s="1" t="s">
        <v>336</v>
      </c>
      <c r="E1401" s="1">
        <v>1</v>
      </c>
      <c r="F1401" s="1">
        <v>6</v>
      </c>
      <c r="G1401" s="1">
        <v>6</v>
      </c>
      <c r="I1401" s="58" t="str">
        <f t="shared" si="21"/>
        <v>RFP Tree and Landscape Services Ltd</v>
      </c>
    </row>
    <row r="1402" spans="3:9" ht="15.75" customHeight="1" x14ac:dyDescent="0.2">
      <c r="D1402" s="1" t="s">
        <v>337</v>
      </c>
      <c r="E1402" s="1">
        <v>1</v>
      </c>
      <c r="F1402" s="1">
        <v>4</v>
      </c>
      <c r="G1402" s="1">
        <v>4</v>
      </c>
      <c r="I1402" s="58" t="str">
        <f t="shared" si="21"/>
        <v>RFP Tree and Landscape Services Ltd</v>
      </c>
    </row>
    <row r="1403" spans="3:9" ht="15.75" customHeight="1" x14ac:dyDescent="0.2">
      <c r="C1403" s="1" t="s">
        <v>672</v>
      </c>
      <c r="D1403" s="1" t="s">
        <v>334</v>
      </c>
      <c r="E1403" s="1">
        <v>1</v>
      </c>
      <c r="F1403" s="1">
        <v>6</v>
      </c>
      <c r="G1403" s="1">
        <v>6</v>
      </c>
      <c r="I1403" s="58" t="str">
        <f t="shared" si="21"/>
        <v>RFP Tree and Landscape Services Ltd</v>
      </c>
    </row>
    <row r="1404" spans="3:9" ht="15.75" customHeight="1" x14ac:dyDescent="0.2">
      <c r="D1404" s="1" t="s">
        <v>336</v>
      </c>
      <c r="E1404" s="1">
        <v>1</v>
      </c>
      <c r="F1404" s="1">
        <v>6</v>
      </c>
      <c r="G1404" s="1">
        <v>6</v>
      </c>
      <c r="I1404" s="58" t="str">
        <f t="shared" si="21"/>
        <v>RFP Tree and Landscape Services Ltd</v>
      </c>
    </row>
    <row r="1405" spans="3:9" ht="15.75" customHeight="1" x14ac:dyDescent="0.2">
      <c r="C1405" s="1" t="s">
        <v>673</v>
      </c>
      <c r="D1405" s="1" t="s">
        <v>334</v>
      </c>
      <c r="E1405" s="1">
        <v>1</v>
      </c>
      <c r="F1405" s="1">
        <v>6</v>
      </c>
      <c r="G1405" s="1">
        <v>6</v>
      </c>
      <c r="I1405" s="58" t="str">
        <f t="shared" si="21"/>
        <v>RFP Tree and Landscape Services Ltd</v>
      </c>
    </row>
    <row r="1406" spans="3:9" ht="15.75" customHeight="1" x14ac:dyDescent="0.2">
      <c r="D1406" s="1" t="s">
        <v>336</v>
      </c>
      <c r="E1406" s="1">
        <v>1</v>
      </c>
      <c r="F1406" s="1">
        <v>6</v>
      </c>
      <c r="G1406" s="1">
        <v>6</v>
      </c>
      <c r="I1406" s="58" t="str">
        <f t="shared" si="21"/>
        <v>RFP Tree and Landscape Services Ltd</v>
      </c>
    </row>
    <row r="1407" spans="3:9" ht="15.75" customHeight="1" x14ac:dyDescent="0.2">
      <c r="C1407" s="1" t="s">
        <v>674</v>
      </c>
      <c r="D1407" s="1" t="s">
        <v>334</v>
      </c>
      <c r="E1407" s="1">
        <v>1</v>
      </c>
      <c r="F1407" s="1">
        <v>17</v>
      </c>
      <c r="G1407" s="1">
        <v>17</v>
      </c>
      <c r="I1407" s="58" t="str">
        <f t="shared" si="21"/>
        <v>RFP Tree and Landscape Services Ltd</v>
      </c>
    </row>
    <row r="1408" spans="3:9" ht="15.75" customHeight="1" x14ac:dyDescent="0.2">
      <c r="D1408" s="1" t="s">
        <v>340</v>
      </c>
      <c r="E1408" s="1">
        <v>1</v>
      </c>
      <c r="F1408" s="1">
        <v>7</v>
      </c>
      <c r="G1408" s="1">
        <v>7</v>
      </c>
      <c r="I1408" s="58" t="str">
        <f t="shared" si="21"/>
        <v>RFP Tree and Landscape Services Ltd</v>
      </c>
    </row>
    <row r="1409" spans="2:9" ht="15.75" customHeight="1" x14ac:dyDescent="0.2">
      <c r="D1409" s="1" t="s">
        <v>336</v>
      </c>
      <c r="E1409" s="1">
        <v>1</v>
      </c>
      <c r="F1409" s="1">
        <v>6</v>
      </c>
      <c r="G1409" s="1">
        <v>6</v>
      </c>
      <c r="I1409" s="58" t="str">
        <f t="shared" si="21"/>
        <v>RFP Tree and Landscape Services Ltd</v>
      </c>
    </row>
    <row r="1410" spans="2:9" ht="15.75" customHeight="1" x14ac:dyDescent="0.2">
      <c r="D1410" s="1" t="s">
        <v>337</v>
      </c>
      <c r="E1410" s="1">
        <v>1</v>
      </c>
      <c r="F1410" s="1">
        <v>4</v>
      </c>
      <c r="G1410" s="1">
        <v>4</v>
      </c>
      <c r="I1410" s="58" t="str">
        <f t="shared" si="21"/>
        <v>RFP Tree and Landscape Services Ltd</v>
      </c>
    </row>
    <row r="1411" spans="2:9" ht="15.75" customHeight="1" x14ac:dyDescent="0.2">
      <c r="C1411" s="1" t="s">
        <v>675</v>
      </c>
      <c r="D1411" s="1" t="s">
        <v>334</v>
      </c>
      <c r="E1411" s="1">
        <v>1</v>
      </c>
      <c r="F1411" s="1">
        <v>4</v>
      </c>
      <c r="G1411" s="1">
        <v>4</v>
      </c>
      <c r="I1411" s="58" t="str">
        <f t="shared" si="21"/>
        <v>RFP Tree and Landscape Services Ltd</v>
      </c>
    </row>
    <row r="1412" spans="2:9" ht="15.75" customHeight="1" x14ac:dyDescent="0.2">
      <c r="D1412" s="1" t="s">
        <v>343</v>
      </c>
      <c r="E1412" s="1">
        <v>1</v>
      </c>
      <c r="F1412" s="1">
        <v>4</v>
      </c>
      <c r="G1412" s="1">
        <v>4</v>
      </c>
      <c r="I1412" s="58" t="str">
        <f t="shared" si="21"/>
        <v>RFP Tree and Landscape Services Ltd</v>
      </c>
    </row>
    <row r="1413" spans="2:9" ht="15.75" customHeight="1" x14ac:dyDescent="0.2">
      <c r="C1413" s="1" t="s">
        <v>676</v>
      </c>
      <c r="D1413" s="1" t="s">
        <v>334</v>
      </c>
      <c r="E1413" s="1">
        <v>1</v>
      </c>
      <c r="F1413" s="1">
        <v>17</v>
      </c>
      <c r="G1413" s="1">
        <v>17</v>
      </c>
      <c r="I1413" s="58" t="str">
        <f t="shared" si="21"/>
        <v>RFP Tree and Landscape Services Ltd</v>
      </c>
    </row>
    <row r="1414" spans="2:9" ht="15.75" customHeight="1" x14ac:dyDescent="0.2">
      <c r="D1414" s="1" t="s">
        <v>340</v>
      </c>
      <c r="E1414" s="1">
        <v>1</v>
      </c>
      <c r="F1414" s="1">
        <v>7</v>
      </c>
      <c r="G1414" s="1">
        <v>7</v>
      </c>
      <c r="I1414" s="58" t="str">
        <f t="shared" ref="I1414:I1477" si="22">IF(B1414&lt;&gt;"",B1414,I1413)</f>
        <v>RFP Tree and Landscape Services Ltd</v>
      </c>
    </row>
    <row r="1415" spans="2:9" ht="15.75" customHeight="1" x14ac:dyDescent="0.2">
      <c r="D1415" s="1" t="s">
        <v>336</v>
      </c>
      <c r="E1415" s="1">
        <v>1</v>
      </c>
      <c r="F1415" s="1">
        <v>6</v>
      </c>
      <c r="G1415" s="1">
        <v>6</v>
      </c>
      <c r="I1415" s="58" t="str">
        <f t="shared" si="22"/>
        <v>RFP Tree and Landscape Services Ltd</v>
      </c>
    </row>
    <row r="1416" spans="2:9" ht="15.75" customHeight="1" x14ac:dyDescent="0.2">
      <c r="D1416" s="1" t="s">
        <v>337</v>
      </c>
      <c r="E1416" s="1">
        <v>1</v>
      </c>
      <c r="F1416" s="1">
        <v>4</v>
      </c>
      <c r="G1416" s="1">
        <v>4</v>
      </c>
      <c r="I1416" s="58" t="str">
        <f t="shared" si="22"/>
        <v>RFP Tree and Landscape Services Ltd</v>
      </c>
    </row>
    <row r="1417" spans="2:9" ht="15.75" customHeight="1" x14ac:dyDescent="0.2">
      <c r="C1417" s="1" t="s">
        <v>677</v>
      </c>
      <c r="D1417" s="1" t="s">
        <v>334</v>
      </c>
      <c r="E1417" s="1">
        <v>1</v>
      </c>
      <c r="F1417" s="1">
        <v>6</v>
      </c>
      <c r="G1417" s="1">
        <v>6</v>
      </c>
      <c r="I1417" s="58" t="str">
        <f t="shared" si="22"/>
        <v>RFP Tree and Landscape Services Ltd</v>
      </c>
    </row>
    <row r="1418" spans="2:9" ht="15.75" customHeight="1" x14ac:dyDescent="0.2">
      <c r="D1418" s="1" t="s">
        <v>336</v>
      </c>
      <c r="E1418" s="1">
        <v>1</v>
      </c>
      <c r="F1418" s="1">
        <v>6</v>
      </c>
      <c r="G1418" s="1">
        <v>6</v>
      </c>
      <c r="I1418" s="58" t="str">
        <f t="shared" si="22"/>
        <v>RFP Tree and Landscape Services Ltd</v>
      </c>
    </row>
    <row r="1419" spans="2:9" ht="15.75" customHeight="1" x14ac:dyDescent="0.2">
      <c r="B1419" s="1" t="s">
        <v>76</v>
      </c>
      <c r="C1419" s="1" t="s">
        <v>334</v>
      </c>
      <c r="E1419" s="1">
        <v>0.98</v>
      </c>
      <c r="F1419" s="1">
        <v>38</v>
      </c>
      <c r="G1419" s="1">
        <v>37</v>
      </c>
      <c r="H1419" s="57">
        <v>45616</v>
      </c>
      <c r="I1419" s="58" t="str">
        <f t="shared" si="22"/>
        <v>Green Net Eco Ltd</v>
      </c>
    </row>
    <row r="1420" spans="2:9" ht="15.75" customHeight="1" x14ac:dyDescent="0.2">
      <c r="C1420" s="1" t="s">
        <v>678</v>
      </c>
      <c r="D1420" s="1" t="s">
        <v>334</v>
      </c>
      <c r="E1420" s="1">
        <v>0.95</v>
      </c>
      <c r="F1420" s="1">
        <v>17</v>
      </c>
      <c r="G1420" s="1">
        <v>16</v>
      </c>
      <c r="I1420" s="58" t="str">
        <f t="shared" si="22"/>
        <v>Green Net Eco Ltd</v>
      </c>
    </row>
    <row r="1421" spans="2:9" ht="15.75" customHeight="1" x14ac:dyDescent="0.2">
      <c r="D1421" s="1" t="s">
        <v>340</v>
      </c>
      <c r="E1421" s="1">
        <v>0.86</v>
      </c>
      <c r="F1421" s="1">
        <v>7</v>
      </c>
      <c r="G1421" s="1">
        <v>6</v>
      </c>
      <c r="I1421" s="58" t="str">
        <f t="shared" si="22"/>
        <v>Green Net Eco Ltd</v>
      </c>
    </row>
    <row r="1422" spans="2:9" ht="15.75" customHeight="1" x14ac:dyDescent="0.2">
      <c r="D1422" s="1" t="s">
        <v>336</v>
      </c>
      <c r="E1422" s="1">
        <v>1</v>
      </c>
      <c r="F1422" s="1">
        <v>6</v>
      </c>
      <c r="G1422" s="1">
        <v>6</v>
      </c>
      <c r="I1422" s="58" t="str">
        <f t="shared" si="22"/>
        <v>Green Net Eco Ltd</v>
      </c>
    </row>
    <row r="1423" spans="2:9" ht="15.75" customHeight="1" x14ac:dyDescent="0.2">
      <c r="D1423" s="1" t="s">
        <v>337</v>
      </c>
      <c r="E1423" s="1">
        <v>1</v>
      </c>
      <c r="F1423" s="1">
        <v>4</v>
      </c>
      <c r="G1423" s="1">
        <v>4</v>
      </c>
      <c r="I1423" s="58" t="str">
        <f t="shared" si="22"/>
        <v>Green Net Eco Ltd</v>
      </c>
    </row>
    <row r="1424" spans="2:9" ht="15.75" customHeight="1" x14ac:dyDescent="0.2">
      <c r="C1424" s="1" t="s">
        <v>679</v>
      </c>
      <c r="D1424" s="1" t="s">
        <v>334</v>
      </c>
      <c r="E1424" s="1">
        <v>1</v>
      </c>
      <c r="F1424" s="1">
        <v>4</v>
      </c>
      <c r="G1424" s="1">
        <v>4</v>
      </c>
      <c r="I1424" s="58" t="str">
        <f t="shared" si="22"/>
        <v>Green Net Eco Ltd</v>
      </c>
    </row>
    <row r="1425" spans="2:9" ht="15.75" customHeight="1" x14ac:dyDescent="0.2">
      <c r="D1425" s="1" t="s">
        <v>343</v>
      </c>
      <c r="E1425" s="1">
        <v>1</v>
      </c>
      <c r="F1425" s="1">
        <v>4</v>
      </c>
      <c r="G1425" s="1">
        <v>4</v>
      </c>
      <c r="I1425" s="58" t="str">
        <f t="shared" si="22"/>
        <v>Green Net Eco Ltd</v>
      </c>
    </row>
    <row r="1426" spans="2:9" ht="15.75" customHeight="1" x14ac:dyDescent="0.2">
      <c r="C1426" s="1" t="s">
        <v>680</v>
      </c>
      <c r="D1426" s="1" t="s">
        <v>334</v>
      </c>
      <c r="E1426" s="1">
        <v>1</v>
      </c>
      <c r="F1426" s="1">
        <v>17</v>
      </c>
      <c r="G1426" s="1">
        <v>17</v>
      </c>
      <c r="I1426" s="58" t="str">
        <f t="shared" si="22"/>
        <v>Green Net Eco Ltd</v>
      </c>
    </row>
    <row r="1427" spans="2:9" ht="15.75" customHeight="1" x14ac:dyDescent="0.2">
      <c r="D1427" s="1" t="s">
        <v>340</v>
      </c>
      <c r="E1427" s="1">
        <v>1</v>
      </c>
      <c r="F1427" s="1">
        <v>7</v>
      </c>
      <c r="G1427" s="1">
        <v>7</v>
      </c>
      <c r="I1427" s="58" t="str">
        <f t="shared" si="22"/>
        <v>Green Net Eco Ltd</v>
      </c>
    </row>
    <row r="1428" spans="2:9" ht="15.75" customHeight="1" x14ac:dyDescent="0.2">
      <c r="D1428" s="1" t="s">
        <v>336</v>
      </c>
      <c r="E1428" s="1">
        <v>1</v>
      </c>
      <c r="F1428" s="1">
        <v>6</v>
      </c>
      <c r="G1428" s="1">
        <v>6</v>
      </c>
      <c r="I1428" s="58" t="str">
        <f t="shared" si="22"/>
        <v>Green Net Eco Ltd</v>
      </c>
    </row>
    <row r="1429" spans="2:9" ht="15.75" customHeight="1" x14ac:dyDescent="0.2">
      <c r="D1429" s="1" t="s">
        <v>337</v>
      </c>
      <c r="E1429" s="1">
        <v>1</v>
      </c>
      <c r="F1429" s="1">
        <v>4</v>
      </c>
      <c r="G1429" s="1">
        <v>4</v>
      </c>
      <c r="I1429" s="58" t="str">
        <f t="shared" si="22"/>
        <v>Green Net Eco Ltd</v>
      </c>
    </row>
    <row r="1430" spans="2:9" ht="15.75" customHeight="1" x14ac:dyDescent="0.2">
      <c r="B1430" s="1" t="s">
        <v>110</v>
      </c>
      <c r="C1430" s="1" t="s">
        <v>334</v>
      </c>
      <c r="E1430" s="1">
        <v>0.98</v>
      </c>
      <c r="F1430" s="1">
        <v>42</v>
      </c>
      <c r="G1430" s="1">
        <v>41</v>
      </c>
      <c r="I1430" s="58" t="str">
        <f t="shared" si="22"/>
        <v>HJ Tree Services</v>
      </c>
    </row>
    <row r="1431" spans="2:9" ht="15.75" customHeight="1" x14ac:dyDescent="0.2">
      <c r="C1431" s="1" t="s">
        <v>681</v>
      </c>
      <c r="D1431" s="1" t="s">
        <v>334</v>
      </c>
      <c r="E1431" s="1">
        <v>0.95</v>
      </c>
      <c r="F1431" s="1">
        <v>17</v>
      </c>
      <c r="G1431" s="1">
        <v>16</v>
      </c>
      <c r="I1431" s="58" t="str">
        <f t="shared" si="22"/>
        <v>HJ Tree Services</v>
      </c>
    </row>
    <row r="1432" spans="2:9" ht="15.75" customHeight="1" x14ac:dyDescent="0.2">
      <c r="D1432" s="1" t="s">
        <v>340</v>
      </c>
      <c r="E1432" s="1">
        <v>0.86</v>
      </c>
      <c r="F1432" s="1">
        <v>7</v>
      </c>
      <c r="G1432" s="1">
        <v>6</v>
      </c>
      <c r="I1432" s="58" t="str">
        <f t="shared" si="22"/>
        <v>HJ Tree Services</v>
      </c>
    </row>
    <row r="1433" spans="2:9" ht="15.75" customHeight="1" x14ac:dyDescent="0.2">
      <c r="D1433" s="1" t="s">
        <v>336</v>
      </c>
      <c r="E1433" s="1">
        <v>1</v>
      </c>
      <c r="F1433" s="1">
        <v>6</v>
      </c>
      <c r="G1433" s="1">
        <v>6</v>
      </c>
      <c r="I1433" s="58" t="str">
        <f t="shared" si="22"/>
        <v>HJ Tree Services</v>
      </c>
    </row>
    <row r="1434" spans="2:9" ht="15.75" customHeight="1" x14ac:dyDescent="0.2">
      <c r="D1434" s="1" t="s">
        <v>337</v>
      </c>
      <c r="E1434" s="1">
        <v>1</v>
      </c>
      <c r="F1434" s="1">
        <v>4</v>
      </c>
      <c r="G1434" s="1">
        <v>4</v>
      </c>
      <c r="I1434" s="58" t="str">
        <f t="shared" si="22"/>
        <v>HJ Tree Services</v>
      </c>
    </row>
    <row r="1435" spans="2:9" ht="15.75" customHeight="1" x14ac:dyDescent="0.2">
      <c r="C1435" s="1" t="s">
        <v>682</v>
      </c>
      <c r="D1435" s="1" t="s">
        <v>334</v>
      </c>
      <c r="E1435" s="1">
        <v>1</v>
      </c>
      <c r="F1435" s="1">
        <v>17</v>
      </c>
      <c r="G1435" s="1">
        <v>17</v>
      </c>
      <c r="I1435" s="58" t="str">
        <f t="shared" si="22"/>
        <v>HJ Tree Services</v>
      </c>
    </row>
    <row r="1436" spans="2:9" ht="15.75" customHeight="1" x14ac:dyDescent="0.2">
      <c r="D1436" s="1" t="s">
        <v>340</v>
      </c>
      <c r="E1436" s="1">
        <v>1</v>
      </c>
      <c r="F1436" s="1">
        <v>7</v>
      </c>
      <c r="G1436" s="1">
        <v>7</v>
      </c>
      <c r="I1436" s="58" t="str">
        <f t="shared" si="22"/>
        <v>HJ Tree Services</v>
      </c>
    </row>
    <row r="1437" spans="2:9" ht="15.75" customHeight="1" x14ac:dyDescent="0.2">
      <c r="D1437" s="1" t="s">
        <v>336</v>
      </c>
      <c r="E1437" s="1">
        <v>1</v>
      </c>
      <c r="F1437" s="1">
        <v>6</v>
      </c>
      <c r="G1437" s="1">
        <v>6</v>
      </c>
      <c r="I1437" s="58" t="str">
        <f t="shared" si="22"/>
        <v>HJ Tree Services</v>
      </c>
    </row>
    <row r="1438" spans="2:9" ht="15.75" customHeight="1" x14ac:dyDescent="0.2">
      <c r="D1438" s="1" t="s">
        <v>337</v>
      </c>
      <c r="E1438" s="1">
        <v>1</v>
      </c>
      <c r="F1438" s="1">
        <v>4</v>
      </c>
      <c r="G1438" s="1">
        <v>4</v>
      </c>
      <c r="I1438" s="58" t="str">
        <f t="shared" si="22"/>
        <v>HJ Tree Services</v>
      </c>
    </row>
    <row r="1439" spans="2:9" ht="15.75" customHeight="1" x14ac:dyDescent="0.2">
      <c r="C1439" s="1" t="s">
        <v>110</v>
      </c>
      <c r="D1439" s="1" t="s">
        <v>334</v>
      </c>
      <c r="E1439" s="1">
        <v>1</v>
      </c>
      <c r="F1439" s="1">
        <v>4</v>
      </c>
      <c r="G1439" s="1">
        <v>4</v>
      </c>
      <c r="I1439" s="58" t="str">
        <f t="shared" si="22"/>
        <v>HJ Tree Services</v>
      </c>
    </row>
    <row r="1440" spans="2:9" ht="15.75" customHeight="1" x14ac:dyDescent="0.2">
      <c r="D1440" s="1" t="s">
        <v>343</v>
      </c>
      <c r="E1440" s="1">
        <v>1</v>
      </c>
      <c r="F1440" s="1">
        <v>4</v>
      </c>
      <c r="G1440" s="1">
        <v>4</v>
      </c>
      <c r="I1440" s="58" t="str">
        <f t="shared" si="22"/>
        <v>HJ Tree Services</v>
      </c>
    </row>
    <row r="1441" spans="2:9" ht="15.75" customHeight="1" x14ac:dyDescent="0.2">
      <c r="C1441" s="1" t="s">
        <v>683</v>
      </c>
      <c r="D1441" s="1" t="s">
        <v>334</v>
      </c>
      <c r="E1441" s="1">
        <v>1</v>
      </c>
      <c r="F1441" s="1">
        <v>4</v>
      </c>
      <c r="G1441" s="1">
        <v>4</v>
      </c>
      <c r="I1441" s="58" t="str">
        <f t="shared" si="22"/>
        <v>HJ Tree Services</v>
      </c>
    </row>
    <row r="1442" spans="2:9" ht="15.75" customHeight="1" x14ac:dyDescent="0.2">
      <c r="D1442" s="1" t="s">
        <v>343</v>
      </c>
      <c r="E1442" s="1">
        <v>1</v>
      </c>
      <c r="F1442" s="1">
        <v>4</v>
      </c>
      <c r="G1442" s="1">
        <v>4</v>
      </c>
      <c r="I1442" s="58" t="str">
        <f t="shared" si="22"/>
        <v>HJ Tree Services</v>
      </c>
    </row>
    <row r="1443" spans="2:9" ht="15.75" customHeight="1" x14ac:dyDescent="0.2">
      <c r="B1443" s="1" t="s">
        <v>82</v>
      </c>
      <c r="C1443" s="1" t="s">
        <v>334</v>
      </c>
      <c r="E1443" s="1">
        <v>0.98</v>
      </c>
      <c r="F1443" s="1">
        <v>36</v>
      </c>
      <c r="G1443" s="1">
        <v>35</v>
      </c>
      <c r="H1443" s="57">
        <v>45260</v>
      </c>
      <c r="I1443" s="58" t="str">
        <f t="shared" si="22"/>
        <v>MAC Tree Surgery and Fencing Ltd</v>
      </c>
    </row>
    <row r="1444" spans="2:9" ht="15.75" customHeight="1" x14ac:dyDescent="0.2">
      <c r="C1444" s="1" t="s">
        <v>684</v>
      </c>
      <c r="D1444" s="1" t="s">
        <v>334</v>
      </c>
      <c r="E1444" s="1">
        <v>0.94</v>
      </c>
      <c r="F1444" s="1">
        <v>15</v>
      </c>
      <c r="G1444" s="1">
        <v>14</v>
      </c>
      <c r="I1444" s="58" t="str">
        <f t="shared" si="22"/>
        <v>MAC Tree Surgery and Fencing Ltd</v>
      </c>
    </row>
    <row r="1445" spans="2:9" ht="15.75" customHeight="1" x14ac:dyDescent="0.2">
      <c r="D1445" s="1" t="s">
        <v>336</v>
      </c>
      <c r="E1445" s="1">
        <v>0.84</v>
      </c>
      <c r="F1445" s="1">
        <v>6</v>
      </c>
      <c r="G1445" s="1">
        <v>5</v>
      </c>
      <c r="I1445" s="58" t="str">
        <f t="shared" si="22"/>
        <v>MAC Tree Surgery and Fencing Ltd</v>
      </c>
    </row>
    <row r="1446" spans="2:9" ht="15.75" customHeight="1" x14ac:dyDescent="0.2">
      <c r="D1446" s="1" t="s">
        <v>337</v>
      </c>
      <c r="E1446" s="1">
        <v>1</v>
      </c>
      <c r="F1446" s="1">
        <v>4</v>
      </c>
      <c r="G1446" s="1">
        <v>4</v>
      </c>
      <c r="I1446" s="58" t="str">
        <f t="shared" si="22"/>
        <v>MAC Tree Surgery and Fencing Ltd</v>
      </c>
    </row>
    <row r="1447" spans="2:9" ht="15.75" customHeight="1" x14ac:dyDescent="0.2">
      <c r="D1447" s="1" t="s">
        <v>338</v>
      </c>
      <c r="E1447" s="1">
        <v>1</v>
      </c>
      <c r="F1447" s="1">
        <v>5</v>
      </c>
      <c r="G1447" s="1">
        <v>5</v>
      </c>
      <c r="I1447" s="58" t="str">
        <f t="shared" si="22"/>
        <v>MAC Tree Surgery and Fencing Ltd</v>
      </c>
    </row>
    <row r="1448" spans="2:9" ht="15.75" customHeight="1" x14ac:dyDescent="0.2">
      <c r="C1448" s="1" t="s">
        <v>685</v>
      </c>
      <c r="D1448" s="1" t="s">
        <v>334</v>
      </c>
      <c r="E1448" s="1">
        <v>1</v>
      </c>
      <c r="F1448" s="1">
        <v>17</v>
      </c>
      <c r="G1448" s="1">
        <v>17</v>
      </c>
      <c r="I1448" s="58" t="str">
        <f t="shared" si="22"/>
        <v>MAC Tree Surgery and Fencing Ltd</v>
      </c>
    </row>
    <row r="1449" spans="2:9" ht="15.75" customHeight="1" x14ac:dyDescent="0.2">
      <c r="D1449" s="1" t="s">
        <v>340</v>
      </c>
      <c r="E1449" s="1">
        <v>1</v>
      </c>
      <c r="F1449" s="1">
        <v>7</v>
      </c>
      <c r="G1449" s="1">
        <v>7</v>
      </c>
      <c r="I1449" s="58" t="str">
        <f t="shared" si="22"/>
        <v>MAC Tree Surgery and Fencing Ltd</v>
      </c>
    </row>
    <row r="1450" spans="2:9" ht="15.75" customHeight="1" x14ac:dyDescent="0.2">
      <c r="D1450" s="1" t="s">
        <v>336</v>
      </c>
      <c r="E1450" s="1">
        <v>1</v>
      </c>
      <c r="F1450" s="1">
        <v>6</v>
      </c>
      <c r="G1450" s="1">
        <v>6</v>
      </c>
      <c r="I1450" s="58" t="str">
        <f t="shared" si="22"/>
        <v>MAC Tree Surgery and Fencing Ltd</v>
      </c>
    </row>
    <row r="1451" spans="2:9" ht="15.75" customHeight="1" x14ac:dyDescent="0.2">
      <c r="D1451" s="1" t="s">
        <v>337</v>
      </c>
      <c r="E1451" s="1">
        <v>1</v>
      </c>
      <c r="F1451" s="1">
        <v>4</v>
      </c>
      <c r="G1451" s="1">
        <v>4</v>
      </c>
      <c r="I1451" s="58" t="str">
        <f t="shared" si="22"/>
        <v>MAC Tree Surgery and Fencing Ltd</v>
      </c>
    </row>
    <row r="1452" spans="2:9" ht="15.75" customHeight="1" x14ac:dyDescent="0.2">
      <c r="C1452" s="1" t="s">
        <v>686</v>
      </c>
      <c r="D1452" s="1" t="s">
        <v>334</v>
      </c>
      <c r="E1452" s="1">
        <v>1</v>
      </c>
      <c r="F1452" s="1">
        <v>4</v>
      </c>
      <c r="G1452" s="1">
        <v>4</v>
      </c>
      <c r="I1452" s="58" t="str">
        <f t="shared" si="22"/>
        <v>MAC Tree Surgery and Fencing Ltd</v>
      </c>
    </row>
    <row r="1453" spans="2:9" ht="15.75" customHeight="1" x14ac:dyDescent="0.2">
      <c r="D1453" s="1" t="s">
        <v>343</v>
      </c>
      <c r="E1453" s="1">
        <v>1</v>
      </c>
      <c r="F1453" s="1">
        <v>4</v>
      </c>
      <c r="G1453" s="1">
        <v>4</v>
      </c>
      <c r="I1453" s="58" t="str">
        <f t="shared" si="22"/>
        <v>MAC Tree Surgery and Fencing Ltd</v>
      </c>
    </row>
    <row r="1454" spans="2:9" ht="15.75" customHeight="1" x14ac:dyDescent="0.2">
      <c r="B1454" s="1" t="s">
        <v>217</v>
      </c>
      <c r="C1454" s="1" t="s">
        <v>334</v>
      </c>
      <c r="E1454" s="1">
        <v>0.99</v>
      </c>
      <c r="F1454" s="1">
        <v>87</v>
      </c>
      <c r="G1454" s="1">
        <v>86</v>
      </c>
      <c r="H1454" s="57">
        <v>46051</v>
      </c>
      <c r="I1454" s="58" t="str">
        <f t="shared" si="22"/>
        <v>Wootton Forestry &amp; Powerline Services Ltd</v>
      </c>
    </row>
    <row r="1455" spans="2:9" ht="15.75" customHeight="1" x14ac:dyDescent="0.2">
      <c r="C1455" s="1" t="s">
        <v>687</v>
      </c>
      <c r="D1455" s="1" t="s">
        <v>334</v>
      </c>
      <c r="E1455" s="1">
        <v>0.95</v>
      </c>
      <c r="F1455" s="1">
        <v>17</v>
      </c>
      <c r="G1455" s="1">
        <v>16</v>
      </c>
      <c r="I1455" s="58" t="str">
        <f t="shared" si="22"/>
        <v>Wootton Forestry &amp; Powerline Services Ltd</v>
      </c>
    </row>
    <row r="1456" spans="2:9" ht="15.75" customHeight="1" x14ac:dyDescent="0.2">
      <c r="D1456" s="1" t="s">
        <v>336</v>
      </c>
      <c r="E1456" s="1">
        <v>0.84</v>
      </c>
      <c r="F1456" s="1">
        <v>6</v>
      </c>
      <c r="G1456" s="1">
        <v>5</v>
      </c>
      <c r="I1456" s="58" t="str">
        <f t="shared" si="22"/>
        <v>Wootton Forestry &amp; Powerline Services Ltd</v>
      </c>
    </row>
    <row r="1457" spans="3:9" ht="15.75" customHeight="1" x14ac:dyDescent="0.2">
      <c r="D1457" s="1" t="s">
        <v>340</v>
      </c>
      <c r="E1457" s="1">
        <v>1</v>
      </c>
      <c r="F1457" s="1">
        <v>7</v>
      </c>
      <c r="G1457" s="1">
        <v>7</v>
      </c>
      <c r="I1457" s="58" t="str">
        <f t="shared" si="22"/>
        <v>Wootton Forestry &amp; Powerline Services Ltd</v>
      </c>
    </row>
    <row r="1458" spans="3:9" ht="15.75" customHeight="1" x14ac:dyDescent="0.2">
      <c r="D1458" s="1" t="s">
        <v>337</v>
      </c>
      <c r="E1458" s="1">
        <v>1</v>
      </c>
      <c r="F1458" s="1">
        <v>4</v>
      </c>
      <c r="G1458" s="1">
        <v>4</v>
      </c>
      <c r="I1458" s="58" t="str">
        <f t="shared" si="22"/>
        <v>Wootton Forestry &amp; Powerline Services Ltd</v>
      </c>
    </row>
    <row r="1459" spans="3:9" ht="15.75" customHeight="1" x14ac:dyDescent="0.2">
      <c r="C1459" s="1" t="s">
        <v>688</v>
      </c>
      <c r="D1459" s="1" t="s">
        <v>334</v>
      </c>
      <c r="E1459" s="1">
        <v>1</v>
      </c>
      <c r="F1459" s="1">
        <v>17</v>
      </c>
      <c r="G1459" s="1">
        <v>17</v>
      </c>
      <c r="I1459" s="58" t="str">
        <f t="shared" si="22"/>
        <v>Wootton Forestry &amp; Powerline Services Ltd</v>
      </c>
    </row>
    <row r="1460" spans="3:9" ht="15.75" customHeight="1" x14ac:dyDescent="0.2">
      <c r="D1460" s="1" t="s">
        <v>340</v>
      </c>
      <c r="E1460" s="1">
        <v>1</v>
      </c>
      <c r="F1460" s="1">
        <v>7</v>
      </c>
      <c r="G1460" s="1">
        <v>7</v>
      </c>
      <c r="I1460" s="58" t="str">
        <f t="shared" si="22"/>
        <v>Wootton Forestry &amp; Powerline Services Ltd</v>
      </c>
    </row>
    <row r="1461" spans="3:9" ht="15.75" customHeight="1" x14ac:dyDescent="0.2">
      <c r="D1461" s="1" t="s">
        <v>336</v>
      </c>
      <c r="E1461" s="1">
        <v>1</v>
      </c>
      <c r="F1461" s="1">
        <v>6</v>
      </c>
      <c r="G1461" s="1">
        <v>6</v>
      </c>
      <c r="I1461" s="58" t="str">
        <f t="shared" si="22"/>
        <v>Wootton Forestry &amp; Powerline Services Ltd</v>
      </c>
    </row>
    <row r="1462" spans="3:9" ht="15.75" customHeight="1" x14ac:dyDescent="0.2">
      <c r="D1462" s="1" t="s">
        <v>337</v>
      </c>
      <c r="E1462" s="1">
        <v>1</v>
      </c>
      <c r="F1462" s="1">
        <v>4</v>
      </c>
      <c r="G1462" s="1">
        <v>4</v>
      </c>
      <c r="I1462" s="58" t="str">
        <f t="shared" si="22"/>
        <v>Wootton Forestry &amp; Powerline Services Ltd</v>
      </c>
    </row>
    <row r="1463" spans="3:9" ht="15.75" customHeight="1" x14ac:dyDescent="0.2">
      <c r="C1463" s="1" t="s">
        <v>689</v>
      </c>
      <c r="D1463" s="1" t="s">
        <v>334</v>
      </c>
      <c r="E1463" s="1">
        <v>1</v>
      </c>
      <c r="F1463" s="1">
        <v>15</v>
      </c>
      <c r="G1463" s="1">
        <v>15</v>
      </c>
      <c r="I1463" s="58" t="str">
        <f t="shared" si="22"/>
        <v>Wootton Forestry &amp; Powerline Services Ltd</v>
      </c>
    </row>
    <row r="1464" spans="3:9" ht="15.75" customHeight="1" x14ac:dyDescent="0.2">
      <c r="D1464" s="1" t="s">
        <v>336</v>
      </c>
      <c r="E1464" s="1">
        <v>1</v>
      </c>
      <c r="F1464" s="1">
        <v>6</v>
      </c>
      <c r="G1464" s="1">
        <v>6</v>
      </c>
      <c r="I1464" s="58" t="str">
        <f t="shared" si="22"/>
        <v>Wootton Forestry &amp; Powerline Services Ltd</v>
      </c>
    </row>
    <row r="1465" spans="3:9" ht="15.75" customHeight="1" x14ac:dyDescent="0.2">
      <c r="D1465" s="1" t="s">
        <v>337</v>
      </c>
      <c r="E1465" s="1">
        <v>1</v>
      </c>
      <c r="F1465" s="1">
        <v>4</v>
      </c>
      <c r="G1465" s="1">
        <v>4</v>
      </c>
      <c r="I1465" s="58" t="str">
        <f t="shared" si="22"/>
        <v>Wootton Forestry &amp; Powerline Services Ltd</v>
      </c>
    </row>
    <row r="1466" spans="3:9" ht="15.75" customHeight="1" x14ac:dyDescent="0.2">
      <c r="D1466" s="1" t="s">
        <v>338</v>
      </c>
      <c r="E1466" s="1">
        <v>1</v>
      </c>
      <c r="F1466" s="1">
        <v>5</v>
      </c>
      <c r="G1466" s="1">
        <v>5</v>
      </c>
      <c r="I1466" s="58" t="str">
        <f t="shared" si="22"/>
        <v>Wootton Forestry &amp; Powerline Services Ltd</v>
      </c>
    </row>
    <row r="1467" spans="3:9" ht="15.75" customHeight="1" x14ac:dyDescent="0.2">
      <c r="C1467" s="1" t="s">
        <v>690</v>
      </c>
      <c r="D1467" s="1" t="s">
        <v>334</v>
      </c>
      <c r="E1467" s="1">
        <v>1</v>
      </c>
      <c r="F1467" s="1">
        <v>17</v>
      </c>
      <c r="G1467" s="1">
        <v>17</v>
      </c>
      <c r="I1467" s="58" t="str">
        <f t="shared" si="22"/>
        <v>Wootton Forestry &amp; Powerline Services Ltd</v>
      </c>
    </row>
    <row r="1468" spans="3:9" ht="15.75" customHeight="1" x14ac:dyDescent="0.2">
      <c r="D1468" s="1" t="s">
        <v>340</v>
      </c>
      <c r="E1468" s="1">
        <v>1</v>
      </c>
      <c r="F1468" s="1">
        <v>7</v>
      </c>
      <c r="G1468" s="1">
        <v>7</v>
      </c>
      <c r="I1468" s="58" t="str">
        <f t="shared" si="22"/>
        <v>Wootton Forestry &amp; Powerline Services Ltd</v>
      </c>
    </row>
    <row r="1469" spans="3:9" ht="15.75" customHeight="1" x14ac:dyDescent="0.2">
      <c r="D1469" s="1" t="s">
        <v>336</v>
      </c>
      <c r="E1469" s="1">
        <v>1</v>
      </c>
      <c r="F1469" s="1">
        <v>6</v>
      </c>
      <c r="G1469" s="1">
        <v>6</v>
      </c>
      <c r="I1469" s="58" t="str">
        <f t="shared" si="22"/>
        <v>Wootton Forestry &amp; Powerline Services Ltd</v>
      </c>
    </row>
    <row r="1470" spans="3:9" ht="15.75" customHeight="1" x14ac:dyDescent="0.2">
      <c r="D1470" s="1" t="s">
        <v>337</v>
      </c>
      <c r="E1470" s="1">
        <v>1</v>
      </c>
      <c r="F1470" s="1">
        <v>4</v>
      </c>
      <c r="G1470" s="1">
        <v>4</v>
      </c>
      <c r="I1470" s="58" t="str">
        <f t="shared" si="22"/>
        <v>Wootton Forestry &amp; Powerline Services Ltd</v>
      </c>
    </row>
    <row r="1471" spans="3:9" ht="15.75" customHeight="1" x14ac:dyDescent="0.2">
      <c r="C1471" s="1" t="s">
        <v>691</v>
      </c>
      <c r="D1471" s="1" t="s">
        <v>334</v>
      </c>
      <c r="E1471" s="1">
        <v>1</v>
      </c>
      <c r="F1471" s="1">
        <v>17</v>
      </c>
      <c r="G1471" s="1">
        <v>17</v>
      </c>
      <c r="I1471" s="58" t="str">
        <f t="shared" si="22"/>
        <v>Wootton Forestry &amp; Powerline Services Ltd</v>
      </c>
    </row>
    <row r="1472" spans="3:9" ht="15.75" customHeight="1" x14ac:dyDescent="0.2">
      <c r="D1472" s="1" t="s">
        <v>340</v>
      </c>
      <c r="E1472" s="1">
        <v>1</v>
      </c>
      <c r="F1472" s="1">
        <v>7</v>
      </c>
      <c r="G1472" s="1">
        <v>7</v>
      </c>
      <c r="I1472" s="58" t="str">
        <f t="shared" si="22"/>
        <v>Wootton Forestry &amp; Powerline Services Ltd</v>
      </c>
    </row>
    <row r="1473" spans="2:9" ht="15.75" customHeight="1" x14ac:dyDescent="0.2">
      <c r="D1473" s="1" t="s">
        <v>336</v>
      </c>
      <c r="E1473" s="1">
        <v>1</v>
      </c>
      <c r="F1473" s="1">
        <v>6</v>
      </c>
      <c r="G1473" s="1">
        <v>6</v>
      </c>
      <c r="I1473" s="58" t="str">
        <f t="shared" si="22"/>
        <v>Wootton Forestry &amp; Powerline Services Ltd</v>
      </c>
    </row>
    <row r="1474" spans="2:9" ht="15.75" customHeight="1" x14ac:dyDescent="0.2">
      <c r="D1474" s="1" t="s">
        <v>337</v>
      </c>
      <c r="E1474" s="1">
        <v>1</v>
      </c>
      <c r="F1474" s="1">
        <v>4</v>
      </c>
      <c r="G1474" s="1">
        <v>4</v>
      </c>
      <c r="I1474" s="58" t="str">
        <f t="shared" si="22"/>
        <v>Wootton Forestry &amp; Powerline Services Ltd</v>
      </c>
    </row>
    <row r="1475" spans="2:9" ht="15.75" customHeight="1" x14ac:dyDescent="0.2">
      <c r="C1475" s="1" t="s">
        <v>692</v>
      </c>
      <c r="D1475" s="1" t="s">
        <v>334</v>
      </c>
      <c r="E1475" s="1">
        <v>1</v>
      </c>
      <c r="F1475" s="1">
        <v>4</v>
      </c>
      <c r="G1475" s="1">
        <v>4</v>
      </c>
      <c r="I1475" s="58" t="str">
        <f t="shared" si="22"/>
        <v>Wootton Forestry &amp; Powerline Services Ltd</v>
      </c>
    </row>
    <row r="1476" spans="2:9" ht="15.75" customHeight="1" x14ac:dyDescent="0.2">
      <c r="D1476" s="1" t="s">
        <v>343</v>
      </c>
      <c r="E1476" s="1">
        <v>1</v>
      </c>
      <c r="F1476" s="1">
        <v>4</v>
      </c>
      <c r="G1476" s="1">
        <v>4</v>
      </c>
      <c r="I1476" s="58" t="str">
        <f t="shared" si="22"/>
        <v>Wootton Forestry &amp; Powerline Services Ltd</v>
      </c>
    </row>
    <row r="1477" spans="2:9" ht="15.75" customHeight="1" x14ac:dyDescent="0.2">
      <c r="B1477" s="1" t="s">
        <v>199</v>
      </c>
      <c r="C1477" s="1" t="s">
        <v>334</v>
      </c>
      <c r="E1477" s="1">
        <v>1</v>
      </c>
      <c r="F1477" s="1">
        <v>87</v>
      </c>
      <c r="G1477" s="1">
        <v>87</v>
      </c>
      <c r="H1477" s="57">
        <v>46099</v>
      </c>
      <c r="I1477" s="58" t="str">
        <f t="shared" si="22"/>
        <v>AAT Tree Services</v>
      </c>
    </row>
    <row r="1478" spans="2:9" ht="15.75" customHeight="1" x14ac:dyDescent="0.2">
      <c r="C1478" s="1" t="s">
        <v>693</v>
      </c>
      <c r="D1478" s="1" t="s">
        <v>334</v>
      </c>
      <c r="E1478" s="1">
        <v>1</v>
      </c>
      <c r="F1478" s="1">
        <v>4</v>
      </c>
      <c r="G1478" s="1">
        <v>4</v>
      </c>
      <c r="I1478" s="58" t="str">
        <f t="shared" ref="I1478:I1541" si="23">IF(B1478&lt;&gt;"",B1478,I1477)</f>
        <v>AAT Tree Services</v>
      </c>
    </row>
    <row r="1479" spans="2:9" ht="15.75" customHeight="1" x14ac:dyDescent="0.2">
      <c r="D1479" s="1" t="s">
        <v>343</v>
      </c>
      <c r="E1479" s="1">
        <v>1</v>
      </c>
      <c r="F1479" s="1">
        <v>4</v>
      </c>
      <c r="G1479" s="1">
        <v>4</v>
      </c>
      <c r="I1479" s="58" t="str">
        <f t="shared" si="23"/>
        <v>AAT Tree Services</v>
      </c>
    </row>
    <row r="1480" spans="2:9" ht="15.75" customHeight="1" x14ac:dyDescent="0.2">
      <c r="C1480" s="1" t="s">
        <v>694</v>
      </c>
      <c r="D1480" s="1" t="s">
        <v>334</v>
      </c>
      <c r="E1480" s="1">
        <v>1</v>
      </c>
      <c r="F1480" s="1">
        <v>17</v>
      </c>
      <c r="G1480" s="1">
        <v>17</v>
      </c>
      <c r="I1480" s="58" t="str">
        <f t="shared" si="23"/>
        <v>AAT Tree Services</v>
      </c>
    </row>
    <row r="1481" spans="2:9" ht="15.75" customHeight="1" x14ac:dyDescent="0.2">
      <c r="D1481" s="1" t="s">
        <v>340</v>
      </c>
      <c r="E1481" s="1">
        <v>1</v>
      </c>
      <c r="F1481" s="1">
        <v>7</v>
      </c>
      <c r="G1481" s="1">
        <v>7</v>
      </c>
      <c r="I1481" s="58" t="str">
        <f t="shared" si="23"/>
        <v>AAT Tree Services</v>
      </c>
    </row>
    <row r="1482" spans="2:9" ht="15.75" customHeight="1" x14ac:dyDescent="0.2">
      <c r="D1482" s="1" t="s">
        <v>336</v>
      </c>
      <c r="E1482" s="1">
        <v>1</v>
      </c>
      <c r="F1482" s="1">
        <v>6</v>
      </c>
      <c r="G1482" s="1">
        <v>6</v>
      </c>
      <c r="I1482" s="58" t="str">
        <f t="shared" si="23"/>
        <v>AAT Tree Services</v>
      </c>
    </row>
    <row r="1483" spans="2:9" ht="15.75" customHeight="1" x14ac:dyDescent="0.2">
      <c r="D1483" s="1" t="s">
        <v>337</v>
      </c>
      <c r="E1483" s="1">
        <v>1</v>
      </c>
      <c r="F1483" s="1">
        <v>4</v>
      </c>
      <c r="G1483" s="1">
        <v>4</v>
      </c>
      <c r="I1483" s="58" t="str">
        <f t="shared" si="23"/>
        <v>AAT Tree Services</v>
      </c>
    </row>
    <row r="1484" spans="2:9" ht="15.75" customHeight="1" x14ac:dyDescent="0.2">
      <c r="C1484" s="1" t="s">
        <v>695</v>
      </c>
      <c r="D1484" s="1" t="s">
        <v>334</v>
      </c>
      <c r="E1484" s="1">
        <v>1</v>
      </c>
      <c r="F1484" s="1">
        <v>15</v>
      </c>
      <c r="G1484" s="1">
        <v>15</v>
      </c>
      <c r="I1484" s="58" t="str">
        <f t="shared" si="23"/>
        <v>AAT Tree Services</v>
      </c>
    </row>
    <row r="1485" spans="2:9" ht="15.75" customHeight="1" x14ac:dyDescent="0.2">
      <c r="D1485" s="1" t="s">
        <v>336</v>
      </c>
      <c r="E1485" s="1">
        <v>1</v>
      </c>
      <c r="F1485" s="1">
        <v>6</v>
      </c>
      <c r="G1485" s="1">
        <v>6</v>
      </c>
      <c r="I1485" s="58" t="str">
        <f t="shared" si="23"/>
        <v>AAT Tree Services</v>
      </c>
    </row>
    <row r="1486" spans="2:9" ht="15.75" customHeight="1" x14ac:dyDescent="0.2">
      <c r="D1486" s="1" t="s">
        <v>337</v>
      </c>
      <c r="E1486" s="1">
        <v>1</v>
      </c>
      <c r="F1486" s="1">
        <v>4</v>
      </c>
      <c r="G1486" s="1">
        <v>4</v>
      </c>
      <c r="I1486" s="58" t="str">
        <f t="shared" si="23"/>
        <v>AAT Tree Services</v>
      </c>
    </row>
    <row r="1487" spans="2:9" ht="15.75" customHeight="1" x14ac:dyDescent="0.2">
      <c r="D1487" s="1" t="s">
        <v>338</v>
      </c>
      <c r="E1487" s="1">
        <v>1</v>
      </c>
      <c r="F1487" s="1">
        <v>5</v>
      </c>
      <c r="G1487" s="1">
        <v>5</v>
      </c>
      <c r="I1487" s="58" t="str">
        <f t="shared" si="23"/>
        <v>AAT Tree Services</v>
      </c>
    </row>
    <row r="1488" spans="2:9" ht="15.75" customHeight="1" x14ac:dyDescent="0.2">
      <c r="C1488" s="1" t="s">
        <v>696</v>
      </c>
      <c r="D1488" s="1" t="s">
        <v>334</v>
      </c>
      <c r="E1488" s="1">
        <v>1</v>
      </c>
      <c r="F1488" s="1">
        <v>17</v>
      </c>
      <c r="G1488" s="1">
        <v>17</v>
      </c>
      <c r="I1488" s="58" t="str">
        <f t="shared" si="23"/>
        <v>AAT Tree Services</v>
      </c>
    </row>
    <row r="1489" spans="2:9" ht="15.75" customHeight="1" x14ac:dyDescent="0.2">
      <c r="D1489" s="1" t="s">
        <v>340</v>
      </c>
      <c r="E1489" s="1">
        <v>1</v>
      </c>
      <c r="F1489" s="1">
        <v>7</v>
      </c>
      <c r="G1489" s="1">
        <v>7</v>
      </c>
      <c r="I1489" s="58" t="str">
        <f t="shared" si="23"/>
        <v>AAT Tree Services</v>
      </c>
    </row>
    <row r="1490" spans="2:9" ht="15.75" customHeight="1" x14ac:dyDescent="0.2">
      <c r="D1490" s="1" t="s">
        <v>336</v>
      </c>
      <c r="E1490" s="1">
        <v>1</v>
      </c>
      <c r="F1490" s="1">
        <v>6</v>
      </c>
      <c r="G1490" s="1">
        <v>6</v>
      </c>
      <c r="I1490" s="58" t="str">
        <f t="shared" si="23"/>
        <v>AAT Tree Services</v>
      </c>
    </row>
    <row r="1491" spans="2:9" ht="15.75" customHeight="1" x14ac:dyDescent="0.2">
      <c r="D1491" s="1" t="s">
        <v>337</v>
      </c>
      <c r="E1491" s="1">
        <v>1</v>
      </c>
      <c r="F1491" s="1">
        <v>4</v>
      </c>
      <c r="G1491" s="1">
        <v>4</v>
      </c>
      <c r="I1491" s="58" t="str">
        <f t="shared" si="23"/>
        <v>AAT Tree Services</v>
      </c>
    </row>
    <row r="1492" spans="2:9" ht="15.75" customHeight="1" x14ac:dyDescent="0.2">
      <c r="C1492" s="1" t="s">
        <v>697</v>
      </c>
      <c r="D1492" s="1" t="s">
        <v>334</v>
      </c>
      <c r="E1492" s="1">
        <v>1</v>
      </c>
      <c r="F1492" s="1">
        <v>17</v>
      </c>
      <c r="G1492" s="1">
        <v>17</v>
      </c>
      <c r="I1492" s="58" t="str">
        <f t="shared" si="23"/>
        <v>AAT Tree Services</v>
      </c>
    </row>
    <row r="1493" spans="2:9" ht="15.75" customHeight="1" x14ac:dyDescent="0.2">
      <c r="D1493" s="1" t="s">
        <v>340</v>
      </c>
      <c r="E1493" s="1">
        <v>1</v>
      </c>
      <c r="F1493" s="1">
        <v>7</v>
      </c>
      <c r="G1493" s="1">
        <v>7</v>
      </c>
      <c r="I1493" s="58" t="str">
        <f t="shared" si="23"/>
        <v>AAT Tree Services</v>
      </c>
    </row>
    <row r="1494" spans="2:9" ht="15.75" customHeight="1" x14ac:dyDescent="0.2">
      <c r="D1494" s="1" t="s">
        <v>336</v>
      </c>
      <c r="E1494" s="1">
        <v>1</v>
      </c>
      <c r="F1494" s="1">
        <v>6</v>
      </c>
      <c r="G1494" s="1">
        <v>6</v>
      </c>
      <c r="I1494" s="58" t="str">
        <f t="shared" si="23"/>
        <v>AAT Tree Services</v>
      </c>
    </row>
    <row r="1495" spans="2:9" ht="15.75" customHeight="1" x14ac:dyDescent="0.2">
      <c r="D1495" s="1" t="s">
        <v>337</v>
      </c>
      <c r="E1495" s="1">
        <v>1</v>
      </c>
      <c r="F1495" s="1">
        <v>4</v>
      </c>
      <c r="G1495" s="1">
        <v>4</v>
      </c>
      <c r="I1495" s="58" t="str">
        <f t="shared" si="23"/>
        <v>AAT Tree Services</v>
      </c>
    </row>
    <row r="1496" spans="2:9" ht="15.75" customHeight="1" x14ac:dyDescent="0.2">
      <c r="C1496" s="1" t="s">
        <v>698</v>
      </c>
      <c r="D1496" s="1" t="s">
        <v>334</v>
      </c>
      <c r="E1496" s="1">
        <v>1</v>
      </c>
      <c r="F1496" s="1">
        <v>17</v>
      </c>
      <c r="G1496" s="1">
        <v>17</v>
      </c>
      <c r="I1496" s="58" t="str">
        <f t="shared" si="23"/>
        <v>AAT Tree Services</v>
      </c>
    </row>
    <row r="1497" spans="2:9" ht="15.75" customHeight="1" x14ac:dyDescent="0.2">
      <c r="D1497" s="1" t="s">
        <v>340</v>
      </c>
      <c r="E1497" s="1">
        <v>1</v>
      </c>
      <c r="F1497" s="1">
        <v>7</v>
      </c>
      <c r="G1497" s="1">
        <v>7</v>
      </c>
      <c r="I1497" s="58" t="str">
        <f t="shared" si="23"/>
        <v>AAT Tree Services</v>
      </c>
    </row>
    <row r="1498" spans="2:9" ht="15.75" customHeight="1" x14ac:dyDescent="0.2">
      <c r="D1498" s="1" t="s">
        <v>336</v>
      </c>
      <c r="E1498" s="1">
        <v>1</v>
      </c>
      <c r="F1498" s="1">
        <v>6</v>
      </c>
      <c r="G1498" s="1">
        <v>6</v>
      </c>
      <c r="I1498" s="58" t="str">
        <f t="shared" si="23"/>
        <v>AAT Tree Services</v>
      </c>
    </row>
    <row r="1499" spans="2:9" ht="15.75" customHeight="1" x14ac:dyDescent="0.2">
      <c r="D1499" s="1" t="s">
        <v>337</v>
      </c>
      <c r="E1499" s="1">
        <v>1</v>
      </c>
      <c r="F1499" s="1">
        <v>4</v>
      </c>
      <c r="G1499" s="1">
        <v>4</v>
      </c>
      <c r="I1499" s="58" t="str">
        <f t="shared" si="23"/>
        <v>AAT Tree Services</v>
      </c>
    </row>
    <row r="1500" spans="2:9" ht="15.75" customHeight="1" x14ac:dyDescent="0.2">
      <c r="B1500" s="1" t="s">
        <v>70</v>
      </c>
      <c r="C1500" s="1" t="s">
        <v>334</v>
      </c>
      <c r="E1500" s="1">
        <v>1</v>
      </c>
      <c r="F1500" s="1">
        <v>36</v>
      </c>
      <c r="G1500" s="1">
        <v>36</v>
      </c>
      <c r="H1500" s="57">
        <v>45546</v>
      </c>
      <c r="I1500" s="58" t="str">
        <f t="shared" si="23"/>
        <v>Austin Tree Care LTD</v>
      </c>
    </row>
    <row r="1501" spans="2:9" ht="15.75" customHeight="1" x14ac:dyDescent="0.2">
      <c r="C1501" s="1" t="s">
        <v>699</v>
      </c>
      <c r="D1501" s="1" t="s">
        <v>334</v>
      </c>
      <c r="E1501" s="1">
        <v>1</v>
      </c>
      <c r="F1501" s="1">
        <v>4</v>
      </c>
      <c r="G1501" s="1">
        <v>4</v>
      </c>
      <c r="I1501" s="58" t="str">
        <f t="shared" si="23"/>
        <v>Austin Tree Care LTD</v>
      </c>
    </row>
    <row r="1502" spans="2:9" ht="15.75" customHeight="1" x14ac:dyDescent="0.2">
      <c r="D1502" s="1" t="s">
        <v>343</v>
      </c>
      <c r="E1502" s="1">
        <v>1</v>
      </c>
      <c r="F1502" s="1">
        <v>4</v>
      </c>
      <c r="G1502" s="1">
        <v>4</v>
      </c>
      <c r="I1502" s="58" t="str">
        <f t="shared" si="23"/>
        <v>Austin Tree Care LTD</v>
      </c>
    </row>
    <row r="1503" spans="2:9" ht="15.75" customHeight="1" x14ac:dyDescent="0.2">
      <c r="C1503" s="1" t="s">
        <v>700</v>
      </c>
      <c r="D1503" s="1" t="s">
        <v>334</v>
      </c>
      <c r="E1503" s="1">
        <v>1</v>
      </c>
      <c r="F1503" s="1">
        <v>17</v>
      </c>
      <c r="G1503" s="1">
        <v>17</v>
      </c>
      <c r="I1503" s="58" t="str">
        <f t="shared" si="23"/>
        <v>Austin Tree Care LTD</v>
      </c>
    </row>
    <row r="1504" spans="2:9" ht="15.75" customHeight="1" x14ac:dyDescent="0.2">
      <c r="D1504" s="1" t="s">
        <v>340</v>
      </c>
      <c r="E1504" s="1">
        <v>1</v>
      </c>
      <c r="F1504" s="1">
        <v>7</v>
      </c>
      <c r="G1504" s="1">
        <v>7</v>
      </c>
      <c r="I1504" s="58" t="str">
        <f t="shared" si="23"/>
        <v>Austin Tree Care LTD</v>
      </c>
    </row>
    <row r="1505" spans="2:9" ht="15.75" customHeight="1" x14ac:dyDescent="0.2">
      <c r="D1505" s="1" t="s">
        <v>336</v>
      </c>
      <c r="E1505" s="1">
        <v>1</v>
      </c>
      <c r="F1505" s="1">
        <v>6</v>
      </c>
      <c r="G1505" s="1">
        <v>6</v>
      </c>
      <c r="I1505" s="58" t="str">
        <f t="shared" si="23"/>
        <v>Austin Tree Care LTD</v>
      </c>
    </row>
    <row r="1506" spans="2:9" ht="15.75" customHeight="1" x14ac:dyDescent="0.2">
      <c r="D1506" s="1" t="s">
        <v>337</v>
      </c>
      <c r="E1506" s="1">
        <v>1</v>
      </c>
      <c r="F1506" s="1">
        <v>4</v>
      </c>
      <c r="G1506" s="1">
        <v>4</v>
      </c>
      <c r="I1506" s="58" t="str">
        <f t="shared" si="23"/>
        <v>Austin Tree Care LTD</v>
      </c>
    </row>
    <row r="1507" spans="2:9" ht="15.75" customHeight="1" x14ac:dyDescent="0.2">
      <c r="C1507" s="1" t="s">
        <v>701</v>
      </c>
      <c r="D1507" s="1" t="s">
        <v>334</v>
      </c>
      <c r="E1507" s="1">
        <v>1</v>
      </c>
      <c r="F1507" s="1">
        <v>15</v>
      </c>
      <c r="G1507" s="1">
        <v>15</v>
      </c>
      <c r="I1507" s="58" t="str">
        <f t="shared" si="23"/>
        <v>Austin Tree Care LTD</v>
      </c>
    </row>
    <row r="1508" spans="2:9" ht="15.75" customHeight="1" x14ac:dyDescent="0.2">
      <c r="D1508" s="1" t="s">
        <v>336</v>
      </c>
      <c r="E1508" s="1">
        <v>1</v>
      </c>
      <c r="F1508" s="1">
        <v>6</v>
      </c>
      <c r="G1508" s="1">
        <v>6</v>
      </c>
      <c r="I1508" s="58" t="str">
        <f t="shared" si="23"/>
        <v>Austin Tree Care LTD</v>
      </c>
    </row>
    <row r="1509" spans="2:9" ht="15.75" customHeight="1" x14ac:dyDescent="0.2">
      <c r="D1509" s="1" t="s">
        <v>337</v>
      </c>
      <c r="E1509" s="1">
        <v>1</v>
      </c>
      <c r="F1509" s="1">
        <v>4</v>
      </c>
      <c r="G1509" s="1">
        <v>4</v>
      </c>
      <c r="I1509" s="58" t="str">
        <f t="shared" si="23"/>
        <v>Austin Tree Care LTD</v>
      </c>
    </row>
    <row r="1510" spans="2:9" ht="15.75" customHeight="1" x14ac:dyDescent="0.2">
      <c r="D1510" s="1" t="s">
        <v>338</v>
      </c>
      <c r="E1510" s="1">
        <v>1</v>
      </c>
      <c r="F1510" s="1">
        <v>5</v>
      </c>
      <c r="G1510" s="1">
        <v>5</v>
      </c>
      <c r="I1510" s="58" t="str">
        <f t="shared" si="23"/>
        <v>Austin Tree Care LTD</v>
      </c>
    </row>
    <row r="1511" spans="2:9" ht="15.75" customHeight="1" x14ac:dyDescent="0.2">
      <c r="B1511" s="1" t="s">
        <v>112</v>
      </c>
      <c r="C1511" s="1" t="s">
        <v>334</v>
      </c>
      <c r="E1511" s="1">
        <v>1</v>
      </c>
      <c r="F1511" s="1">
        <v>55</v>
      </c>
      <c r="G1511" s="1">
        <v>55</v>
      </c>
      <c r="H1511" s="57">
        <v>45510</v>
      </c>
      <c r="I1511" s="58" t="str">
        <f t="shared" si="23"/>
        <v>High Branch</v>
      </c>
    </row>
    <row r="1512" spans="2:9" ht="15.75" customHeight="1" x14ac:dyDescent="0.2">
      <c r="C1512" s="1" t="s">
        <v>702</v>
      </c>
      <c r="D1512" s="1" t="s">
        <v>334</v>
      </c>
      <c r="E1512" s="1">
        <v>1</v>
      </c>
      <c r="F1512" s="1">
        <v>17</v>
      </c>
      <c r="G1512" s="1">
        <v>17</v>
      </c>
      <c r="I1512" s="58" t="str">
        <f t="shared" si="23"/>
        <v>High Branch</v>
      </c>
    </row>
    <row r="1513" spans="2:9" ht="15.75" customHeight="1" x14ac:dyDescent="0.2">
      <c r="D1513" s="1" t="s">
        <v>340</v>
      </c>
      <c r="E1513" s="1">
        <v>1</v>
      </c>
      <c r="F1513" s="1">
        <v>7</v>
      </c>
      <c r="G1513" s="1">
        <v>7</v>
      </c>
      <c r="I1513" s="58" t="str">
        <f t="shared" si="23"/>
        <v>High Branch</v>
      </c>
    </row>
    <row r="1514" spans="2:9" ht="15.75" customHeight="1" x14ac:dyDescent="0.2">
      <c r="D1514" s="1" t="s">
        <v>336</v>
      </c>
      <c r="E1514" s="1">
        <v>1</v>
      </c>
      <c r="F1514" s="1">
        <v>6</v>
      </c>
      <c r="G1514" s="1">
        <v>6</v>
      </c>
      <c r="I1514" s="58" t="str">
        <f t="shared" si="23"/>
        <v>High Branch</v>
      </c>
    </row>
    <row r="1515" spans="2:9" ht="15.75" customHeight="1" x14ac:dyDescent="0.2">
      <c r="D1515" s="1" t="s">
        <v>337</v>
      </c>
      <c r="E1515" s="1">
        <v>1</v>
      </c>
      <c r="F1515" s="1">
        <v>4</v>
      </c>
      <c r="G1515" s="1">
        <v>4</v>
      </c>
      <c r="I1515" s="58" t="str">
        <f t="shared" si="23"/>
        <v>High Branch</v>
      </c>
    </row>
    <row r="1516" spans="2:9" ht="15.75" customHeight="1" x14ac:dyDescent="0.2">
      <c r="C1516" s="1" t="s">
        <v>703</v>
      </c>
      <c r="D1516" s="1" t="s">
        <v>334</v>
      </c>
      <c r="E1516" s="1">
        <v>1</v>
      </c>
      <c r="F1516" s="1">
        <v>4</v>
      </c>
      <c r="G1516" s="1">
        <v>4</v>
      </c>
      <c r="I1516" s="58" t="str">
        <f t="shared" si="23"/>
        <v>High Branch</v>
      </c>
    </row>
    <row r="1517" spans="2:9" ht="15.75" customHeight="1" x14ac:dyDescent="0.2">
      <c r="D1517" s="1" t="s">
        <v>343</v>
      </c>
      <c r="E1517" s="1">
        <v>1</v>
      </c>
      <c r="F1517" s="1">
        <v>4</v>
      </c>
      <c r="G1517" s="1">
        <v>4</v>
      </c>
      <c r="I1517" s="58" t="str">
        <f t="shared" si="23"/>
        <v>High Branch</v>
      </c>
    </row>
    <row r="1518" spans="2:9" ht="15.75" customHeight="1" x14ac:dyDescent="0.2">
      <c r="C1518" s="1" t="s">
        <v>704</v>
      </c>
      <c r="D1518" s="1" t="s">
        <v>334</v>
      </c>
      <c r="E1518" s="1">
        <v>1</v>
      </c>
      <c r="F1518" s="1">
        <v>17</v>
      </c>
      <c r="G1518" s="1">
        <v>17</v>
      </c>
      <c r="I1518" s="58" t="str">
        <f t="shared" si="23"/>
        <v>High Branch</v>
      </c>
    </row>
    <row r="1519" spans="2:9" ht="15.75" customHeight="1" x14ac:dyDescent="0.2">
      <c r="D1519" s="1" t="s">
        <v>340</v>
      </c>
      <c r="E1519" s="1">
        <v>1</v>
      </c>
      <c r="F1519" s="1">
        <v>7</v>
      </c>
      <c r="G1519" s="1">
        <v>7</v>
      </c>
      <c r="I1519" s="58" t="str">
        <f t="shared" si="23"/>
        <v>High Branch</v>
      </c>
    </row>
    <row r="1520" spans="2:9" ht="15.75" customHeight="1" x14ac:dyDescent="0.2">
      <c r="D1520" s="1" t="s">
        <v>336</v>
      </c>
      <c r="E1520" s="1">
        <v>1</v>
      </c>
      <c r="F1520" s="1">
        <v>6</v>
      </c>
      <c r="G1520" s="1">
        <v>6</v>
      </c>
      <c r="I1520" s="58" t="str">
        <f t="shared" si="23"/>
        <v>High Branch</v>
      </c>
    </row>
    <row r="1521" spans="2:9" ht="15.75" customHeight="1" x14ac:dyDescent="0.2">
      <c r="D1521" s="1" t="s">
        <v>337</v>
      </c>
      <c r="E1521" s="1">
        <v>1</v>
      </c>
      <c r="F1521" s="1">
        <v>4</v>
      </c>
      <c r="G1521" s="1">
        <v>4</v>
      </c>
      <c r="I1521" s="58" t="str">
        <f t="shared" si="23"/>
        <v>High Branch</v>
      </c>
    </row>
    <row r="1522" spans="2:9" ht="15.75" customHeight="1" x14ac:dyDescent="0.2">
      <c r="C1522" s="1" t="s">
        <v>705</v>
      </c>
      <c r="D1522" s="1" t="s">
        <v>334</v>
      </c>
      <c r="E1522" s="1">
        <v>1</v>
      </c>
      <c r="F1522" s="1">
        <v>17</v>
      </c>
      <c r="G1522" s="1">
        <v>17</v>
      </c>
      <c r="I1522" s="58" t="str">
        <f t="shared" si="23"/>
        <v>High Branch</v>
      </c>
    </row>
    <row r="1523" spans="2:9" ht="15.75" customHeight="1" x14ac:dyDescent="0.2">
      <c r="D1523" s="1" t="s">
        <v>340</v>
      </c>
      <c r="E1523" s="1">
        <v>1</v>
      </c>
      <c r="F1523" s="1">
        <v>7</v>
      </c>
      <c r="G1523" s="1">
        <v>7</v>
      </c>
      <c r="I1523" s="58" t="str">
        <f t="shared" si="23"/>
        <v>High Branch</v>
      </c>
    </row>
    <row r="1524" spans="2:9" ht="15.75" customHeight="1" x14ac:dyDescent="0.2">
      <c r="D1524" s="1" t="s">
        <v>336</v>
      </c>
      <c r="E1524" s="1">
        <v>1</v>
      </c>
      <c r="F1524" s="1">
        <v>6</v>
      </c>
      <c r="G1524" s="1">
        <v>6</v>
      </c>
      <c r="I1524" s="58" t="str">
        <f t="shared" si="23"/>
        <v>High Branch</v>
      </c>
    </row>
    <row r="1525" spans="2:9" ht="15.75" customHeight="1" x14ac:dyDescent="0.2">
      <c r="D1525" s="1" t="s">
        <v>337</v>
      </c>
      <c r="E1525" s="1">
        <v>1</v>
      </c>
      <c r="F1525" s="1">
        <v>4</v>
      </c>
      <c r="G1525" s="1">
        <v>4</v>
      </c>
      <c r="I1525" s="58" t="str">
        <f t="shared" si="23"/>
        <v>High Branch</v>
      </c>
    </row>
    <row r="1526" spans="2:9" ht="15.75" customHeight="1" x14ac:dyDescent="0.2">
      <c r="B1526" s="1" t="s">
        <v>215</v>
      </c>
      <c r="C1526" s="1" t="s">
        <v>334</v>
      </c>
      <c r="E1526" s="1">
        <v>1</v>
      </c>
      <c r="F1526" s="1">
        <v>38</v>
      </c>
      <c r="G1526" s="1">
        <v>38</v>
      </c>
      <c r="H1526" s="57">
        <v>46094</v>
      </c>
      <c r="I1526" s="58" t="str">
        <f t="shared" si="23"/>
        <v>Tree Flex Ltd</v>
      </c>
    </row>
    <row r="1527" spans="2:9" ht="15.75" customHeight="1" x14ac:dyDescent="0.2">
      <c r="C1527" s="1" t="s">
        <v>706</v>
      </c>
      <c r="D1527" s="1" t="s">
        <v>334</v>
      </c>
      <c r="E1527" s="1">
        <v>1</v>
      </c>
      <c r="F1527" s="1">
        <v>17</v>
      </c>
      <c r="G1527" s="1">
        <v>17</v>
      </c>
      <c r="I1527" s="58" t="str">
        <f t="shared" si="23"/>
        <v>Tree Flex Ltd</v>
      </c>
    </row>
    <row r="1528" spans="2:9" ht="15.75" customHeight="1" x14ac:dyDescent="0.2">
      <c r="D1528" s="1" t="s">
        <v>340</v>
      </c>
      <c r="E1528" s="1">
        <v>1</v>
      </c>
      <c r="F1528" s="1">
        <v>7</v>
      </c>
      <c r="G1528" s="1">
        <v>7</v>
      </c>
      <c r="I1528" s="58" t="str">
        <f t="shared" si="23"/>
        <v>Tree Flex Ltd</v>
      </c>
    </row>
    <row r="1529" spans="2:9" ht="15.75" customHeight="1" x14ac:dyDescent="0.2">
      <c r="D1529" s="1" t="s">
        <v>336</v>
      </c>
      <c r="E1529" s="1">
        <v>1</v>
      </c>
      <c r="F1529" s="1">
        <v>6</v>
      </c>
      <c r="G1529" s="1">
        <v>6</v>
      </c>
      <c r="I1529" s="58" t="str">
        <f t="shared" si="23"/>
        <v>Tree Flex Ltd</v>
      </c>
    </row>
    <row r="1530" spans="2:9" ht="15.75" customHeight="1" x14ac:dyDescent="0.2">
      <c r="D1530" s="1" t="s">
        <v>337</v>
      </c>
      <c r="E1530" s="1">
        <v>1</v>
      </c>
      <c r="F1530" s="1">
        <v>4</v>
      </c>
      <c r="G1530" s="1">
        <v>4</v>
      </c>
      <c r="I1530" s="58" t="str">
        <f t="shared" si="23"/>
        <v>Tree Flex Ltd</v>
      </c>
    </row>
    <row r="1531" spans="2:9" ht="15.75" customHeight="1" x14ac:dyDescent="0.2">
      <c r="C1531" s="1" t="s">
        <v>707</v>
      </c>
      <c r="D1531" s="1" t="s">
        <v>334</v>
      </c>
      <c r="E1531" s="1">
        <v>1</v>
      </c>
      <c r="F1531" s="1">
        <v>17</v>
      </c>
      <c r="G1531" s="1">
        <v>17</v>
      </c>
      <c r="I1531" s="58" t="str">
        <f t="shared" si="23"/>
        <v>Tree Flex Ltd</v>
      </c>
    </row>
    <row r="1532" spans="2:9" ht="15.75" customHeight="1" x14ac:dyDescent="0.2">
      <c r="D1532" s="1" t="s">
        <v>340</v>
      </c>
      <c r="E1532" s="1">
        <v>1</v>
      </c>
      <c r="F1532" s="1">
        <v>7</v>
      </c>
      <c r="G1532" s="1">
        <v>7</v>
      </c>
      <c r="I1532" s="58" t="str">
        <f t="shared" si="23"/>
        <v>Tree Flex Ltd</v>
      </c>
    </row>
    <row r="1533" spans="2:9" ht="15.75" customHeight="1" x14ac:dyDescent="0.2">
      <c r="D1533" s="1" t="s">
        <v>336</v>
      </c>
      <c r="E1533" s="1">
        <v>1</v>
      </c>
      <c r="F1533" s="1">
        <v>6</v>
      </c>
      <c r="G1533" s="1">
        <v>6</v>
      </c>
      <c r="I1533" s="58" t="str">
        <f t="shared" si="23"/>
        <v>Tree Flex Ltd</v>
      </c>
    </row>
    <row r="1534" spans="2:9" ht="15.75" customHeight="1" x14ac:dyDescent="0.2">
      <c r="D1534" s="1" t="s">
        <v>337</v>
      </c>
      <c r="E1534" s="1">
        <v>1</v>
      </c>
      <c r="F1534" s="1">
        <v>4</v>
      </c>
      <c r="G1534" s="1">
        <v>4</v>
      </c>
      <c r="I1534" s="58" t="str">
        <f t="shared" si="23"/>
        <v>Tree Flex Ltd</v>
      </c>
    </row>
    <row r="1535" spans="2:9" ht="15.75" customHeight="1" x14ac:dyDescent="0.2">
      <c r="C1535" s="1" t="s">
        <v>708</v>
      </c>
      <c r="D1535" s="1" t="s">
        <v>334</v>
      </c>
      <c r="E1535" s="1">
        <v>1</v>
      </c>
      <c r="F1535" s="1">
        <v>4</v>
      </c>
      <c r="G1535" s="1">
        <v>4</v>
      </c>
      <c r="I1535" s="58" t="str">
        <f t="shared" si="23"/>
        <v>Tree Flex Ltd</v>
      </c>
    </row>
    <row r="1536" spans="2:9" ht="15.75" customHeight="1" x14ac:dyDescent="0.2">
      <c r="D1536" s="1" t="s">
        <v>343</v>
      </c>
      <c r="E1536" s="1">
        <v>1</v>
      </c>
      <c r="F1536" s="1">
        <v>4</v>
      </c>
      <c r="G1536" s="1">
        <v>4</v>
      </c>
      <c r="I1536" s="58" t="str">
        <f t="shared" si="23"/>
        <v>Tree Flex Ltd</v>
      </c>
    </row>
    <row r="1537" spans="2:9" ht="15.75" customHeight="1" x14ac:dyDescent="0.2">
      <c r="B1537" s="1" t="s">
        <v>90</v>
      </c>
      <c r="C1537" s="1" t="s">
        <v>334</v>
      </c>
      <c r="E1537" s="1">
        <v>1</v>
      </c>
      <c r="F1537" s="1">
        <v>38</v>
      </c>
      <c r="G1537" s="1">
        <v>38</v>
      </c>
      <c r="H1537" s="57">
        <v>45973</v>
      </c>
      <c r="I1537" s="58" t="str">
        <f t="shared" si="23"/>
        <v>Tree Tops Arborist</v>
      </c>
    </row>
    <row r="1538" spans="2:9" ht="15.75" customHeight="1" x14ac:dyDescent="0.2">
      <c r="C1538" s="1" t="s">
        <v>709</v>
      </c>
      <c r="D1538" s="1" t="s">
        <v>334</v>
      </c>
      <c r="E1538" s="1">
        <v>1</v>
      </c>
      <c r="F1538" s="1">
        <v>17</v>
      </c>
      <c r="G1538" s="1">
        <v>17</v>
      </c>
      <c r="I1538" s="58" t="str">
        <f t="shared" si="23"/>
        <v>Tree Tops Arborist</v>
      </c>
    </row>
    <row r="1539" spans="2:9" ht="15.75" customHeight="1" x14ac:dyDescent="0.2">
      <c r="D1539" s="1" t="s">
        <v>340</v>
      </c>
      <c r="E1539" s="1">
        <v>1</v>
      </c>
      <c r="F1539" s="1">
        <v>7</v>
      </c>
      <c r="G1539" s="1">
        <v>7</v>
      </c>
      <c r="I1539" s="58" t="str">
        <f t="shared" si="23"/>
        <v>Tree Tops Arborist</v>
      </c>
    </row>
    <row r="1540" spans="2:9" ht="15.75" customHeight="1" x14ac:dyDescent="0.2">
      <c r="D1540" s="1" t="s">
        <v>336</v>
      </c>
      <c r="E1540" s="1">
        <v>1</v>
      </c>
      <c r="F1540" s="1">
        <v>6</v>
      </c>
      <c r="G1540" s="1">
        <v>6</v>
      </c>
      <c r="I1540" s="58" t="str">
        <f t="shared" si="23"/>
        <v>Tree Tops Arborist</v>
      </c>
    </row>
    <row r="1541" spans="2:9" ht="15.75" customHeight="1" x14ac:dyDescent="0.2">
      <c r="D1541" s="1" t="s">
        <v>337</v>
      </c>
      <c r="E1541" s="1">
        <v>1</v>
      </c>
      <c r="F1541" s="1">
        <v>4</v>
      </c>
      <c r="G1541" s="1">
        <v>4</v>
      </c>
      <c r="I1541" s="58" t="str">
        <f t="shared" si="23"/>
        <v>Tree Tops Arborist</v>
      </c>
    </row>
    <row r="1542" spans="2:9" ht="15.75" customHeight="1" x14ac:dyDescent="0.2">
      <c r="C1542" s="1" t="s">
        <v>710</v>
      </c>
      <c r="D1542" s="1" t="s">
        <v>334</v>
      </c>
      <c r="E1542" s="1">
        <v>1</v>
      </c>
      <c r="F1542" s="1">
        <v>17</v>
      </c>
      <c r="G1542" s="1">
        <v>17</v>
      </c>
      <c r="I1542" s="58" t="str">
        <f t="shared" ref="I1542:I1547" si="24">IF(B1542&lt;&gt;"",B1542,I1541)</f>
        <v>Tree Tops Arborist</v>
      </c>
    </row>
    <row r="1543" spans="2:9" ht="15.75" customHeight="1" x14ac:dyDescent="0.2">
      <c r="D1543" s="1" t="s">
        <v>340</v>
      </c>
      <c r="E1543" s="1">
        <v>1</v>
      </c>
      <c r="F1543" s="1">
        <v>7</v>
      </c>
      <c r="G1543" s="1">
        <v>7</v>
      </c>
      <c r="I1543" s="58" t="str">
        <f t="shared" si="24"/>
        <v>Tree Tops Arborist</v>
      </c>
    </row>
    <row r="1544" spans="2:9" ht="15.75" customHeight="1" x14ac:dyDescent="0.2">
      <c r="D1544" s="1" t="s">
        <v>336</v>
      </c>
      <c r="E1544" s="1">
        <v>1</v>
      </c>
      <c r="F1544" s="1">
        <v>6</v>
      </c>
      <c r="G1544" s="1">
        <v>6</v>
      </c>
      <c r="I1544" s="58" t="str">
        <f t="shared" si="24"/>
        <v>Tree Tops Arborist</v>
      </c>
    </row>
    <row r="1545" spans="2:9" ht="15.75" customHeight="1" x14ac:dyDescent="0.2">
      <c r="D1545" s="1" t="s">
        <v>337</v>
      </c>
      <c r="E1545" s="1">
        <v>1</v>
      </c>
      <c r="F1545" s="1">
        <v>4</v>
      </c>
      <c r="G1545" s="1">
        <v>4</v>
      </c>
      <c r="I1545" s="58" t="str">
        <f t="shared" si="24"/>
        <v>Tree Tops Arborist</v>
      </c>
    </row>
    <row r="1546" spans="2:9" ht="15.75" customHeight="1" x14ac:dyDescent="0.2">
      <c r="C1546" s="1" t="s">
        <v>711</v>
      </c>
      <c r="D1546" s="1" t="s">
        <v>334</v>
      </c>
      <c r="E1546" s="1">
        <v>1</v>
      </c>
      <c r="F1546" s="1">
        <v>4</v>
      </c>
      <c r="G1546" s="1">
        <v>4</v>
      </c>
      <c r="I1546" s="58" t="str">
        <f t="shared" si="24"/>
        <v>Tree Tops Arborist</v>
      </c>
    </row>
    <row r="1547" spans="2:9" ht="15.75" customHeight="1" x14ac:dyDescent="0.2">
      <c r="D1547" s="1" t="s">
        <v>343</v>
      </c>
      <c r="E1547" s="1">
        <v>1</v>
      </c>
      <c r="F1547" s="1">
        <v>4</v>
      </c>
      <c r="G1547" s="1">
        <v>4</v>
      </c>
      <c r="I1547" s="58" t="str">
        <f t="shared" si="24"/>
        <v>Tree Tops Arborist</v>
      </c>
    </row>
    <row r="1548" spans="2:9" ht="15.75" customHeight="1" x14ac:dyDescent="0.2"/>
    <row r="1549" spans="2:9" ht="15.75" customHeight="1" x14ac:dyDescent="0.2"/>
    <row r="1550" spans="2:9" ht="15.75" customHeight="1" x14ac:dyDescent="0.2"/>
    <row r="1551" spans="2:9" ht="15.75" customHeight="1" x14ac:dyDescent="0.2"/>
    <row r="1552" spans="2:9" ht="15.75" customHeight="1" x14ac:dyDescent="0.2"/>
    <row r="1553" ht="15.75" customHeight="1" x14ac:dyDescent="0.2"/>
    <row r="1554" ht="15.75" customHeight="1" x14ac:dyDescent="0.2"/>
    <row r="1555" ht="15.75" customHeight="1" x14ac:dyDescent="0.2"/>
    <row r="1556" ht="15.75" customHeight="1" x14ac:dyDescent="0.2"/>
    <row r="1557" ht="15.75" customHeight="1" x14ac:dyDescent="0.2"/>
    <row r="1558" ht="15.75" customHeight="1" x14ac:dyDescent="0.2"/>
    <row r="1559" ht="15.75" customHeight="1" x14ac:dyDescent="0.2"/>
    <row r="1560" ht="15.75" customHeight="1" x14ac:dyDescent="0.2"/>
    <row r="1561" ht="15.75" customHeight="1" x14ac:dyDescent="0.2"/>
    <row r="1562" ht="15.75" customHeight="1" x14ac:dyDescent="0.2"/>
    <row r="1563" ht="15.75" customHeight="1" x14ac:dyDescent="0.2"/>
    <row r="1564" ht="15.75" customHeight="1" x14ac:dyDescent="0.2"/>
    <row r="1565" ht="15.75" customHeight="1" x14ac:dyDescent="0.2"/>
    <row r="1566" ht="15.75" customHeight="1" x14ac:dyDescent="0.2"/>
    <row r="1567" ht="15.75" customHeight="1" x14ac:dyDescent="0.2"/>
    <row r="1568" ht="15.75" customHeight="1" x14ac:dyDescent="0.2"/>
    <row r="1569" ht="15.75" customHeight="1" x14ac:dyDescent="0.2"/>
    <row r="1570" ht="15.75" customHeight="1" x14ac:dyDescent="0.2"/>
    <row r="1571" ht="15.75" customHeight="1" x14ac:dyDescent="0.2"/>
    <row r="1572" ht="15.75" customHeight="1" x14ac:dyDescent="0.2"/>
    <row r="1573" ht="15.75" customHeight="1" x14ac:dyDescent="0.2"/>
    <row r="1574" ht="15.75" customHeight="1" x14ac:dyDescent="0.2"/>
    <row r="1575" ht="15.75" customHeight="1" x14ac:dyDescent="0.2"/>
    <row r="1576" ht="15.75" customHeight="1" x14ac:dyDescent="0.2"/>
    <row r="1577" ht="15.75" customHeight="1" x14ac:dyDescent="0.2"/>
    <row r="1578" ht="15.75" customHeight="1" x14ac:dyDescent="0.2"/>
    <row r="1579" ht="15.75" customHeight="1" x14ac:dyDescent="0.2"/>
    <row r="1580" ht="15.75" customHeight="1" x14ac:dyDescent="0.2"/>
    <row r="1581" ht="15.75" customHeight="1" x14ac:dyDescent="0.2"/>
    <row r="1582" ht="15.75" customHeight="1" x14ac:dyDescent="0.2"/>
    <row r="1583" ht="15.75" customHeight="1" x14ac:dyDescent="0.2"/>
    <row r="1584" ht="15.75" customHeight="1" x14ac:dyDescent="0.2"/>
    <row r="1585" ht="15.75" customHeight="1" x14ac:dyDescent="0.2"/>
    <row r="1586" ht="15.75" customHeight="1" x14ac:dyDescent="0.2"/>
    <row r="1587" ht="15.75" customHeight="1" x14ac:dyDescent="0.2"/>
    <row r="1588" ht="15.75" customHeight="1" x14ac:dyDescent="0.2"/>
    <row r="1589" ht="15.75" customHeight="1" x14ac:dyDescent="0.2"/>
    <row r="1590" ht="15.75" customHeight="1" x14ac:dyDescent="0.2"/>
    <row r="1591" ht="15.75" customHeight="1" x14ac:dyDescent="0.2"/>
    <row r="1592" ht="15.75" customHeight="1" x14ac:dyDescent="0.2"/>
    <row r="1593" ht="15.75" customHeight="1" x14ac:dyDescent="0.2"/>
    <row r="1594" ht="15.75" customHeight="1" x14ac:dyDescent="0.2"/>
    <row r="1595" ht="15.75" customHeight="1" x14ac:dyDescent="0.2"/>
    <row r="1596" ht="15.75" customHeight="1" x14ac:dyDescent="0.2"/>
    <row r="1597" ht="15.75" customHeight="1" x14ac:dyDescent="0.2"/>
    <row r="1598" ht="15.75" customHeight="1" x14ac:dyDescent="0.2"/>
    <row r="1599" ht="15.75" customHeight="1" x14ac:dyDescent="0.2"/>
    <row r="1600" ht="15.75" customHeight="1" x14ac:dyDescent="0.2"/>
    <row r="1601" ht="15.75" customHeight="1" x14ac:dyDescent="0.2"/>
    <row r="1602" ht="15.75" customHeight="1" x14ac:dyDescent="0.2"/>
    <row r="1603" ht="15.75" customHeight="1" x14ac:dyDescent="0.2"/>
    <row r="1604" ht="15.75" customHeight="1" x14ac:dyDescent="0.2"/>
    <row r="1605" ht="15.75" customHeight="1" x14ac:dyDescent="0.2"/>
    <row r="1606" ht="15.75" customHeight="1" x14ac:dyDescent="0.2"/>
    <row r="1607" ht="15.75" customHeight="1" x14ac:dyDescent="0.2"/>
    <row r="1608" ht="15.75" customHeight="1" x14ac:dyDescent="0.2"/>
    <row r="1609" ht="15.75" customHeight="1" x14ac:dyDescent="0.2"/>
    <row r="1610" ht="15.75" customHeight="1" x14ac:dyDescent="0.2"/>
    <row r="1611" ht="15.75" customHeight="1" x14ac:dyDescent="0.2"/>
    <row r="1612" ht="15.75" customHeight="1" x14ac:dyDescent="0.2"/>
    <row r="1613" ht="15.75" customHeight="1" x14ac:dyDescent="0.2"/>
    <row r="1614" ht="15.75" customHeight="1" x14ac:dyDescent="0.2"/>
    <row r="1615" ht="15.75" customHeight="1" x14ac:dyDescent="0.2"/>
    <row r="1616" ht="15.75" customHeight="1" x14ac:dyDescent="0.2"/>
    <row r="1617" ht="15.75" customHeight="1" x14ac:dyDescent="0.2"/>
    <row r="1618" ht="15.75" customHeight="1" x14ac:dyDescent="0.2"/>
    <row r="1619" ht="15.75" customHeight="1" x14ac:dyDescent="0.2"/>
    <row r="1620" ht="15.75" customHeight="1" x14ac:dyDescent="0.2"/>
    <row r="1621" ht="15.75" customHeight="1" x14ac:dyDescent="0.2"/>
    <row r="1622" ht="15.75" customHeight="1" x14ac:dyDescent="0.2"/>
    <row r="1623" ht="15.75" customHeight="1" x14ac:dyDescent="0.2"/>
    <row r="1624" ht="15.75" customHeight="1" x14ac:dyDescent="0.2"/>
    <row r="1625" ht="15.75" customHeight="1" x14ac:dyDescent="0.2"/>
    <row r="1626" ht="15.75" customHeight="1" x14ac:dyDescent="0.2"/>
    <row r="1627" ht="15.75" customHeight="1" x14ac:dyDescent="0.2"/>
    <row r="1628" ht="15.75" customHeight="1" x14ac:dyDescent="0.2"/>
    <row r="1629" ht="15.75" customHeight="1" x14ac:dyDescent="0.2"/>
    <row r="1630" ht="15.75" customHeight="1" x14ac:dyDescent="0.2"/>
    <row r="1631" ht="15.75" customHeight="1" x14ac:dyDescent="0.2"/>
    <row r="1632" ht="15.75" customHeight="1" x14ac:dyDescent="0.2"/>
    <row r="1633" ht="15.75" customHeight="1" x14ac:dyDescent="0.2"/>
    <row r="1634" ht="15.75" customHeight="1" x14ac:dyDescent="0.2"/>
    <row r="1635" ht="15.75" customHeight="1" x14ac:dyDescent="0.2"/>
    <row r="1636" ht="15.75" customHeight="1" x14ac:dyDescent="0.2"/>
    <row r="1637" ht="15.75" customHeight="1" x14ac:dyDescent="0.2"/>
    <row r="1638" ht="15.75" customHeight="1" x14ac:dyDescent="0.2"/>
    <row r="1639" ht="15.75" customHeight="1" x14ac:dyDescent="0.2"/>
    <row r="1640" ht="15.75" customHeight="1" x14ac:dyDescent="0.2"/>
    <row r="1641" ht="15.75" customHeight="1" x14ac:dyDescent="0.2"/>
    <row r="1642" ht="15.75" customHeight="1" x14ac:dyDescent="0.2"/>
    <row r="1643" ht="15.75" customHeight="1" x14ac:dyDescent="0.2"/>
    <row r="1644" ht="15.75" customHeight="1" x14ac:dyDescent="0.2"/>
    <row r="1645" ht="15.75" customHeight="1" x14ac:dyDescent="0.2"/>
    <row r="1646" ht="15.75" customHeight="1" x14ac:dyDescent="0.2"/>
    <row r="1647" ht="15.75" customHeight="1" x14ac:dyDescent="0.2"/>
    <row r="1648" ht="15.75" customHeight="1" x14ac:dyDescent="0.2"/>
    <row r="1649" ht="15.75" customHeight="1" x14ac:dyDescent="0.2"/>
    <row r="1650" ht="15.75" customHeight="1" x14ac:dyDescent="0.2"/>
    <row r="1651" ht="15.75" customHeight="1" x14ac:dyDescent="0.2"/>
    <row r="1652" ht="15.75" customHeight="1" x14ac:dyDescent="0.2"/>
    <row r="1653" ht="15.75" customHeight="1" x14ac:dyDescent="0.2"/>
    <row r="1654" ht="15.75" customHeight="1" x14ac:dyDescent="0.2"/>
    <row r="1655" ht="15.75" customHeight="1" x14ac:dyDescent="0.2"/>
    <row r="1656" ht="15.75" customHeight="1" x14ac:dyDescent="0.2"/>
    <row r="1657" ht="15.75" customHeight="1" x14ac:dyDescent="0.2"/>
    <row r="1658" ht="15.75" customHeight="1" x14ac:dyDescent="0.2"/>
    <row r="1659" ht="15.75" customHeight="1" x14ac:dyDescent="0.2"/>
    <row r="1660" ht="15.75" customHeight="1" x14ac:dyDescent="0.2"/>
    <row r="1661" ht="15.75" customHeight="1" x14ac:dyDescent="0.2"/>
    <row r="1662" ht="15.75" customHeight="1" x14ac:dyDescent="0.2"/>
    <row r="1663" ht="15.75" customHeight="1" x14ac:dyDescent="0.2"/>
    <row r="1664" ht="15.75" customHeight="1" x14ac:dyDescent="0.2"/>
    <row r="1665" ht="15.75" customHeight="1" x14ac:dyDescent="0.2"/>
    <row r="1666" ht="15.75" customHeight="1" x14ac:dyDescent="0.2"/>
    <row r="1667" ht="15.75" customHeight="1" x14ac:dyDescent="0.2"/>
    <row r="1668" ht="15.75" customHeight="1" x14ac:dyDescent="0.2"/>
    <row r="1669" ht="15.75" customHeight="1" x14ac:dyDescent="0.2"/>
    <row r="1670" ht="15.75" customHeight="1" x14ac:dyDescent="0.2"/>
    <row r="1671" ht="15.75" customHeight="1" x14ac:dyDescent="0.2"/>
    <row r="1672" ht="15.75" customHeight="1" x14ac:dyDescent="0.2"/>
    <row r="1673" ht="15.75" customHeight="1" x14ac:dyDescent="0.2"/>
    <row r="1674" ht="15.75" customHeight="1" x14ac:dyDescent="0.2"/>
    <row r="1675" ht="15.75" customHeight="1" x14ac:dyDescent="0.2"/>
    <row r="1676" ht="15.75" customHeight="1" x14ac:dyDescent="0.2"/>
    <row r="1677" ht="15.75" customHeight="1" x14ac:dyDescent="0.2"/>
    <row r="1678" ht="15.75" customHeight="1" x14ac:dyDescent="0.2"/>
    <row r="1679" ht="15.75" customHeight="1" x14ac:dyDescent="0.2"/>
    <row r="1680" ht="15.75" customHeight="1" x14ac:dyDescent="0.2"/>
    <row r="1681" ht="15.75" customHeight="1" x14ac:dyDescent="0.2"/>
    <row r="1682" ht="15.75" customHeight="1" x14ac:dyDescent="0.2"/>
    <row r="1683" ht="15.75" customHeight="1" x14ac:dyDescent="0.2"/>
    <row r="1684" ht="15.75" customHeight="1" x14ac:dyDescent="0.2"/>
    <row r="1685" ht="15.75" customHeight="1" x14ac:dyDescent="0.2"/>
    <row r="1686" ht="15.75" customHeight="1" x14ac:dyDescent="0.2"/>
    <row r="1687" ht="15.75" customHeight="1" x14ac:dyDescent="0.2"/>
    <row r="1688" ht="15.75" customHeight="1" x14ac:dyDescent="0.2"/>
    <row r="1689" ht="15.75" customHeight="1" x14ac:dyDescent="0.2"/>
    <row r="1690" ht="15.75" customHeight="1" x14ac:dyDescent="0.2"/>
    <row r="1691" ht="15.75" customHeight="1" x14ac:dyDescent="0.2"/>
    <row r="1692" ht="15.75" customHeight="1" x14ac:dyDescent="0.2"/>
    <row r="1693" ht="15.75" customHeight="1" x14ac:dyDescent="0.2"/>
    <row r="1694" ht="15.75" customHeight="1" x14ac:dyDescent="0.2"/>
    <row r="1695" ht="15.75" customHeight="1" x14ac:dyDescent="0.2"/>
    <row r="1696" ht="15.75" customHeight="1" x14ac:dyDescent="0.2"/>
    <row r="1697" ht="15.75" customHeight="1" x14ac:dyDescent="0.2"/>
    <row r="1698" ht="15.75" customHeight="1" x14ac:dyDescent="0.2"/>
    <row r="1699" ht="15.75" customHeight="1" x14ac:dyDescent="0.2"/>
    <row r="1700" ht="15.75" customHeight="1" x14ac:dyDescent="0.2"/>
    <row r="1701" ht="15.75" customHeight="1" x14ac:dyDescent="0.2"/>
    <row r="1702" ht="15.75" customHeight="1" x14ac:dyDescent="0.2"/>
    <row r="1703" ht="15.75" customHeight="1" x14ac:dyDescent="0.2"/>
    <row r="1704" ht="15.75" customHeight="1" x14ac:dyDescent="0.2"/>
    <row r="1705" ht="15.75" customHeight="1" x14ac:dyDescent="0.2"/>
    <row r="1706" ht="15.75" customHeight="1" x14ac:dyDescent="0.2"/>
    <row r="1707" ht="15.75" customHeight="1" x14ac:dyDescent="0.2"/>
    <row r="1708" ht="15.75" customHeight="1" x14ac:dyDescent="0.2"/>
    <row r="1709" ht="15.75" customHeight="1" x14ac:dyDescent="0.2"/>
    <row r="1710" ht="15.75" customHeight="1" x14ac:dyDescent="0.2"/>
    <row r="1711" ht="15.75" customHeight="1" x14ac:dyDescent="0.2"/>
    <row r="1712" ht="15.75" customHeight="1" x14ac:dyDescent="0.2"/>
    <row r="1713" ht="15.75" customHeight="1" x14ac:dyDescent="0.2"/>
    <row r="1714" ht="15.75" customHeight="1" x14ac:dyDescent="0.2"/>
    <row r="1715" ht="15.75" customHeight="1" x14ac:dyDescent="0.2"/>
    <row r="1716" ht="15.75" customHeight="1" x14ac:dyDescent="0.2"/>
    <row r="1717" ht="15.75" customHeight="1" x14ac:dyDescent="0.2"/>
    <row r="1718" ht="15.75" customHeight="1" x14ac:dyDescent="0.2"/>
    <row r="1719" ht="15.75" customHeight="1" x14ac:dyDescent="0.2"/>
    <row r="1720" ht="15.75" customHeight="1" x14ac:dyDescent="0.2"/>
    <row r="1721" ht="15.75" customHeight="1" x14ac:dyDescent="0.2"/>
    <row r="1722" ht="15.75" customHeight="1" x14ac:dyDescent="0.2"/>
    <row r="1723" ht="15.75" customHeight="1" x14ac:dyDescent="0.2"/>
    <row r="1724" ht="15.75" customHeight="1" x14ac:dyDescent="0.2"/>
    <row r="1725" ht="15.75" customHeight="1" x14ac:dyDescent="0.2"/>
    <row r="1726" ht="15.75" customHeight="1" x14ac:dyDescent="0.2"/>
    <row r="1727" ht="15.75" customHeight="1" x14ac:dyDescent="0.2"/>
    <row r="1728" ht="15.75" customHeight="1" x14ac:dyDescent="0.2"/>
    <row r="1729" ht="15.75" customHeight="1" x14ac:dyDescent="0.2"/>
    <row r="1730" ht="15.75" customHeight="1" x14ac:dyDescent="0.2"/>
    <row r="1731" ht="15.75" customHeight="1" x14ac:dyDescent="0.2"/>
    <row r="1732" ht="15.75" customHeight="1" x14ac:dyDescent="0.2"/>
    <row r="1733" ht="15.75" customHeight="1" x14ac:dyDescent="0.2"/>
    <row r="1734" ht="15.75" customHeight="1" x14ac:dyDescent="0.2"/>
    <row r="1735" ht="15.75" customHeight="1" x14ac:dyDescent="0.2"/>
    <row r="1736" ht="15.75" customHeight="1" x14ac:dyDescent="0.2"/>
    <row r="1737" ht="15.75" customHeight="1" x14ac:dyDescent="0.2"/>
    <row r="1738" ht="15.75" customHeight="1" x14ac:dyDescent="0.2"/>
    <row r="1739" ht="15.75" customHeight="1" x14ac:dyDescent="0.2"/>
    <row r="1740" ht="15.75" customHeight="1" x14ac:dyDescent="0.2"/>
    <row r="1741" ht="15.75" customHeight="1" x14ac:dyDescent="0.2"/>
    <row r="1742" ht="15.75" customHeight="1" x14ac:dyDescent="0.2"/>
    <row r="1743" ht="15.75" customHeight="1" x14ac:dyDescent="0.2"/>
    <row r="1744" ht="15.75" customHeight="1" x14ac:dyDescent="0.2"/>
    <row r="1745" ht="15.75" customHeight="1" x14ac:dyDescent="0.2"/>
    <row r="1746" ht="15.75" customHeight="1" x14ac:dyDescent="0.2"/>
    <row r="1747" ht="15.75" customHeight="1" x14ac:dyDescent="0.2"/>
    <row r="1748" ht="15.75" customHeight="1" x14ac:dyDescent="0.2"/>
    <row r="1749" ht="15.75" customHeight="1" x14ac:dyDescent="0.2"/>
    <row r="1750" ht="15.75" customHeight="1" x14ac:dyDescent="0.2"/>
    <row r="1751" ht="15.75" customHeight="1" x14ac:dyDescent="0.2"/>
    <row r="1752" ht="15.75" customHeight="1" x14ac:dyDescent="0.2"/>
    <row r="1753" ht="15.75" customHeight="1" x14ac:dyDescent="0.2"/>
    <row r="1754" ht="15.75" customHeight="1" x14ac:dyDescent="0.2"/>
    <row r="1755" ht="15.75" customHeight="1" x14ac:dyDescent="0.2"/>
    <row r="1756" ht="15.75" customHeight="1" x14ac:dyDescent="0.2"/>
    <row r="1757" ht="15.75" customHeight="1" x14ac:dyDescent="0.2"/>
    <row r="1758" ht="15.75" customHeight="1" x14ac:dyDescent="0.2"/>
    <row r="1759" ht="15.75" customHeight="1" x14ac:dyDescent="0.2"/>
    <row r="1760" ht="15.75" customHeight="1" x14ac:dyDescent="0.2"/>
    <row r="1761" ht="15.75" customHeight="1" x14ac:dyDescent="0.2"/>
    <row r="1762" ht="15.75" customHeight="1" x14ac:dyDescent="0.2"/>
    <row r="1763" ht="15.75" customHeight="1" x14ac:dyDescent="0.2"/>
    <row r="1764" ht="15.75" customHeight="1" x14ac:dyDescent="0.2"/>
    <row r="1765" ht="15.75" customHeight="1" x14ac:dyDescent="0.2"/>
    <row r="1766" ht="15.75" customHeight="1" x14ac:dyDescent="0.2"/>
    <row r="1767" ht="15.75" customHeight="1" x14ac:dyDescent="0.2"/>
    <row r="1768" ht="15.75" customHeight="1" x14ac:dyDescent="0.2"/>
    <row r="1769" ht="15.75" customHeight="1" x14ac:dyDescent="0.2"/>
    <row r="1770" ht="15.75" customHeight="1" x14ac:dyDescent="0.2"/>
    <row r="1771" ht="15.75" customHeight="1" x14ac:dyDescent="0.2"/>
    <row r="1772" ht="15.75" customHeight="1" x14ac:dyDescent="0.2"/>
    <row r="1773" ht="15.75" customHeight="1" x14ac:dyDescent="0.2"/>
    <row r="1774" ht="15.75" customHeight="1" x14ac:dyDescent="0.2"/>
    <row r="1775" ht="15.75" customHeight="1" x14ac:dyDescent="0.2"/>
    <row r="1776" ht="15.75" customHeight="1" x14ac:dyDescent="0.2"/>
    <row r="1777" ht="15.75" customHeight="1" x14ac:dyDescent="0.2"/>
    <row r="1778" ht="15.75" customHeight="1" x14ac:dyDescent="0.2"/>
    <row r="1779" ht="15.75" customHeight="1" x14ac:dyDescent="0.2"/>
    <row r="1780" ht="15.75" customHeight="1" x14ac:dyDescent="0.2"/>
    <row r="1781" ht="15.75" customHeight="1" x14ac:dyDescent="0.2"/>
    <row r="1782" ht="15.75" customHeight="1" x14ac:dyDescent="0.2"/>
    <row r="1783" ht="15.75" customHeight="1" x14ac:dyDescent="0.2"/>
    <row r="1784" ht="15.75" customHeight="1" x14ac:dyDescent="0.2"/>
    <row r="1785" ht="15.75" customHeight="1" x14ac:dyDescent="0.2"/>
    <row r="1786" ht="15.75" customHeight="1" x14ac:dyDescent="0.2"/>
    <row r="1787" ht="15.75" customHeight="1" x14ac:dyDescent="0.2"/>
    <row r="1788" ht="15.75" customHeight="1" x14ac:dyDescent="0.2"/>
    <row r="1789" ht="15.75" customHeight="1" x14ac:dyDescent="0.2"/>
    <row r="1790" ht="15.75" customHeight="1" x14ac:dyDescent="0.2"/>
    <row r="1791" ht="15.75" customHeight="1" x14ac:dyDescent="0.2"/>
    <row r="1792" ht="15.75" customHeight="1" x14ac:dyDescent="0.2"/>
    <row r="1793" ht="15.75" customHeight="1" x14ac:dyDescent="0.2"/>
    <row r="1794" ht="15.75" customHeight="1" x14ac:dyDescent="0.2"/>
    <row r="1795" ht="15.75" customHeight="1" x14ac:dyDescent="0.2"/>
    <row r="1796" ht="15.75" customHeight="1" x14ac:dyDescent="0.2"/>
    <row r="1797" ht="15.75" customHeight="1" x14ac:dyDescent="0.2"/>
    <row r="1798" ht="15.75" customHeight="1" x14ac:dyDescent="0.2"/>
    <row r="1799" ht="15.75" customHeight="1" x14ac:dyDescent="0.2"/>
    <row r="1800" ht="15.75" customHeight="1" x14ac:dyDescent="0.2"/>
    <row r="1801" ht="15.75" customHeight="1" x14ac:dyDescent="0.2"/>
    <row r="1802" ht="15.75" customHeight="1" x14ac:dyDescent="0.2"/>
    <row r="1803" ht="15.75" customHeight="1" x14ac:dyDescent="0.2"/>
    <row r="1804" ht="15.75" customHeight="1" x14ac:dyDescent="0.2"/>
    <row r="1805" ht="15.75" customHeight="1" x14ac:dyDescent="0.2"/>
    <row r="1806" ht="15.75" customHeight="1" x14ac:dyDescent="0.2"/>
    <row r="1807" ht="15.75" customHeight="1" x14ac:dyDescent="0.2"/>
    <row r="1808" ht="15.75" customHeight="1" x14ac:dyDescent="0.2"/>
    <row r="1809" ht="15.75" customHeight="1" x14ac:dyDescent="0.2"/>
    <row r="1810" ht="15.75" customHeight="1" x14ac:dyDescent="0.2"/>
    <row r="1811" ht="15.75" customHeight="1" x14ac:dyDescent="0.2"/>
    <row r="1812" ht="15.75" customHeight="1" x14ac:dyDescent="0.2"/>
    <row r="1813" ht="15.75" customHeight="1" x14ac:dyDescent="0.2"/>
    <row r="1814" ht="15.75" customHeight="1" x14ac:dyDescent="0.2"/>
    <row r="1815" ht="15.75" customHeight="1" x14ac:dyDescent="0.2"/>
    <row r="1816" ht="15.75" customHeight="1" x14ac:dyDescent="0.2"/>
    <row r="1817" ht="15.75" customHeight="1" x14ac:dyDescent="0.2"/>
    <row r="1818" ht="15.75" customHeight="1" x14ac:dyDescent="0.2"/>
    <row r="1819" ht="15.75" customHeight="1" x14ac:dyDescent="0.2"/>
    <row r="1820" ht="15.75" customHeight="1" x14ac:dyDescent="0.2"/>
    <row r="1821" ht="15.75" customHeight="1" x14ac:dyDescent="0.2"/>
    <row r="1822" ht="15.75" customHeight="1" x14ac:dyDescent="0.2"/>
    <row r="1823" ht="15.75" customHeight="1" x14ac:dyDescent="0.2"/>
    <row r="1824" ht="15.75" customHeight="1" x14ac:dyDescent="0.2"/>
    <row r="1825" ht="15.75" customHeight="1" x14ac:dyDescent="0.2"/>
    <row r="1826" ht="15.75" customHeight="1" x14ac:dyDescent="0.2"/>
    <row r="1827" ht="15.75" customHeight="1" x14ac:dyDescent="0.2"/>
    <row r="1828" ht="15.75" customHeight="1" x14ac:dyDescent="0.2"/>
    <row r="1829" ht="15.75" customHeight="1" x14ac:dyDescent="0.2"/>
    <row r="1830" ht="15.75" customHeight="1" x14ac:dyDescent="0.2"/>
    <row r="1831" ht="15.75" customHeight="1" x14ac:dyDescent="0.2"/>
    <row r="1832" ht="15.75" customHeight="1" x14ac:dyDescent="0.2"/>
    <row r="1833" ht="15.75" customHeight="1" x14ac:dyDescent="0.2"/>
    <row r="1834" ht="15.75" customHeight="1" x14ac:dyDescent="0.2"/>
    <row r="1835" ht="15.75" customHeight="1" x14ac:dyDescent="0.2"/>
    <row r="1836" ht="15.75" customHeight="1" x14ac:dyDescent="0.2"/>
    <row r="1837" ht="15.75" customHeight="1" x14ac:dyDescent="0.2"/>
    <row r="1838" ht="15.75" customHeight="1" x14ac:dyDescent="0.2"/>
    <row r="1839" ht="15.75" customHeight="1" x14ac:dyDescent="0.2"/>
    <row r="1840" ht="15.75" customHeight="1" x14ac:dyDescent="0.2"/>
    <row r="1841" ht="15.75" customHeight="1" x14ac:dyDescent="0.2"/>
    <row r="1842" ht="15.75" customHeight="1" x14ac:dyDescent="0.2"/>
    <row r="1843" ht="15.75" customHeight="1" x14ac:dyDescent="0.2"/>
    <row r="1844" ht="15.75" customHeight="1" x14ac:dyDescent="0.2"/>
    <row r="1845" ht="15.75" customHeight="1" x14ac:dyDescent="0.2"/>
    <row r="1846" ht="15.75" customHeight="1" x14ac:dyDescent="0.2"/>
    <row r="1847" ht="15.75" customHeight="1" x14ac:dyDescent="0.2"/>
    <row r="1848" ht="15.75" customHeight="1" x14ac:dyDescent="0.2"/>
    <row r="1849" ht="15.75" customHeight="1" x14ac:dyDescent="0.2"/>
    <row r="1850" ht="15.75" customHeight="1" x14ac:dyDescent="0.2"/>
    <row r="1851" ht="15.75" customHeight="1" x14ac:dyDescent="0.2"/>
    <row r="1852" ht="15.75" customHeight="1" x14ac:dyDescent="0.2"/>
    <row r="1853" ht="15.75" customHeight="1" x14ac:dyDescent="0.2"/>
    <row r="1854" ht="15.75" customHeight="1" x14ac:dyDescent="0.2"/>
    <row r="1855" ht="15.75" customHeight="1" x14ac:dyDescent="0.2"/>
    <row r="1856" ht="15.75" customHeight="1" x14ac:dyDescent="0.2"/>
    <row r="1857" ht="15.75" customHeight="1" x14ac:dyDescent="0.2"/>
    <row r="1858" ht="15.75" customHeight="1" x14ac:dyDescent="0.2"/>
    <row r="1859" ht="15.75" customHeight="1" x14ac:dyDescent="0.2"/>
    <row r="1860" ht="15.75" customHeight="1" x14ac:dyDescent="0.2"/>
    <row r="1861" ht="15.75" customHeight="1" x14ac:dyDescent="0.2"/>
    <row r="1862" ht="15.75" customHeight="1" x14ac:dyDescent="0.2"/>
    <row r="1863" ht="15.75" customHeight="1" x14ac:dyDescent="0.2"/>
    <row r="1864" ht="15.75" customHeight="1" x14ac:dyDescent="0.2"/>
    <row r="1865" ht="15.75" customHeight="1" x14ac:dyDescent="0.2"/>
    <row r="1866" ht="15.75" customHeight="1" x14ac:dyDescent="0.2"/>
    <row r="1867" ht="15.75" customHeight="1" x14ac:dyDescent="0.2"/>
    <row r="1868" ht="15.75" customHeight="1" x14ac:dyDescent="0.2"/>
    <row r="1869" ht="15.75" customHeight="1" x14ac:dyDescent="0.2"/>
    <row r="1870" ht="15.75" customHeight="1" x14ac:dyDescent="0.2"/>
    <row r="1871" ht="15.75" customHeight="1" x14ac:dyDescent="0.2"/>
    <row r="1872" ht="15.75" customHeight="1" x14ac:dyDescent="0.2"/>
    <row r="1873" ht="15.75" customHeight="1" x14ac:dyDescent="0.2"/>
    <row r="1874" ht="15.75" customHeight="1" x14ac:dyDescent="0.2"/>
    <row r="1875" ht="15.75" customHeight="1" x14ac:dyDescent="0.2"/>
    <row r="1876" ht="15.75" customHeight="1" x14ac:dyDescent="0.2"/>
    <row r="1877" ht="15.75" customHeight="1" x14ac:dyDescent="0.2"/>
    <row r="1878" ht="15.75" customHeight="1" x14ac:dyDescent="0.2"/>
    <row r="1879" ht="15.75" customHeight="1" x14ac:dyDescent="0.2"/>
    <row r="1880" ht="15.75" customHeight="1" x14ac:dyDescent="0.2"/>
    <row r="1881" ht="15.75" customHeight="1" x14ac:dyDescent="0.2"/>
    <row r="1882" ht="15.75" customHeight="1" x14ac:dyDescent="0.2"/>
    <row r="1883" ht="15.75" customHeight="1" x14ac:dyDescent="0.2"/>
    <row r="1884" ht="15.75" customHeight="1" x14ac:dyDescent="0.2"/>
    <row r="1885" ht="15.75" customHeight="1" x14ac:dyDescent="0.2"/>
    <row r="1886" ht="15.75" customHeight="1" x14ac:dyDescent="0.2"/>
    <row r="1887" ht="15.75" customHeight="1" x14ac:dyDescent="0.2"/>
    <row r="1888" ht="15.75" customHeight="1" x14ac:dyDescent="0.2"/>
    <row r="1889" ht="15.75" customHeight="1" x14ac:dyDescent="0.2"/>
    <row r="1890" ht="15.75" customHeight="1" x14ac:dyDescent="0.2"/>
    <row r="1891" ht="15.75" customHeight="1" x14ac:dyDescent="0.2"/>
    <row r="1892" ht="15.75" customHeight="1" x14ac:dyDescent="0.2"/>
    <row r="1893" ht="15.75" customHeight="1" x14ac:dyDescent="0.2"/>
    <row r="1894" ht="15.75" customHeight="1" x14ac:dyDescent="0.2"/>
    <row r="1895" ht="15.75" customHeight="1" x14ac:dyDescent="0.2"/>
    <row r="1896" ht="15.75" customHeight="1" x14ac:dyDescent="0.2"/>
    <row r="1897" ht="15.75" customHeight="1" x14ac:dyDescent="0.2"/>
    <row r="1898" ht="15.75" customHeight="1" x14ac:dyDescent="0.2"/>
    <row r="1899" ht="15.75" customHeight="1" x14ac:dyDescent="0.2"/>
    <row r="1900" ht="15.75" customHeight="1" x14ac:dyDescent="0.2"/>
    <row r="1901" ht="15.75" customHeight="1" x14ac:dyDescent="0.2"/>
    <row r="1902" ht="15.75" customHeight="1" x14ac:dyDescent="0.2"/>
    <row r="1903" ht="15.75" customHeight="1" x14ac:dyDescent="0.2"/>
    <row r="1904" ht="15.75" customHeight="1" x14ac:dyDescent="0.2"/>
    <row r="1905" ht="15.75" customHeight="1" x14ac:dyDescent="0.2"/>
    <row r="1906" ht="15.75" customHeight="1" x14ac:dyDescent="0.2"/>
    <row r="1907" ht="15.75" customHeight="1" x14ac:dyDescent="0.2"/>
    <row r="1908" ht="15.75" customHeight="1" x14ac:dyDescent="0.2"/>
    <row r="1909" ht="15.75" customHeight="1" x14ac:dyDescent="0.2"/>
    <row r="1910" ht="15.75" customHeight="1" x14ac:dyDescent="0.2"/>
    <row r="1911" ht="15.75" customHeight="1" x14ac:dyDescent="0.2"/>
    <row r="1912" ht="15.75" customHeight="1" x14ac:dyDescent="0.2"/>
    <row r="1913" ht="15.75" customHeight="1" x14ac:dyDescent="0.2"/>
    <row r="1914" ht="15.75" customHeight="1" x14ac:dyDescent="0.2"/>
    <row r="1915" ht="15.75" customHeight="1" x14ac:dyDescent="0.2"/>
    <row r="1916" ht="15.75" customHeight="1" x14ac:dyDescent="0.2"/>
    <row r="1917" ht="15.75" customHeight="1" x14ac:dyDescent="0.2"/>
    <row r="1918" ht="15.75" customHeight="1" x14ac:dyDescent="0.2"/>
    <row r="1919" ht="15.75" customHeight="1" x14ac:dyDescent="0.2"/>
    <row r="1920" ht="15.75" customHeight="1" x14ac:dyDescent="0.2"/>
    <row r="1921" ht="15.75" customHeight="1" x14ac:dyDescent="0.2"/>
    <row r="1922" ht="15.75" customHeight="1" x14ac:dyDescent="0.2"/>
    <row r="1923" ht="15.75" customHeight="1" x14ac:dyDescent="0.2"/>
    <row r="1924" ht="15.75" customHeight="1" x14ac:dyDescent="0.2"/>
    <row r="1925" ht="15.75" customHeight="1" x14ac:dyDescent="0.2"/>
    <row r="1926" ht="15.75" customHeight="1" x14ac:dyDescent="0.2"/>
    <row r="1927" ht="15.75" customHeight="1" x14ac:dyDescent="0.2"/>
    <row r="1928" ht="15.75" customHeight="1" x14ac:dyDescent="0.2"/>
    <row r="1929" ht="15.75" customHeight="1" x14ac:dyDescent="0.2"/>
    <row r="1930" ht="15.75" customHeight="1" x14ac:dyDescent="0.2"/>
    <row r="1931" ht="15.75" customHeight="1" x14ac:dyDescent="0.2"/>
    <row r="1932" ht="15.75" customHeight="1" x14ac:dyDescent="0.2"/>
    <row r="1933" ht="15.75" customHeight="1" x14ac:dyDescent="0.2"/>
    <row r="1934" ht="15.75" customHeight="1" x14ac:dyDescent="0.2"/>
    <row r="1935" ht="15.75" customHeight="1" x14ac:dyDescent="0.2"/>
    <row r="1936" ht="15.75" customHeight="1" x14ac:dyDescent="0.2"/>
    <row r="1937" ht="15.75" customHeight="1" x14ac:dyDescent="0.2"/>
    <row r="1938" ht="15.75" customHeight="1" x14ac:dyDescent="0.2"/>
    <row r="1939" ht="15.75" customHeight="1" x14ac:dyDescent="0.2"/>
    <row r="1940" ht="15.75" customHeight="1" x14ac:dyDescent="0.2"/>
    <row r="1941" ht="15.75" customHeight="1" x14ac:dyDescent="0.2"/>
    <row r="1942" ht="15.75" customHeight="1" x14ac:dyDescent="0.2"/>
    <row r="1943" ht="15.75" customHeight="1" x14ac:dyDescent="0.2"/>
    <row r="1944" ht="15.75" customHeight="1" x14ac:dyDescent="0.2"/>
    <row r="1945" ht="15.75" customHeight="1" x14ac:dyDescent="0.2"/>
    <row r="1946" ht="15.75" customHeight="1" x14ac:dyDescent="0.2"/>
    <row r="1947" ht="15.75" customHeight="1" x14ac:dyDescent="0.2"/>
    <row r="1948" ht="15.75" customHeight="1" x14ac:dyDescent="0.2"/>
    <row r="1949" ht="15.75" customHeight="1" x14ac:dyDescent="0.2"/>
    <row r="1950" ht="15.75" customHeight="1" x14ac:dyDescent="0.2"/>
    <row r="1951" ht="15.75" customHeight="1" x14ac:dyDescent="0.2"/>
    <row r="1952" ht="15.75" customHeight="1" x14ac:dyDescent="0.2"/>
    <row r="1953" ht="15.75" customHeight="1" x14ac:dyDescent="0.2"/>
    <row r="1954" ht="15.75" customHeight="1" x14ac:dyDescent="0.2"/>
    <row r="1955" ht="15.75" customHeight="1" x14ac:dyDescent="0.2"/>
    <row r="1956" ht="15.75" customHeight="1" x14ac:dyDescent="0.2"/>
    <row r="1957" ht="15.75" customHeight="1" x14ac:dyDescent="0.2"/>
    <row r="1958" ht="15.75" customHeight="1" x14ac:dyDescent="0.2"/>
    <row r="1959" ht="15.75" customHeight="1" x14ac:dyDescent="0.2"/>
    <row r="1960" ht="15.75" customHeight="1" x14ac:dyDescent="0.2"/>
    <row r="1961" ht="15.75" customHeight="1" x14ac:dyDescent="0.2"/>
    <row r="1962" ht="15.75" customHeight="1" x14ac:dyDescent="0.2"/>
    <row r="1963" ht="15.75" customHeight="1" x14ac:dyDescent="0.2"/>
    <row r="1964" ht="15.75" customHeight="1" x14ac:dyDescent="0.2"/>
    <row r="1965" ht="15.75" customHeight="1" x14ac:dyDescent="0.2"/>
    <row r="1966" ht="15.75" customHeight="1" x14ac:dyDescent="0.2"/>
    <row r="1967" ht="15.75" customHeight="1" x14ac:dyDescent="0.2"/>
    <row r="1968" ht="15.75" customHeight="1" x14ac:dyDescent="0.2"/>
    <row r="1969" ht="15.75" customHeight="1" x14ac:dyDescent="0.2"/>
    <row r="1970" ht="15.75" customHeight="1" x14ac:dyDescent="0.2"/>
    <row r="1971" ht="15.75" customHeight="1" x14ac:dyDescent="0.2"/>
    <row r="1972" ht="15.75" customHeight="1" x14ac:dyDescent="0.2"/>
    <row r="1973" ht="15.75" customHeight="1" x14ac:dyDescent="0.2"/>
    <row r="1974" ht="15.75" customHeight="1" x14ac:dyDescent="0.2"/>
    <row r="1975" ht="15.75" customHeight="1" x14ac:dyDescent="0.2"/>
    <row r="1976" ht="15.75" customHeight="1" x14ac:dyDescent="0.2"/>
    <row r="1977" ht="15.75" customHeight="1" x14ac:dyDescent="0.2"/>
    <row r="1978" ht="15.75" customHeight="1" x14ac:dyDescent="0.2"/>
    <row r="1979" ht="15.75" customHeight="1" x14ac:dyDescent="0.2"/>
    <row r="1980" ht="15.75" customHeight="1" x14ac:dyDescent="0.2"/>
    <row r="1981" ht="15.75" customHeight="1" x14ac:dyDescent="0.2"/>
    <row r="1982" ht="15.75" customHeight="1" x14ac:dyDescent="0.2"/>
    <row r="1983" ht="15.75" customHeight="1" x14ac:dyDescent="0.2"/>
    <row r="1984" ht="15.75" customHeight="1" x14ac:dyDescent="0.2"/>
    <row r="1985" ht="15.75" customHeight="1" x14ac:dyDescent="0.2"/>
    <row r="1986" ht="15.75" customHeight="1" x14ac:dyDescent="0.2"/>
    <row r="1987" ht="15.75" customHeight="1" x14ac:dyDescent="0.2"/>
    <row r="1988" ht="15.75" customHeight="1" x14ac:dyDescent="0.2"/>
    <row r="1989" ht="15.75" customHeight="1" x14ac:dyDescent="0.2"/>
    <row r="1990" ht="15.75" customHeight="1" x14ac:dyDescent="0.2"/>
    <row r="1991" ht="15.75" customHeight="1" x14ac:dyDescent="0.2"/>
    <row r="1992" ht="15.75" customHeight="1" x14ac:dyDescent="0.2"/>
    <row r="1993" ht="15.75" customHeight="1" x14ac:dyDescent="0.2"/>
    <row r="1994" ht="15.75" customHeight="1" x14ac:dyDescent="0.2"/>
    <row r="1995" ht="15.75" customHeight="1" x14ac:dyDescent="0.2"/>
    <row r="1996" ht="15.75" customHeight="1" x14ac:dyDescent="0.2"/>
    <row r="1997" ht="15.75" customHeight="1" x14ac:dyDescent="0.2"/>
    <row r="1998" ht="15.75" customHeight="1" x14ac:dyDescent="0.2"/>
    <row r="1999" ht="15.75" customHeight="1" x14ac:dyDescent="0.2"/>
    <row r="2000" ht="15.75" customHeight="1" x14ac:dyDescent="0.2"/>
    <row r="2001" ht="15.75" customHeight="1" x14ac:dyDescent="0.2"/>
    <row r="2002" ht="15.75" customHeight="1" x14ac:dyDescent="0.2"/>
    <row r="2003" ht="15.75" customHeight="1" x14ac:dyDescent="0.2"/>
    <row r="2004" ht="15.75" customHeight="1" x14ac:dyDescent="0.2"/>
  </sheetData>
  <mergeCells count="3">
    <mergeCell ref="A3:H3"/>
    <mergeCell ref="A2:H2"/>
    <mergeCell ref="A1:H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392B"/>
  </sheetPr>
  <dimension ref="A1:AU1004"/>
  <sheetViews>
    <sheetView showGridLines="0" zoomScaleNormal="100" workbookViewId="0"/>
  </sheetViews>
  <sheetFormatPr baseColWidth="10" defaultColWidth="8.6640625" defaultRowHeight="15" customHeight="1" x14ac:dyDescent="0.2"/>
  <cols>
    <col min="1" max="3" width="8" style="1" customWidth="1"/>
    <col min="4" max="4" width="3" hidden="1" customWidth="1"/>
    <col min="5" max="5" width="8" style="1" customWidth="1"/>
    <col min="6" max="6" width="13" style="1" customWidth="1"/>
    <col min="7" max="8" width="3" style="1" hidden="1" customWidth="1"/>
    <col min="9" max="10" width="3" hidden="1" customWidth="1"/>
    <col min="11" max="12" width="3" style="1" hidden="1" customWidth="1"/>
    <col min="13" max="17" width="3" hidden="1" customWidth="1"/>
    <col min="18" max="18" width="12" style="1" customWidth="1"/>
    <col min="19" max="19" width="3" style="1" hidden="1" customWidth="1"/>
    <col min="20" max="20" width="3" hidden="1" customWidth="1"/>
    <col min="21" max="21" width="3" style="1" hidden="1" customWidth="1"/>
    <col min="22" max="22" width="34" style="1" customWidth="1"/>
    <col min="23" max="24" width="8" style="1" customWidth="1"/>
    <col min="25" max="28" width="3" hidden="1" customWidth="1"/>
    <col min="29" max="29" width="8" style="1" customWidth="1"/>
    <col min="30" max="32" width="3" hidden="1" customWidth="1"/>
    <col min="33" max="34" width="8" style="1" customWidth="1"/>
    <col min="35" max="40" width="3" hidden="1" customWidth="1"/>
    <col min="41" max="42" width="8" style="1" customWidth="1"/>
    <col min="43" max="44" width="3" hidden="1" customWidth="1"/>
    <col min="45" max="46" width="3" style="1" hidden="1" customWidth="1"/>
    <col min="47" max="47" width="3" hidden="1" customWidth="1"/>
  </cols>
  <sheetData>
    <row r="1" spans="1:47" ht="36" customHeight="1" x14ac:dyDescent="0.2">
      <c r="A1" s="150" t="s">
        <v>712</v>
      </c>
      <c r="B1" s="122"/>
      <c r="C1" s="122"/>
      <c r="D1" s="146"/>
      <c r="E1" s="122"/>
      <c r="F1" s="122"/>
      <c r="G1" s="122"/>
      <c r="H1" s="122"/>
      <c r="I1" s="146"/>
      <c r="J1" s="146"/>
      <c r="K1" s="122"/>
      <c r="L1" s="122"/>
      <c r="M1" s="146"/>
      <c r="N1" s="146"/>
      <c r="O1" s="146"/>
      <c r="P1" s="146"/>
      <c r="Q1" s="146"/>
      <c r="R1" s="122"/>
      <c r="S1" s="122"/>
      <c r="T1" s="146"/>
      <c r="U1" s="122"/>
      <c r="V1" s="122"/>
      <c r="W1" s="122"/>
      <c r="X1" s="122"/>
      <c r="Y1" s="146"/>
      <c r="Z1" s="146"/>
      <c r="AA1" s="146"/>
      <c r="AB1" s="146"/>
      <c r="AC1" s="122"/>
      <c r="AD1" s="146"/>
      <c r="AE1" s="146"/>
      <c r="AF1" s="146"/>
      <c r="AG1" s="122"/>
      <c r="AH1" s="122"/>
      <c r="AI1" s="146"/>
      <c r="AJ1" s="146"/>
      <c r="AK1" s="146"/>
      <c r="AL1" s="146"/>
      <c r="AM1" s="146"/>
      <c r="AN1" s="146"/>
      <c r="AO1" s="122"/>
      <c r="AP1" s="122"/>
      <c r="AQ1" s="146"/>
      <c r="AR1" s="146"/>
      <c r="AS1" s="122"/>
      <c r="AT1" s="122"/>
      <c r="AU1" s="146"/>
    </row>
    <row r="2" spans="1:47" ht="30" customHeight="1" x14ac:dyDescent="0.2">
      <c r="A2" s="149" t="s">
        <v>713</v>
      </c>
      <c r="B2" s="122"/>
      <c r="C2" s="122"/>
      <c r="D2" s="146"/>
      <c r="E2" s="122"/>
      <c r="F2" s="122"/>
      <c r="G2" s="122"/>
      <c r="H2" s="122"/>
      <c r="I2" s="146"/>
      <c r="J2" s="146"/>
      <c r="K2" s="122"/>
      <c r="L2" s="122"/>
      <c r="M2" s="146"/>
      <c r="N2" s="146"/>
      <c r="O2" s="146"/>
      <c r="P2" s="146"/>
      <c r="Q2" s="146"/>
      <c r="R2" s="122"/>
      <c r="S2" s="122"/>
      <c r="T2" s="146"/>
      <c r="U2" s="122"/>
      <c r="V2" s="122"/>
      <c r="W2" s="122"/>
      <c r="X2" s="122"/>
      <c r="Y2" s="146"/>
      <c r="Z2" s="146"/>
      <c r="AA2" s="146"/>
      <c r="AB2" s="146"/>
      <c r="AC2" s="122"/>
      <c r="AD2" s="146"/>
      <c r="AE2" s="146"/>
      <c r="AF2" s="146"/>
      <c r="AG2" s="122"/>
      <c r="AH2" s="122"/>
      <c r="AI2" s="146"/>
      <c r="AJ2" s="146"/>
      <c r="AK2" s="146"/>
      <c r="AL2" s="146"/>
      <c r="AM2" s="146"/>
      <c r="AN2" s="146"/>
      <c r="AO2" s="122"/>
      <c r="AP2" s="122"/>
      <c r="AQ2" s="146"/>
      <c r="AR2" s="146"/>
      <c r="AS2" s="122"/>
      <c r="AT2" s="122"/>
      <c r="AU2" s="146"/>
    </row>
    <row r="3" spans="1:47" ht="30" customHeight="1" x14ac:dyDescent="0.2">
      <c r="A3" s="148" t="s">
        <v>714</v>
      </c>
      <c r="B3" s="122"/>
      <c r="C3" s="122"/>
      <c r="D3" s="146"/>
      <c r="E3" s="122"/>
      <c r="F3" s="122"/>
      <c r="G3" s="122"/>
      <c r="H3" s="122"/>
      <c r="I3" s="146"/>
      <c r="J3" s="146"/>
      <c r="K3" s="122"/>
      <c r="L3" s="122"/>
      <c r="M3" s="146"/>
      <c r="N3" s="146"/>
      <c r="O3" s="146"/>
      <c r="P3" s="146"/>
      <c r="Q3" s="146"/>
      <c r="R3" s="122"/>
      <c r="S3" s="122"/>
      <c r="T3" s="146"/>
      <c r="U3" s="122"/>
      <c r="V3" s="122"/>
      <c r="W3" s="122"/>
      <c r="X3" s="122"/>
      <c r="Y3" s="146"/>
      <c r="Z3" s="146"/>
      <c r="AA3" s="146"/>
      <c r="AB3" s="146"/>
      <c r="AC3" s="122"/>
      <c r="AD3" s="146"/>
      <c r="AE3" s="146"/>
      <c r="AF3" s="146"/>
      <c r="AG3" s="122"/>
      <c r="AH3" s="122"/>
      <c r="AI3" s="146"/>
      <c r="AJ3" s="146"/>
      <c r="AK3" s="146"/>
      <c r="AL3" s="146"/>
      <c r="AM3" s="146"/>
      <c r="AN3" s="146"/>
      <c r="AO3" s="122"/>
      <c r="AP3" s="122"/>
      <c r="AQ3" s="146"/>
      <c r="AR3" s="146"/>
      <c r="AS3" s="122"/>
      <c r="AT3" s="122"/>
      <c r="AU3" s="146"/>
    </row>
    <row r="4" spans="1:47" ht="30" customHeight="1" x14ac:dyDescent="0.15">
      <c r="A4" s="107" t="s">
        <v>715</v>
      </c>
      <c r="B4" s="107" t="s">
        <v>716</v>
      </c>
      <c r="C4" s="107" t="s">
        <v>717</v>
      </c>
      <c r="D4" s="59" t="s">
        <v>718</v>
      </c>
      <c r="E4" s="107" t="s">
        <v>719</v>
      </c>
      <c r="F4" s="107" t="s">
        <v>720</v>
      </c>
      <c r="G4" s="59" t="s">
        <v>721</v>
      </c>
      <c r="H4" s="107" t="s">
        <v>722</v>
      </c>
      <c r="I4" s="59" t="s">
        <v>723</v>
      </c>
      <c r="J4" s="59" t="s">
        <v>724</v>
      </c>
      <c r="K4" s="107" t="s">
        <v>725</v>
      </c>
      <c r="L4" s="107" t="s">
        <v>726</v>
      </c>
      <c r="M4" s="59" t="s">
        <v>727</v>
      </c>
      <c r="N4" s="59" t="s">
        <v>728</v>
      </c>
      <c r="O4" s="59" t="s">
        <v>729</v>
      </c>
      <c r="P4" s="59" t="s">
        <v>730</v>
      </c>
      <c r="Q4" s="59" t="s">
        <v>731</v>
      </c>
      <c r="R4" s="107" t="s">
        <v>732</v>
      </c>
      <c r="S4" s="59" t="s">
        <v>733</v>
      </c>
      <c r="T4" s="59" t="s">
        <v>734</v>
      </c>
      <c r="U4" s="107" t="s">
        <v>735</v>
      </c>
      <c r="V4" s="107" t="s">
        <v>736</v>
      </c>
      <c r="W4" s="107" t="s">
        <v>737</v>
      </c>
      <c r="X4" s="107" t="s">
        <v>738</v>
      </c>
      <c r="Y4" s="59" t="s">
        <v>739</v>
      </c>
      <c r="Z4" s="59" t="s">
        <v>740</v>
      </c>
      <c r="AA4" s="59" t="s">
        <v>741</v>
      </c>
      <c r="AB4" s="59" t="s">
        <v>742</v>
      </c>
      <c r="AC4" s="107" t="s">
        <v>743</v>
      </c>
      <c r="AD4" s="59" t="s">
        <v>744</v>
      </c>
      <c r="AE4" s="59" t="s">
        <v>745</v>
      </c>
      <c r="AF4" s="59" t="s">
        <v>746</v>
      </c>
      <c r="AG4" s="107" t="s">
        <v>747</v>
      </c>
      <c r="AH4" s="107" t="s">
        <v>748</v>
      </c>
      <c r="AI4" s="59" t="s">
        <v>749</v>
      </c>
      <c r="AJ4" s="59" t="s">
        <v>750</v>
      </c>
      <c r="AK4" s="59" t="s">
        <v>751</v>
      </c>
      <c r="AL4" s="59" t="s">
        <v>752</v>
      </c>
      <c r="AM4" s="59" t="s">
        <v>753</v>
      </c>
      <c r="AN4" s="59" t="s">
        <v>754</v>
      </c>
      <c r="AO4" s="107" t="s">
        <v>263</v>
      </c>
      <c r="AP4" s="107" t="s">
        <v>755</v>
      </c>
      <c r="AQ4" s="59" t="s">
        <v>756</v>
      </c>
      <c r="AR4" s="59" t="s">
        <v>757</v>
      </c>
      <c r="AS4" s="60" t="s">
        <v>758</v>
      </c>
      <c r="AT4" s="59" t="s">
        <v>759</v>
      </c>
      <c r="AU4" s="59" t="s">
        <v>760</v>
      </c>
    </row>
    <row r="5" spans="1:47" ht="18" customHeight="1" x14ac:dyDescent="0.15">
      <c r="A5" s="151" t="s">
        <v>761</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52"/>
    </row>
    <row r="6" spans="1:47" ht="18" customHeight="1" x14ac:dyDescent="0.2">
      <c r="A6" s="1">
        <v>38649</v>
      </c>
      <c r="B6" s="1" t="s">
        <v>279</v>
      </c>
      <c r="C6" s="1" t="s">
        <v>762</v>
      </c>
      <c r="D6" s="1" t="s">
        <v>763</v>
      </c>
      <c r="E6" s="1" t="s">
        <v>764</v>
      </c>
      <c r="F6" s="57">
        <v>46111</v>
      </c>
      <c r="G6" s="57">
        <v>46111</v>
      </c>
      <c r="H6" s="1" t="s">
        <v>765</v>
      </c>
      <c r="I6" s="1" t="s">
        <v>766</v>
      </c>
      <c r="J6" s="1" t="s">
        <v>767</v>
      </c>
      <c r="K6" s="1" t="s">
        <v>768</v>
      </c>
      <c r="L6" s="1" t="s">
        <v>769</v>
      </c>
      <c r="M6" s="1" t="s">
        <v>770</v>
      </c>
      <c r="N6" s="1" t="s">
        <v>771</v>
      </c>
      <c r="O6" s="1" t="s">
        <v>772</v>
      </c>
      <c r="P6" s="1" t="s">
        <v>773</v>
      </c>
      <c r="Q6" s="1" t="s">
        <v>774</v>
      </c>
      <c r="R6" s="1" t="s">
        <v>775</v>
      </c>
      <c r="S6" s="1" t="s">
        <v>776</v>
      </c>
      <c r="T6" s="1" t="s">
        <v>777</v>
      </c>
      <c r="U6" s="1" t="s">
        <v>279</v>
      </c>
      <c r="V6" s="1" t="s">
        <v>765</v>
      </c>
      <c r="W6" s="1" t="s">
        <v>778</v>
      </c>
      <c r="Y6" s="46" t="s">
        <v>779</v>
      </c>
      <c r="Z6" s="1" t="s">
        <v>780</v>
      </c>
      <c r="AA6" s="1" t="s">
        <v>781</v>
      </c>
      <c r="AB6" s="46" t="s">
        <v>782</v>
      </c>
      <c r="AC6" s="1" t="s">
        <v>279</v>
      </c>
      <c r="AG6" s="1">
        <v>0</v>
      </c>
      <c r="AH6" s="1" t="s">
        <v>781</v>
      </c>
      <c r="AI6" s="1" t="s">
        <v>783</v>
      </c>
      <c r="AJ6" s="1" t="s">
        <v>279</v>
      </c>
      <c r="AL6" s="1" t="s">
        <v>781</v>
      </c>
      <c r="AM6" s="1" t="s">
        <v>268</v>
      </c>
      <c r="AN6" s="1">
        <v>0</v>
      </c>
      <c r="AO6" s="46" t="s">
        <v>784</v>
      </c>
      <c r="AP6" s="1" t="s">
        <v>781</v>
      </c>
      <c r="AQ6" s="57">
        <v>46111.384722222218</v>
      </c>
      <c r="AS6" s="1" t="s">
        <v>767</v>
      </c>
      <c r="AT6" s="1" t="s">
        <v>785</v>
      </c>
      <c r="AU6" s="1">
        <v>11</v>
      </c>
    </row>
    <row r="7" spans="1:47" ht="18" customHeight="1" x14ac:dyDescent="0.2">
      <c r="A7" s="1">
        <v>38801</v>
      </c>
      <c r="B7" s="1" t="s">
        <v>279</v>
      </c>
      <c r="C7" s="1" t="s">
        <v>786</v>
      </c>
      <c r="D7" s="1" t="s">
        <v>763</v>
      </c>
      <c r="E7" s="1" t="s">
        <v>787</v>
      </c>
      <c r="F7" s="57">
        <v>46114</v>
      </c>
      <c r="G7" s="57">
        <v>46114</v>
      </c>
      <c r="H7" s="1" t="s">
        <v>788</v>
      </c>
      <c r="I7" s="1" t="s">
        <v>785</v>
      </c>
      <c r="J7" s="1" t="s">
        <v>767</v>
      </c>
      <c r="K7" s="1" t="s">
        <v>789</v>
      </c>
      <c r="L7" s="1" t="s">
        <v>790</v>
      </c>
      <c r="M7" s="1" t="s">
        <v>791</v>
      </c>
      <c r="N7" s="1" t="s">
        <v>792</v>
      </c>
      <c r="O7" s="1" t="s">
        <v>769</v>
      </c>
      <c r="P7" s="1" t="s">
        <v>793</v>
      </c>
      <c r="Q7" s="1" t="s">
        <v>794</v>
      </c>
      <c r="R7" s="1" t="s">
        <v>775</v>
      </c>
      <c r="S7" s="1" t="s">
        <v>776</v>
      </c>
      <c r="T7" s="46" t="s">
        <v>795</v>
      </c>
      <c r="V7" s="1" t="s">
        <v>781</v>
      </c>
      <c r="X7" s="1" t="s">
        <v>781</v>
      </c>
      <c r="Y7" s="46" t="s">
        <v>796</v>
      </c>
      <c r="Z7" s="1" t="s">
        <v>797</v>
      </c>
      <c r="AA7" s="1" t="s">
        <v>781</v>
      </c>
      <c r="AC7" s="1" t="s">
        <v>268</v>
      </c>
      <c r="AG7" s="1">
        <v>0</v>
      </c>
      <c r="AH7" s="1" t="s">
        <v>798</v>
      </c>
      <c r="AI7" s="1" t="s">
        <v>783</v>
      </c>
      <c r="AJ7" s="1" t="s">
        <v>268</v>
      </c>
      <c r="AL7" s="1" t="s">
        <v>781</v>
      </c>
      <c r="AM7" s="1" t="s">
        <v>268</v>
      </c>
      <c r="AN7" s="1">
        <v>0</v>
      </c>
      <c r="AO7" s="46" t="s">
        <v>799</v>
      </c>
      <c r="AP7" s="1" t="s">
        <v>781</v>
      </c>
      <c r="AQ7" s="57">
        <v>46114.719444444447</v>
      </c>
      <c r="AS7" s="1" t="s">
        <v>767</v>
      </c>
      <c r="AT7" s="1" t="s">
        <v>785</v>
      </c>
      <c r="AU7" s="1">
        <v>0</v>
      </c>
    </row>
    <row r="8" spans="1:47" ht="18" customHeight="1" x14ac:dyDescent="0.2">
      <c r="A8" s="1">
        <v>38896</v>
      </c>
      <c r="B8" s="1" t="s">
        <v>279</v>
      </c>
      <c r="C8" s="1" t="s">
        <v>800</v>
      </c>
      <c r="D8" s="1" t="s">
        <v>763</v>
      </c>
      <c r="E8" s="1" t="s">
        <v>801</v>
      </c>
      <c r="F8" s="57">
        <v>46120</v>
      </c>
      <c r="G8" s="57">
        <v>46120</v>
      </c>
      <c r="H8" s="1" t="s">
        <v>802</v>
      </c>
      <c r="I8" s="1" t="s">
        <v>785</v>
      </c>
      <c r="J8" s="1" t="s">
        <v>767</v>
      </c>
      <c r="K8" s="1" t="s">
        <v>789</v>
      </c>
      <c r="L8" s="1" t="s">
        <v>790</v>
      </c>
      <c r="M8" s="1" t="s">
        <v>803</v>
      </c>
      <c r="N8" s="1" t="s">
        <v>792</v>
      </c>
      <c r="O8" s="1" t="s">
        <v>769</v>
      </c>
      <c r="P8" s="1" t="s">
        <v>804</v>
      </c>
      <c r="Q8" s="1" t="s">
        <v>805</v>
      </c>
      <c r="R8" s="1" t="s">
        <v>775</v>
      </c>
      <c r="S8" s="1" t="s">
        <v>776</v>
      </c>
      <c r="T8" s="1" t="s">
        <v>806</v>
      </c>
      <c r="U8" s="1" t="s">
        <v>268</v>
      </c>
      <c r="V8" s="1" t="s">
        <v>781</v>
      </c>
      <c r="W8" s="1" t="s">
        <v>807</v>
      </c>
      <c r="X8" s="1" t="s">
        <v>808</v>
      </c>
      <c r="Y8" s="46" t="s">
        <v>809</v>
      </c>
      <c r="Z8" s="1" t="s">
        <v>780</v>
      </c>
      <c r="AA8" s="1" t="s">
        <v>781</v>
      </c>
      <c r="AB8" s="46" t="s">
        <v>810</v>
      </c>
      <c r="AC8" s="1" t="s">
        <v>268</v>
      </c>
      <c r="AG8" s="1">
        <v>0</v>
      </c>
      <c r="AH8" s="1" t="s">
        <v>798</v>
      </c>
      <c r="AI8" s="1" t="s">
        <v>783</v>
      </c>
      <c r="AJ8" s="1" t="s">
        <v>279</v>
      </c>
      <c r="AL8" s="1" t="s">
        <v>781</v>
      </c>
      <c r="AM8" s="1" t="s">
        <v>268</v>
      </c>
      <c r="AN8" s="1">
        <v>0</v>
      </c>
      <c r="AO8" s="46" t="s">
        <v>811</v>
      </c>
      <c r="AP8" s="1" t="s">
        <v>781</v>
      </c>
      <c r="AQ8" s="57">
        <v>46120.550694444442</v>
      </c>
      <c r="AS8" s="1" t="s">
        <v>767</v>
      </c>
      <c r="AT8" s="1" t="s">
        <v>785</v>
      </c>
      <c r="AU8" s="1">
        <v>0</v>
      </c>
    </row>
    <row r="9" spans="1:47" ht="18" customHeight="1" x14ac:dyDescent="0.2">
      <c r="A9" s="1">
        <v>39248</v>
      </c>
      <c r="B9" s="1" t="s">
        <v>279</v>
      </c>
      <c r="C9" s="1" t="s">
        <v>812</v>
      </c>
      <c r="D9" s="1" t="s">
        <v>763</v>
      </c>
      <c r="E9" s="1" t="s">
        <v>813</v>
      </c>
      <c r="F9" s="57">
        <v>46129</v>
      </c>
      <c r="G9" s="57">
        <v>46129</v>
      </c>
      <c r="H9" s="1" t="s">
        <v>814</v>
      </c>
      <c r="I9" s="1" t="s">
        <v>785</v>
      </c>
      <c r="J9" s="1" t="s">
        <v>767</v>
      </c>
      <c r="K9" s="1" t="s">
        <v>789</v>
      </c>
      <c r="L9" s="1" t="s">
        <v>790</v>
      </c>
      <c r="M9" s="1" t="s">
        <v>803</v>
      </c>
      <c r="N9" s="1" t="s">
        <v>792</v>
      </c>
      <c r="O9" s="1" t="s">
        <v>769</v>
      </c>
      <c r="P9" s="1" t="s">
        <v>804</v>
      </c>
      <c r="Q9" s="1" t="s">
        <v>794</v>
      </c>
      <c r="R9" s="1" t="s">
        <v>775</v>
      </c>
      <c r="S9" s="1" t="s">
        <v>776</v>
      </c>
      <c r="T9" s="46" t="s">
        <v>815</v>
      </c>
      <c r="V9" s="1" t="s">
        <v>781</v>
      </c>
      <c r="X9" s="1" t="s">
        <v>781</v>
      </c>
      <c r="Y9" s="46" t="s">
        <v>796</v>
      </c>
      <c r="Z9" s="1" t="s">
        <v>797</v>
      </c>
      <c r="AA9" s="1" t="s">
        <v>781</v>
      </c>
      <c r="AC9" s="1" t="s">
        <v>268</v>
      </c>
      <c r="AG9" s="1">
        <v>0</v>
      </c>
      <c r="AH9" s="1" t="s">
        <v>798</v>
      </c>
      <c r="AI9" s="1" t="s">
        <v>783</v>
      </c>
      <c r="AJ9" s="1" t="s">
        <v>279</v>
      </c>
      <c r="AL9" s="1" t="s">
        <v>781</v>
      </c>
      <c r="AM9" s="1" t="s">
        <v>268</v>
      </c>
      <c r="AN9" s="1">
        <v>0</v>
      </c>
      <c r="AO9" s="46" t="s">
        <v>799</v>
      </c>
      <c r="AP9" s="1" t="s">
        <v>781</v>
      </c>
      <c r="AQ9" s="57">
        <v>46129.592361111107</v>
      </c>
      <c r="AS9" s="1" t="s">
        <v>767</v>
      </c>
      <c r="AT9" s="1" t="s">
        <v>785</v>
      </c>
      <c r="AU9" s="1">
        <v>3</v>
      </c>
    </row>
    <row r="10" spans="1:47" ht="18" customHeight="1" x14ac:dyDescent="0.2">
      <c r="A10" s="1">
        <v>39279</v>
      </c>
      <c r="B10" s="1" t="s">
        <v>279</v>
      </c>
      <c r="C10" s="1" t="s">
        <v>816</v>
      </c>
      <c r="D10" s="1" t="s">
        <v>763</v>
      </c>
      <c r="E10" s="1" t="s">
        <v>817</v>
      </c>
      <c r="F10" s="57">
        <v>46132</v>
      </c>
      <c r="G10" s="57">
        <v>46132</v>
      </c>
      <c r="H10" s="1" t="s">
        <v>818</v>
      </c>
      <c r="I10" s="1" t="s">
        <v>785</v>
      </c>
      <c r="J10" s="1" t="s">
        <v>767</v>
      </c>
      <c r="K10" s="1" t="s">
        <v>789</v>
      </c>
      <c r="L10" s="1" t="s">
        <v>790</v>
      </c>
      <c r="M10" s="1" t="s">
        <v>819</v>
      </c>
      <c r="N10" s="1" t="s">
        <v>792</v>
      </c>
      <c r="O10" s="1" t="s">
        <v>820</v>
      </c>
      <c r="P10" s="1" t="s">
        <v>821</v>
      </c>
      <c r="Q10" s="1" t="s">
        <v>819</v>
      </c>
      <c r="R10" s="1" t="s">
        <v>775</v>
      </c>
      <c r="S10" s="1" t="s">
        <v>776</v>
      </c>
      <c r="T10" s="1" t="s">
        <v>822</v>
      </c>
      <c r="U10" s="1" t="s">
        <v>268</v>
      </c>
      <c r="V10" s="1" t="s">
        <v>781</v>
      </c>
      <c r="W10" s="1" t="s">
        <v>823</v>
      </c>
      <c r="X10" s="1" t="s">
        <v>808</v>
      </c>
      <c r="Y10" s="46" t="s">
        <v>824</v>
      </c>
      <c r="Z10" s="1" t="s">
        <v>797</v>
      </c>
      <c r="AA10" s="1" t="s">
        <v>781</v>
      </c>
      <c r="AB10" s="46" t="s">
        <v>825</v>
      </c>
      <c r="AC10" s="1" t="s">
        <v>279</v>
      </c>
      <c r="AG10" s="1">
        <v>0</v>
      </c>
      <c r="AH10" s="1" t="s">
        <v>781</v>
      </c>
      <c r="AJ10" s="1" t="s">
        <v>268</v>
      </c>
      <c r="AL10" s="1" t="s">
        <v>781</v>
      </c>
      <c r="AM10" s="1" t="s">
        <v>268</v>
      </c>
      <c r="AN10" s="1">
        <v>0</v>
      </c>
      <c r="AO10" s="46" t="s">
        <v>826</v>
      </c>
      <c r="AP10" s="1" t="s">
        <v>781</v>
      </c>
      <c r="AQ10" s="57">
        <v>46132.428472222222</v>
      </c>
      <c r="AS10" s="1" t="s">
        <v>767</v>
      </c>
      <c r="AT10" s="1" t="s">
        <v>785</v>
      </c>
      <c r="AU10" s="1">
        <v>7</v>
      </c>
    </row>
    <row r="11" spans="1:47" ht="18" customHeight="1" x14ac:dyDescent="0.2">
      <c r="A11" s="1">
        <v>39456</v>
      </c>
      <c r="B11" s="1" t="s">
        <v>279</v>
      </c>
      <c r="C11" s="1" t="s">
        <v>827</v>
      </c>
      <c r="D11" s="1" t="s">
        <v>763</v>
      </c>
      <c r="E11" s="1" t="s">
        <v>828</v>
      </c>
      <c r="F11" s="57">
        <v>46135</v>
      </c>
      <c r="G11" s="57">
        <v>46135</v>
      </c>
      <c r="H11" s="1" t="s">
        <v>829</v>
      </c>
      <c r="I11" s="1" t="s">
        <v>785</v>
      </c>
      <c r="J11" s="1" t="s">
        <v>767</v>
      </c>
      <c r="K11" s="1" t="s">
        <v>789</v>
      </c>
      <c r="L11" s="1" t="s">
        <v>790</v>
      </c>
      <c r="M11" s="1" t="s">
        <v>830</v>
      </c>
      <c r="N11" s="1" t="s">
        <v>792</v>
      </c>
      <c r="O11" s="1" t="s">
        <v>820</v>
      </c>
      <c r="P11" s="1" t="s">
        <v>831</v>
      </c>
      <c r="Q11" s="1" t="s">
        <v>830</v>
      </c>
      <c r="R11" s="1" t="s">
        <v>775</v>
      </c>
      <c r="S11" s="1" t="s">
        <v>776</v>
      </c>
      <c r="T11" s="1" t="s">
        <v>832</v>
      </c>
      <c r="U11" s="1" t="s">
        <v>279</v>
      </c>
      <c r="V11" s="1" t="s">
        <v>829</v>
      </c>
      <c r="W11" s="1" t="s">
        <v>833</v>
      </c>
      <c r="X11" s="1" t="s">
        <v>781</v>
      </c>
      <c r="Y11" s="46" t="s">
        <v>834</v>
      </c>
      <c r="Z11" s="1" t="s">
        <v>780</v>
      </c>
      <c r="AA11" s="1" t="s">
        <v>781</v>
      </c>
      <c r="AB11" s="46" t="s">
        <v>835</v>
      </c>
      <c r="AC11" s="1" t="s">
        <v>279</v>
      </c>
      <c r="AG11" s="1">
        <v>0</v>
      </c>
      <c r="AH11" s="1" t="s">
        <v>781</v>
      </c>
      <c r="AJ11" s="1" t="s">
        <v>268</v>
      </c>
      <c r="AL11" s="1" t="s">
        <v>781</v>
      </c>
      <c r="AM11" s="1" t="s">
        <v>268</v>
      </c>
      <c r="AN11" s="1">
        <v>0</v>
      </c>
      <c r="AO11" s="46" t="s">
        <v>836</v>
      </c>
      <c r="AP11" s="1" t="s">
        <v>781</v>
      </c>
      <c r="AQ11" s="57">
        <v>46135.4</v>
      </c>
      <c r="AS11" s="1" t="s">
        <v>767</v>
      </c>
      <c r="AT11" s="1" t="s">
        <v>785</v>
      </c>
      <c r="AU11" s="1">
        <v>4</v>
      </c>
    </row>
    <row r="12" spans="1:47" ht="15.75" customHeight="1" x14ac:dyDescent="0.2">
      <c r="A12" s="1">
        <v>39595</v>
      </c>
      <c r="B12" s="1" t="s">
        <v>279</v>
      </c>
      <c r="C12" s="1" t="s">
        <v>837</v>
      </c>
      <c r="D12" s="1" t="s">
        <v>763</v>
      </c>
      <c r="E12" s="1" t="s">
        <v>838</v>
      </c>
      <c r="F12" s="57">
        <v>46139</v>
      </c>
      <c r="G12" s="57">
        <v>46139</v>
      </c>
      <c r="H12" s="1" t="s">
        <v>839</v>
      </c>
      <c r="I12" s="1" t="s">
        <v>785</v>
      </c>
      <c r="J12" s="1" t="s">
        <v>767</v>
      </c>
      <c r="N12" s="1" t="s">
        <v>792</v>
      </c>
      <c r="O12" s="1" t="s">
        <v>840</v>
      </c>
      <c r="P12" s="1" t="s">
        <v>841</v>
      </c>
      <c r="Q12" s="1" t="s">
        <v>842</v>
      </c>
      <c r="T12" s="1" t="s">
        <v>843</v>
      </c>
      <c r="U12" s="1" t="s">
        <v>279</v>
      </c>
      <c r="V12" s="1" t="s">
        <v>765</v>
      </c>
      <c r="W12" s="1" t="s">
        <v>844</v>
      </c>
      <c r="X12" s="1" t="s">
        <v>781</v>
      </c>
      <c r="Y12" s="46" t="s">
        <v>845</v>
      </c>
      <c r="Z12" s="1" t="s">
        <v>780</v>
      </c>
      <c r="AA12" s="1" t="s">
        <v>781</v>
      </c>
      <c r="AB12" s="1" t="s">
        <v>846</v>
      </c>
      <c r="AC12" s="1" t="s">
        <v>268</v>
      </c>
      <c r="AG12" s="1">
        <v>0</v>
      </c>
      <c r="AH12" s="1" t="s">
        <v>847</v>
      </c>
      <c r="AJ12" s="1" t="s">
        <v>268</v>
      </c>
      <c r="AL12" s="1" t="s">
        <v>781</v>
      </c>
      <c r="AM12" s="1" t="s">
        <v>268</v>
      </c>
      <c r="AN12" s="1">
        <v>0</v>
      </c>
      <c r="AO12" s="46" t="s">
        <v>848</v>
      </c>
      <c r="AP12" s="1" t="s">
        <v>781</v>
      </c>
      <c r="AQ12" s="57">
        <v>46139.651388888888</v>
      </c>
      <c r="AS12" s="1" t="s">
        <v>767</v>
      </c>
      <c r="AT12" s="1" t="s">
        <v>785</v>
      </c>
      <c r="AU12" s="1">
        <v>9</v>
      </c>
    </row>
    <row r="13" spans="1:47" ht="15.75" customHeight="1" x14ac:dyDescent="0.2"/>
    <row r="14" spans="1:47" ht="15.75" customHeight="1" x14ac:dyDescent="0.2"/>
    <row r="15" spans="1:47" ht="15.75" customHeight="1" x14ac:dyDescent="0.2"/>
    <row r="16" spans="1:4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4">
    <mergeCell ref="A3:AU3"/>
    <mergeCell ref="A2:AU2"/>
    <mergeCell ref="A1:AU1"/>
    <mergeCell ref="A5:AU5"/>
  </mergeCells>
  <conditionalFormatting sqref="G5:G1004">
    <cfRule type="containsText" dxfId="17" priority="2" operator="containsText" text="Major">
      <formula>NOT(ISERROR(SEARCH("Major",G5)))</formula>
    </cfRule>
    <cfRule type="containsText" dxfId="16" priority="3" operator="containsText" text="Moderate">
      <formula>NOT(ISERROR(SEARCH("Moderate",G5)))</formula>
    </cfRule>
    <cfRule type="containsText" dxfId="15" priority="4" operator="containsText" text="Minor">
      <formula>NOT(ISERROR(SEARCH("Minor",G5)))</formula>
    </cfRule>
    <cfRule type="containsText" dxfId="14" priority="5" operator="containsText" text="Opportunity">
      <formula>NOT(ISERROR(SEARCH("Opportunity",G5)))</formula>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C3483"/>
  </sheetPr>
  <dimension ref="A1:AB1999"/>
  <sheetViews>
    <sheetView showGridLines="0" zoomScaleNormal="100" workbookViewId="0">
      <selection activeCell="H24" sqref="H24"/>
    </sheetView>
  </sheetViews>
  <sheetFormatPr baseColWidth="10" defaultColWidth="8.6640625" defaultRowHeight="15" customHeight="1" x14ac:dyDescent="0.2"/>
  <cols>
    <col min="1" max="8" width="10" style="1" customWidth="1"/>
    <col min="9" max="9" width="40" style="1" customWidth="1"/>
    <col min="10" max="11" width="10" style="1" customWidth="1"/>
    <col min="12" max="12" width="18" style="1" customWidth="1"/>
    <col min="13" max="13" width="10" style="1" customWidth="1"/>
    <col min="14" max="14" width="8" style="1" customWidth="1"/>
    <col min="15" max="15" width="10" style="1" customWidth="1"/>
    <col min="16" max="16" width="40" style="1" customWidth="1"/>
    <col min="17" max="24" width="10" style="1" customWidth="1"/>
    <col min="25" max="26" width="14" style="1" customWidth="1"/>
    <col min="27" max="28" width="11" style="1" customWidth="1"/>
  </cols>
  <sheetData>
    <row r="1" spans="1:28" ht="25.5" customHeight="1" x14ac:dyDescent="0.2">
      <c r="A1" s="150" t="s">
        <v>849</v>
      </c>
      <c r="B1" s="122"/>
      <c r="C1" s="122"/>
      <c r="D1" s="122"/>
      <c r="E1" s="122"/>
      <c r="F1" s="122"/>
      <c r="G1" s="122"/>
      <c r="H1" s="122"/>
      <c r="I1" s="122"/>
      <c r="J1" s="122"/>
      <c r="K1" s="122"/>
      <c r="L1" s="122"/>
      <c r="M1" s="122"/>
      <c r="N1" s="122"/>
      <c r="O1" s="122"/>
      <c r="P1" s="122"/>
      <c r="Q1" s="122"/>
      <c r="R1" s="122"/>
      <c r="S1" s="122"/>
      <c r="T1" s="122"/>
      <c r="U1" s="122"/>
      <c r="V1" s="122"/>
      <c r="W1" s="122"/>
      <c r="X1" s="122"/>
    </row>
    <row r="2" spans="1:28" ht="27.75" customHeight="1" x14ac:dyDescent="0.2">
      <c r="A2" s="149" t="s">
        <v>850</v>
      </c>
      <c r="B2" s="122"/>
      <c r="C2" s="122"/>
      <c r="D2" s="122"/>
      <c r="E2" s="122"/>
      <c r="F2" s="122"/>
      <c r="G2" s="122"/>
      <c r="H2" s="122"/>
      <c r="I2" s="122"/>
      <c r="J2" s="122"/>
      <c r="K2" s="122"/>
      <c r="L2" s="122"/>
      <c r="M2" s="122"/>
      <c r="N2" s="122"/>
      <c r="O2" s="122"/>
      <c r="P2" s="122"/>
      <c r="Q2" s="122"/>
      <c r="R2" s="122"/>
      <c r="S2" s="122"/>
      <c r="T2" s="122"/>
      <c r="U2" s="122"/>
      <c r="V2" s="122"/>
      <c r="W2" s="122"/>
      <c r="X2" s="122"/>
    </row>
    <row r="3" spans="1:28" ht="27.75" customHeight="1" x14ac:dyDescent="0.2">
      <c r="A3" s="153" t="s">
        <v>851</v>
      </c>
      <c r="B3" s="122"/>
      <c r="C3" s="122"/>
      <c r="D3" s="122"/>
      <c r="E3" s="122"/>
      <c r="F3" s="122"/>
      <c r="G3" s="122"/>
      <c r="H3" s="122"/>
      <c r="I3" s="122"/>
      <c r="J3" s="122"/>
      <c r="K3" s="122"/>
      <c r="L3" s="122"/>
      <c r="M3" s="122"/>
      <c r="N3" s="122"/>
      <c r="O3" s="122"/>
      <c r="P3" s="122"/>
      <c r="Q3" s="122"/>
      <c r="R3" s="122"/>
      <c r="S3" s="122"/>
      <c r="T3" s="122"/>
      <c r="U3" s="122"/>
      <c r="V3" s="122"/>
      <c r="W3" s="122"/>
      <c r="X3" s="122"/>
      <c r="Y3" s="122"/>
    </row>
    <row r="4" spans="1:28" ht="21.75" customHeight="1" x14ac:dyDescent="0.15">
      <c r="A4" s="61" t="s">
        <v>852</v>
      </c>
      <c r="B4" s="61" t="s">
        <v>853</v>
      </c>
      <c r="C4" s="61" t="s">
        <v>759</v>
      </c>
      <c r="D4" s="61" t="s">
        <v>854</v>
      </c>
      <c r="E4" s="61" t="s">
        <v>758</v>
      </c>
      <c r="F4" s="61" t="s">
        <v>738</v>
      </c>
      <c r="G4" s="61" t="s">
        <v>855</v>
      </c>
      <c r="H4" s="61" t="s">
        <v>856</v>
      </c>
      <c r="I4" s="62" t="s">
        <v>857</v>
      </c>
      <c r="J4" s="61" t="s">
        <v>858</v>
      </c>
      <c r="K4" s="61" t="s">
        <v>859</v>
      </c>
      <c r="L4" s="62" t="s">
        <v>860</v>
      </c>
      <c r="M4" s="61" t="s">
        <v>861</v>
      </c>
      <c r="N4" s="62" t="s">
        <v>14</v>
      </c>
      <c r="O4" s="61" t="s">
        <v>862</v>
      </c>
      <c r="P4" s="61" t="s">
        <v>863</v>
      </c>
      <c r="Q4" s="61" t="s">
        <v>864</v>
      </c>
      <c r="R4" s="61" t="s">
        <v>263</v>
      </c>
      <c r="S4" s="61" t="s">
        <v>865</v>
      </c>
      <c r="T4" s="61" t="s">
        <v>866</v>
      </c>
      <c r="U4" s="61" t="s">
        <v>867</v>
      </c>
      <c r="V4" s="61" t="s">
        <v>868</v>
      </c>
      <c r="W4" s="61" t="s">
        <v>756</v>
      </c>
      <c r="X4" s="61" t="s">
        <v>869</v>
      </c>
      <c r="Y4" s="63" t="s">
        <v>870</v>
      </c>
      <c r="Z4" s="63" t="s">
        <v>871</v>
      </c>
      <c r="AA4" s="47" t="s">
        <v>872</v>
      </c>
      <c r="AB4" s="48" t="s">
        <v>873</v>
      </c>
    </row>
    <row r="5" spans="1:28" ht="15.75" customHeight="1" x14ac:dyDescent="0.2">
      <c r="A5" s="154" t="s">
        <v>874</v>
      </c>
      <c r="B5" s="122"/>
      <c r="C5" s="122"/>
      <c r="D5" s="122"/>
      <c r="E5" s="122"/>
      <c r="F5" s="122"/>
      <c r="G5" s="122"/>
      <c r="H5" s="122"/>
      <c r="I5" s="122"/>
      <c r="J5" s="122"/>
      <c r="K5" s="122"/>
      <c r="L5" s="122"/>
      <c r="M5" s="122"/>
      <c r="N5" s="122"/>
      <c r="O5" s="122"/>
      <c r="P5" s="122"/>
      <c r="Q5" s="122"/>
      <c r="R5" s="122"/>
      <c r="S5" s="122"/>
      <c r="T5" s="122"/>
      <c r="U5" s="122"/>
      <c r="V5" s="122"/>
      <c r="W5" s="122"/>
      <c r="X5" s="122"/>
    </row>
    <row r="6" spans="1:28" ht="18" customHeight="1" x14ac:dyDescent="0.15">
      <c r="A6" t="s">
        <v>875</v>
      </c>
      <c r="B6" t="s">
        <v>901</v>
      </c>
      <c r="C6" t="s">
        <v>785</v>
      </c>
      <c r="D6" t="s">
        <v>766</v>
      </c>
      <c r="E6" t="s">
        <v>902</v>
      </c>
      <c r="F6" t="s">
        <v>903</v>
      </c>
      <c r="G6" t="s">
        <v>2634</v>
      </c>
      <c r="H6" t="s">
        <v>2634</v>
      </c>
      <c r="I6" t="s">
        <v>1091</v>
      </c>
      <c r="J6" t="s">
        <v>2635</v>
      </c>
      <c r="K6" s="187">
        <v>46141.570138888892</v>
      </c>
      <c r="L6" s="187">
        <v>46141.607638888891</v>
      </c>
      <c r="M6">
        <v>18</v>
      </c>
      <c r="N6">
        <v>60</v>
      </c>
      <c r="O6"/>
      <c r="P6"/>
      <c r="Q6" t="s">
        <v>2636</v>
      </c>
      <c r="R6"/>
      <c r="S6" s="188" t="s">
        <v>2637</v>
      </c>
      <c r="T6" t="s">
        <v>2638</v>
      </c>
      <c r="U6"/>
      <c r="V6"/>
      <c r="W6" s="187">
        <v>46141.732638888891</v>
      </c>
      <c r="X6" t="s">
        <v>883</v>
      </c>
      <c r="Y6" s="64">
        <f t="shared" ref="Y6:Y13" si="0">MAX(0,IFERROR((LEN($T6)-LEN(SUBSTITUTE($T6,"Quality of Works / Criteria of Failings:","")))/LEN("Quality of Works / Criteria of Failings:"),0)-IFERROR((LEN($T6)-LEN(SUBSTITUTE($T6,"Quality of Works / Criteria of Failings:Compliant","")))/LEN("Quality of Works / Criteria of Failings:Compliant"),0))</f>
        <v>0</v>
      </c>
      <c r="Z6" s="65">
        <f t="shared" ref="Z6:Z13" si="1">IFERROR($Y6/MAX(1,(LEN($I6)-LEN(SUBSTITUTE($I6," Ltd","")))/LEN(" Ltd")),0)</f>
        <v>0</v>
      </c>
      <c r="AA6" s="66">
        <f t="shared" ref="AA6:AA13" si="2">IFERROR(IFERROR((LEN($T6)-LEN(SUBSTITUTE($T6,"Quality of Works / Criteria of Failings:","")))/LEN("Quality of Works / Criteria of Failings:"),0)/MAX(1,(LEN($I6)-LEN(SUBSTITUTE($I6," Ltd","")))/LEN(" Ltd")),0)</f>
        <v>4</v>
      </c>
      <c r="AB6" s="66">
        <f t="shared" ref="AB6:AB13" si="3">IFERROR(IFERROR((LEN($T6)-LEN(SUBSTITUTE($T6,"Quality of Works / Criteria of Failings:Compliant","")))/LEN("Quality of Works / Criteria of Failings:Compliant"),0)/MAX(1,(LEN($I6)-LEN(SUBSTITUTE($I6," Ltd","")))/LEN(" Ltd")),0)</f>
        <v>4</v>
      </c>
    </row>
    <row r="7" spans="1:28" ht="18" customHeight="1" x14ac:dyDescent="0.15">
      <c r="A7" t="s">
        <v>875</v>
      </c>
      <c r="B7" t="s">
        <v>901</v>
      </c>
      <c r="C7" t="s">
        <v>785</v>
      </c>
      <c r="D7" t="s">
        <v>766</v>
      </c>
      <c r="E7" t="s">
        <v>902</v>
      </c>
      <c r="F7" t="s">
        <v>903</v>
      </c>
      <c r="G7" t="s">
        <v>2639</v>
      </c>
      <c r="H7" t="s">
        <v>902</v>
      </c>
      <c r="I7" t="s">
        <v>1091</v>
      </c>
      <c r="J7" t="s">
        <v>2640</v>
      </c>
      <c r="K7" s="187">
        <v>46141.607638888891</v>
      </c>
      <c r="L7" s="187">
        <v>46141.615277777775</v>
      </c>
      <c r="M7">
        <v>5</v>
      </c>
      <c r="N7">
        <v>67</v>
      </c>
      <c r="O7"/>
      <c r="P7"/>
      <c r="Q7" t="s">
        <v>2641</v>
      </c>
      <c r="R7"/>
      <c r="S7" s="188" t="s">
        <v>2642</v>
      </c>
      <c r="T7" t="s">
        <v>2643</v>
      </c>
      <c r="U7"/>
      <c r="V7"/>
      <c r="W7" s="187">
        <v>46141.728472222225</v>
      </c>
      <c r="X7" t="s">
        <v>883</v>
      </c>
      <c r="Y7" s="65">
        <f t="shared" si="0"/>
        <v>0</v>
      </c>
      <c r="Z7" s="65">
        <f t="shared" si="1"/>
        <v>0</v>
      </c>
      <c r="AA7" s="66">
        <f t="shared" si="2"/>
        <v>2</v>
      </c>
      <c r="AB7" s="66">
        <f t="shared" si="3"/>
        <v>2</v>
      </c>
    </row>
    <row r="8" spans="1:28" ht="18" customHeight="1" x14ac:dyDescent="0.15">
      <c r="A8" t="s">
        <v>875</v>
      </c>
      <c r="B8" t="s">
        <v>901</v>
      </c>
      <c r="C8" t="s">
        <v>785</v>
      </c>
      <c r="D8" t="s">
        <v>766</v>
      </c>
      <c r="E8" t="s">
        <v>902</v>
      </c>
      <c r="F8" t="s">
        <v>903</v>
      </c>
      <c r="G8" t="s">
        <v>2644</v>
      </c>
      <c r="H8" t="s">
        <v>902</v>
      </c>
      <c r="I8" t="s">
        <v>1091</v>
      </c>
      <c r="J8" t="s">
        <v>2640</v>
      </c>
      <c r="K8" s="187">
        <v>46141.65902777778</v>
      </c>
      <c r="L8" s="187">
        <v>46141.664583333331</v>
      </c>
      <c r="M8">
        <v>5</v>
      </c>
      <c r="N8">
        <v>100</v>
      </c>
      <c r="O8"/>
      <c r="P8"/>
      <c r="Q8" t="s">
        <v>2645</v>
      </c>
      <c r="R8"/>
      <c r="S8" s="188" t="s">
        <v>2646</v>
      </c>
      <c r="T8" t="s">
        <v>2647</v>
      </c>
      <c r="U8"/>
      <c r="V8"/>
      <c r="W8" s="187">
        <v>46141.716666666667</v>
      </c>
      <c r="X8" t="s">
        <v>883</v>
      </c>
      <c r="Y8" s="65">
        <f t="shared" si="0"/>
        <v>0</v>
      </c>
      <c r="Z8" s="65">
        <f t="shared" si="1"/>
        <v>0</v>
      </c>
      <c r="AA8" s="66">
        <f t="shared" si="2"/>
        <v>1</v>
      </c>
      <c r="AB8" s="66">
        <f t="shared" si="3"/>
        <v>1</v>
      </c>
    </row>
    <row r="9" spans="1:28" ht="18" customHeight="1" x14ac:dyDescent="0.15">
      <c r="A9" t="s">
        <v>875</v>
      </c>
      <c r="B9" t="s">
        <v>901</v>
      </c>
      <c r="C9" t="s">
        <v>785</v>
      </c>
      <c r="D9" t="s">
        <v>766</v>
      </c>
      <c r="E9" t="s">
        <v>902</v>
      </c>
      <c r="F9" t="s">
        <v>903</v>
      </c>
      <c r="G9" t="s">
        <v>2648</v>
      </c>
      <c r="H9" t="s">
        <v>2648</v>
      </c>
      <c r="I9" t="s">
        <v>2649</v>
      </c>
      <c r="J9" t="s">
        <v>2650</v>
      </c>
      <c r="K9" s="187">
        <v>46140.567361111112</v>
      </c>
      <c r="L9" s="187">
        <v>46140.647916666669</v>
      </c>
      <c r="M9">
        <v>116</v>
      </c>
      <c r="N9">
        <v>19</v>
      </c>
      <c r="O9"/>
      <c r="P9" s="188" t="s">
        <v>2651</v>
      </c>
      <c r="Q9" t="s">
        <v>2652</v>
      </c>
      <c r="R9"/>
      <c r="S9" s="188" t="s">
        <v>2653</v>
      </c>
      <c r="T9" s="188" t="s">
        <v>2654</v>
      </c>
      <c r="U9"/>
      <c r="V9"/>
      <c r="W9" s="187">
        <v>46141.059027777781</v>
      </c>
      <c r="X9" t="s">
        <v>2655</v>
      </c>
      <c r="Y9" s="65">
        <f t="shared" si="0"/>
        <v>7</v>
      </c>
      <c r="Z9" s="65">
        <f t="shared" si="1"/>
        <v>7</v>
      </c>
      <c r="AA9" s="66">
        <f t="shared" si="2"/>
        <v>7</v>
      </c>
      <c r="AB9" s="66">
        <f t="shared" si="3"/>
        <v>0</v>
      </c>
    </row>
    <row r="10" spans="1:28" ht="18" customHeight="1" x14ac:dyDescent="0.15">
      <c r="A10" t="s">
        <v>875</v>
      </c>
      <c r="B10" t="s">
        <v>901</v>
      </c>
      <c r="C10" t="s">
        <v>785</v>
      </c>
      <c r="D10" t="s">
        <v>766</v>
      </c>
      <c r="E10" t="s">
        <v>902</v>
      </c>
      <c r="F10" t="s">
        <v>903</v>
      </c>
      <c r="G10" t="s">
        <v>905</v>
      </c>
      <c r="H10" t="s">
        <v>927</v>
      </c>
      <c r="I10" t="s">
        <v>906</v>
      </c>
      <c r="J10" t="s">
        <v>928</v>
      </c>
      <c r="K10" s="187">
        <v>46139.617361111108</v>
      </c>
      <c r="L10" s="187">
        <v>46139.62777777778</v>
      </c>
      <c r="M10">
        <v>14</v>
      </c>
      <c r="N10">
        <v>20</v>
      </c>
      <c r="O10"/>
      <c r="P10" s="188" t="s">
        <v>929</v>
      </c>
      <c r="Q10" t="s">
        <v>930</v>
      </c>
      <c r="R10"/>
      <c r="S10" s="188" t="s">
        <v>931</v>
      </c>
      <c r="T10" s="188" t="s">
        <v>2656</v>
      </c>
      <c r="U10"/>
      <c r="V10"/>
      <c r="W10" s="187">
        <v>46139.722222222219</v>
      </c>
      <c r="X10" t="s">
        <v>2657</v>
      </c>
      <c r="Y10" s="65">
        <f t="shared" si="0"/>
        <v>4</v>
      </c>
      <c r="Z10" s="64">
        <f t="shared" si="1"/>
        <v>4</v>
      </c>
      <c r="AA10" s="66">
        <f t="shared" si="2"/>
        <v>4</v>
      </c>
      <c r="AB10" s="66">
        <f t="shared" si="3"/>
        <v>0</v>
      </c>
    </row>
    <row r="11" spans="1:28" ht="18" customHeight="1" x14ac:dyDescent="0.15">
      <c r="A11" t="s">
        <v>875</v>
      </c>
      <c r="B11" t="s">
        <v>901</v>
      </c>
      <c r="C11" t="s">
        <v>785</v>
      </c>
      <c r="D11" t="s">
        <v>766</v>
      </c>
      <c r="E11" t="s">
        <v>902</v>
      </c>
      <c r="F11" t="s">
        <v>903</v>
      </c>
      <c r="G11" t="s">
        <v>905</v>
      </c>
      <c r="H11" t="s">
        <v>905</v>
      </c>
      <c r="I11" t="s">
        <v>906</v>
      </c>
      <c r="J11" t="s">
        <v>932</v>
      </c>
      <c r="K11" s="187">
        <v>46139.642361111109</v>
      </c>
      <c r="L11" s="187">
        <v>46139.67083333333</v>
      </c>
      <c r="M11">
        <v>40</v>
      </c>
      <c r="N11">
        <v>60</v>
      </c>
      <c r="O11"/>
      <c r="P11"/>
      <c r="Q11" t="s">
        <v>933</v>
      </c>
      <c r="R11"/>
      <c r="S11" s="188" t="s">
        <v>934</v>
      </c>
      <c r="T11" t="s">
        <v>935</v>
      </c>
      <c r="U11"/>
      <c r="V11"/>
      <c r="W11" s="187">
        <v>46139.716666666667</v>
      </c>
      <c r="X11" t="s">
        <v>2658</v>
      </c>
      <c r="Y11" s="64">
        <f t="shared" si="0"/>
        <v>0</v>
      </c>
      <c r="Z11" s="65">
        <f t="shared" si="1"/>
        <v>0</v>
      </c>
      <c r="AA11" s="66">
        <f t="shared" si="2"/>
        <v>4</v>
      </c>
      <c r="AB11" s="66">
        <f t="shared" si="3"/>
        <v>4</v>
      </c>
    </row>
    <row r="12" spans="1:28" ht="18" customHeight="1" x14ac:dyDescent="0.15">
      <c r="A12" t="s">
        <v>875</v>
      </c>
      <c r="B12" t="s">
        <v>823</v>
      </c>
      <c r="C12" t="s">
        <v>785</v>
      </c>
      <c r="D12" t="s">
        <v>766</v>
      </c>
      <c r="E12" t="s">
        <v>767</v>
      </c>
      <c r="F12" t="s">
        <v>808</v>
      </c>
      <c r="G12" t="s">
        <v>919</v>
      </c>
      <c r="H12" t="s">
        <v>919</v>
      </c>
      <c r="I12" t="s">
        <v>818</v>
      </c>
      <c r="J12" t="s">
        <v>920</v>
      </c>
      <c r="K12" s="187">
        <v>46136.413194444445</v>
      </c>
      <c r="L12" s="187">
        <v>46136.417361111111</v>
      </c>
      <c r="M12">
        <v>3</v>
      </c>
      <c r="N12">
        <v>75</v>
      </c>
      <c r="O12"/>
      <c r="P12"/>
      <c r="Q12" t="s">
        <v>921</v>
      </c>
      <c r="R12"/>
      <c r="S12" s="188" t="s">
        <v>2659</v>
      </c>
      <c r="T12" t="s">
        <v>922</v>
      </c>
      <c r="U12"/>
      <c r="V12"/>
      <c r="W12" s="187">
        <v>46137.061805555553</v>
      </c>
      <c r="X12" t="s">
        <v>883</v>
      </c>
      <c r="Y12" s="65">
        <f t="shared" si="0"/>
        <v>0</v>
      </c>
      <c r="Z12" s="65">
        <f t="shared" si="1"/>
        <v>0</v>
      </c>
      <c r="AA12" s="66">
        <f t="shared" si="2"/>
        <v>1</v>
      </c>
      <c r="AB12" s="66">
        <f t="shared" si="3"/>
        <v>1</v>
      </c>
    </row>
    <row r="13" spans="1:28" ht="18" customHeight="1" x14ac:dyDescent="0.15">
      <c r="A13" t="s">
        <v>875</v>
      </c>
      <c r="B13" t="s">
        <v>823</v>
      </c>
      <c r="C13" t="s">
        <v>785</v>
      </c>
      <c r="D13" t="s">
        <v>766</v>
      </c>
      <c r="E13" t="s">
        <v>767</v>
      </c>
      <c r="F13" t="s">
        <v>808</v>
      </c>
      <c r="G13" t="s">
        <v>923</v>
      </c>
      <c r="H13"/>
      <c r="I13" t="s">
        <v>818</v>
      </c>
      <c r="J13" t="s">
        <v>924</v>
      </c>
      <c r="K13" s="187">
        <v>46136.418749999997</v>
      </c>
      <c r="L13" s="187">
        <v>46136.421527777777</v>
      </c>
      <c r="M13">
        <v>3</v>
      </c>
      <c r="N13">
        <v>75</v>
      </c>
      <c r="O13"/>
      <c r="P13"/>
      <c r="Q13" t="s">
        <v>925</v>
      </c>
      <c r="R13"/>
      <c r="S13" s="188" t="s">
        <v>2660</v>
      </c>
      <c r="T13" t="s">
        <v>926</v>
      </c>
      <c r="U13"/>
      <c r="V13"/>
      <c r="W13" s="187">
        <v>46137.060416666667</v>
      </c>
      <c r="X13" t="s">
        <v>883</v>
      </c>
      <c r="Y13" s="65">
        <f t="shared" si="0"/>
        <v>0</v>
      </c>
      <c r="Z13" s="65">
        <f t="shared" si="1"/>
        <v>0</v>
      </c>
      <c r="AA13" s="66">
        <f t="shared" si="2"/>
        <v>1</v>
      </c>
      <c r="AB13" s="66">
        <f t="shared" si="3"/>
        <v>1</v>
      </c>
    </row>
    <row r="14" spans="1:28" ht="18" customHeight="1" x14ac:dyDescent="0.15">
      <c r="A14" t="s">
        <v>875</v>
      </c>
      <c r="B14" t="s">
        <v>901</v>
      </c>
      <c r="C14" t="s">
        <v>785</v>
      </c>
      <c r="D14" t="s">
        <v>766</v>
      </c>
      <c r="E14" t="s">
        <v>902</v>
      </c>
      <c r="F14" t="s">
        <v>903</v>
      </c>
      <c r="G14" t="s">
        <v>912</v>
      </c>
      <c r="H14"/>
      <c r="I14" t="s">
        <v>913</v>
      </c>
      <c r="J14" t="s">
        <v>914</v>
      </c>
      <c r="K14" s="187">
        <v>46134.494444444441</v>
      </c>
      <c r="L14" s="187">
        <v>46134.497916666667</v>
      </c>
      <c r="M14">
        <v>5</v>
      </c>
      <c r="N14">
        <v>75</v>
      </c>
      <c r="O14"/>
      <c r="P14"/>
      <c r="Q14" t="s">
        <v>915</v>
      </c>
      <c r="R14"/>
      <c r="S14" s="188" t="s">
        <v>916</v>
      </c>
      <c r="T14" t="s">
        <v>917</v>
      </c>
      <c r="U14"/>
      <c r="V14"/>
      <c r="W14" s="187">
        <v>46135.06527777778</v>
      </c>
      <c r="X14" t="s">
        <v>918</v>
      </c>
      <c r="Y14" s="65">
        <f t="shared" ref="Y14:Y77" si="4">MAX(0,IFERROR((LEN($T15)-LEN(SUBSTITUTE($T15,"Quality of Works / Criteria of Failings:","")))/LEN("Quality of Works / Criteria of Failings:"),0)-IFERROR((LEN($T15)-LEN(SUBSTITUTE($T15,"Quality of Works / Criteria of Failings:Compliant","")))/LEN("Quality of Works / Criteria of Failings:Compliant"),0))</f>
        <v>1</v>
      </c>
      <c r="Z14" s="64">
        <f t="shared" ref="Z14:Z77" si="5">IFERROR($Y15/MAX(1,(LEN($I15)-LEN(SUBSTITUTE($I15," Ltd","")))/LEN(" Ltd")),0)</f>
        <v>0</v>
      </c>
      <c r="AA14" s="66">
        <f t="shared" ref="AA14:AA77" si="6">IFERROR(IFERROR((LEN($T15)-LEN(SUBSTITUTE($T15,"Quality of Works / Criteria of Failings:","")))/LEN("Quality of Works / Criteria of Failings:"),0)/MAX(1,(LEN($I15)-LEN(SUBSTITUTE($I15," Ltd","")))/LEN(" Ltd")),0)</f>
        <v>9</v>
      </c>
      <c r="AB14" s="66">
        <f t="shared" ref="AB14:AB77" si="7">IFERROR(IFERROR((LEN($T15)-LEN(SUBSTITUTE($T15,"Quality of Works / Criteria of Failings:Compliant","")))/LEN("Quality of Works / Criteria of Failings:Compliant"),0)/MAX(1,(LEN($I15)-LEN(SUBSTITUTE($I15," Ltd","")))/LEN(" Ltd")),0)</f>
        <v>8</v>
      </c>
    </row>
    <row r="15" spans="1:28" ht="18" customHeight="1" x14ac:dyDescent="0.15">
      <c r="A15" t="s">
        <v>875</v>
      </c>
      <c r="B15" t="s">
        <v>901</v>
      </c>
      <c r="C15" t="s">
        <v>785</v>
      </c>
      <c r="D15" t="s">
        <v>766</v>
      </c>
      <c r="E15" t="s">
        <v>902</v>
      </c>
      <c r="F15" t="s">
        <v>903</v>
      </c>
      <c r="G15" t="s">
        <v>904</v>
      </c>
      <c r="H15" t="s">
        <v>905</v>
      </c>
      <c r="I15" t="s">
        <v>906</v>
      </c>
      <c r="J15" t="s">
        <v>907</v>
      </c>
      <c r="K15" s="187">
        <v>46129.507638888892</v>
      </c>
      <c r="L15" s="187">
        <v>46133.9375</v>
      </c>
      <c r="M15">
        <v>109</v>
      </c>
      <c r="N15">
        <v>50</v>
      </c>
      <c r="O15"/>
      <c r="P15" s="188" t="s">
        <v>908</v>
      </c>
      <c r="Q15" t="s">
        <v>909</v>
      </c>
      <c r="R15" s="188" t="s">
        <v>910</v>
      </c>
      <c r="S15" s="188" t="s">
        <v>911</v>
      </c>
      <c r="T15" s="188" t="s">
        <v>2661</v>
      </c>
      <c r="U15"/>
      <c r="V15"/>
      <c r="W15" s="187">
        <v>46134.387499999997</v>
      </c>
      <c r="X15" t="s">
        <v>2662</v>
      </c>
      <c r="Y15" s="64">
        <f t="shared" si="4"/>
        <v>0</v>
      </c>
      <c r="Z15" s="65">
        <f t="shared" si="5"/>
        <v>0</v>
      </c>
      <c r="AA15" s="66">
        <f t="shared" si="6"/>
        <v>0</v>
      </c>
      <c r="AB15" s="66">
        <f t="shared" si="7"/>
        <v>0</v>
      </c>
    </row>
    <row r="16" spans="1:28" ht="18" customHeight="1" x14ac:dyDescent="0.2">
      <c r="A16" t="s">
        <v>875</v>
      </c>
      <c r="B16" t="s">
        <v>876</v>
      </c>
      <c r="C16" t="s">
        <v>785</v>
      </c>
      <c r="D16" t="s">
        <v>766</v>
      </c>
      <c r="E16" t="s">
        <v>767</v>
      </c>
      <c r="F16" t="s">
        <v>808</v>
      </c>
      <c r="G16" t="s">
        <v>896</v>
      </c>
      <c r="H16" t="s">
        <v>897</v>
      </c>
      <c r="I16" t="s">
        <v>898</v>
      </c>
      <c r="J16" t="s">
        <v>899</v>
      </c>
      <c r="K16" s="187">
        <v>46133.46875</v>
      </c>
      <c r="L16" s="187">
        <v>46133.470138888886</v>
      </c>
      <c r="M16">
        <v>2</v>
      </c>
      <c r="N16">
        <v>100</v>
      </c>
      <c r="O16"/>
      <c r="P16"/>
      <c r="Q16" t="s">
        <v>900</v>
      </c>
      <c r="R16"/>
      <c r="S16" s="188" t="s">
        <v>2663</v>
      </c>
      <c r="T16"/>
      <c r="U16"/>
      <c r="V16"/>
      <c r="W16" s="187">
        <v>46133.760416666664</v>
      </c>
      <c r="X16" t="s">
        <v>883</v>
      </c>
      <c r="Y16" s="1">
        <f t="shared" si="4"/>
        <v>0</v>
      </c>
      <c r="Z16" s="1">
        <f t="shared" si="5"/>
        <v>0</v>
      </c>
      <c r="AA16" s="1">
        <f t="shared" si="6"/>
        <v>1</v>
      </c>
      <c r="AB16" s="1">
        <f t="shared" si="7"/>
        <v>1</v>
      </c>
    </row>
    <row r="17" spans="1:28" ht="18" customHeight="1" x14ac:dyDescent="0.2">
      <c r="A17" t="s">
        <v>875</v>
      </c>
      <c r="B17" t="s">
        <v>888</v>
      </c>
      <c r="C17" t="s">
        <v>785</v>
      </c>
      <c r="D17" t="s">
        <v>766</v>
      </c>
      <c r="E17" t="s">
        <v>767</v>
      </c>
      <c r="F17" t="s">
        <v>808</v>
      </c>
      <c r="G17" t="s">
        <v>889</v>
      </c>
      <c r="H17" t="s">
        <v>890</v>
      </c>
      <c r="I17" t="s">
        <v>891</v>
      </c>
      <c r="J17" t="s">
        <v>892</v>
      </c>
      <c r="K17" s="187">
        <v>46129.584722222222</v>
      </c>
      <c r="L17" s="187">
        <v>46129.588888888888</v>
      </c>
      <c r="M17">
        <v>5</v>
      </c>
      <c r="N17">
        <v>75</v>
      </c>
      <c r="O17"/>
      <c r="P17"/>
      <c r="Q17" t="s">
        <v>893</v>
      </c>
      <c r="R17"/>
      <c r="S17" s="188" t="s">
        <v>894</v>
      </c>
      <c r="T17" t="s">
        <v>895</v>
      </c>
      <c r="U17"/>
      <c r="V17"/>
      <c r="W17" s="187">
        <v>46129.716666666667</v>
      </c>
      <c r="X17" t="s">
        <v>883</v>
      </c>
      <c r="Y17" s="1">
        <f t="shared" si="4"/>
        <v>0</v>
      </c>
      <c r="Z17" s="1">
        <f t="shared" si="5"/>
        <v>0</v>
      </c>
      <c r="AA17" s="1">
        <f t="shared" si="6"/>
        <v>0</v>
      </c>
      <c r="AB17" s="1">
        <f t="shared" si="7"/>
        <v>0</v>
      </c>
    </row>
    <row r="18" spans="1:28" ht="18" customHeight="1" x14ac:dyDescent="0.2">
      <c r="A18" t="s">
        <v>875</v>
      </c>
      <c r="B18" t="s">
        <v>876</v>
      </c>
      <c r="C18" t="s">
        <v>785</v>
      </c>
      <c r="D18" t="s">
        <v>766</v>
      </c>
      <c r="E18" t="s">
        <v>767</v>
      </c>
      <c r="F18" t="s">
        <v>808</v>
      </c>
      <c r="G18" t="s">
        <v>884</v>
      </c>
      <c r="H18" t="s">
        <v>884</v>
      </c>
      <c r="I18" t="s">
        <v>885</v>
      </c>
      <c r="J18"/>
      <c r="K18" s="187">
        <v>46121.397916666669</v>
      </c>
      <c r="L18" s="187">
        <v>46121.399305555555</v>
      </c>
      <c r="M18">
        <v>2</v>
      </c>
      <c r="N18">
        <v>100</v>
      </c>
      <c r="O18"/>
      <c r="P18"/>
      <c r="Q18" t="s">
        <v>887</v>
      </c>
      <c r="R18"/>
      <c r="S18" s="188" t="s">
        <v>2664</v>
      </c>
      <c r="T18"/>
      <c r="U18"/>
      <c r="V18"/>
      <c r="W18" s="187">
        <v>46121.727777777778</v>
      </c>
      <c r="X18" t="s">
        <v>883</v>
      </c>
      <c r="Y18" s="1">
        <f t="shared" si="4"/>
        <v>0</v>
      </c>
      <c r="Z18" s="1">
        <f t="shared" si="5"/>
        <v>0</v>
      </c>
      <c r="AA18" s="1">
        <f t="shared" si="6"/>
        <v>0.5</v>
      </c>
      <c r="AB18" s="1">
        <f t="shared" si="7"/>
        <v>0.5</v>
      </c>
    </row>
    <row r="19" spans="1:28" ht="18" customHeight="1" x14ac:dyDescent="0.2">
      <c r="A19" t="s">
        <v>875</v>
      </c>
      <c r="B19" t="s">
        <v>876</v>
      </c>
      <c r="C19" t="s">
        <v>785</v>
      </c>
      <c r="D19" t="s">
        <v>766</v>
      </c>
      <c r="E19" t="s">
        <v>767</v>
      </c>
      <c r="F19" t="s">
        <v>808</v>
      </c>
      <c r="G19" t="s">
        <v>877</v>
      </c>
      <c r="H19" t="s">
        <v>877</v>
      </c>
      <c r="I19" t="s">
        <v>878</v>
      </c>
      <c r="J19" t="s">
        <v>879</v>
      </c>
      <c r="K19" s="187">
        <v>46113.3</v>
      </c>
      <c r="L19" s="187">
        <v>46113.302777777775</v>
      </c>
      <c r="M19">
        <v>3</v>
      </c>
      <c r="N19">
        <v>75</v>
      </c>
      <c r="O19"/>
      <c r="P19"/>
      <c r="Q19" t="s">
        <v>880</v>
      </c>
      <c r="R19"/>
      <c r="S19" s="188" t="s">
        <v>881</v>
      </c>
      <c r="T19" t="s">
        <v>882</v>
      </c>
      <c r="U19"/>
      <c r="V19"/>
      <c r="W19" s="187">
        <v>46113.745833333334</v>
      </c>
      <c r="X19" t="s">
        <v>883</v>
      </c>
      <c r="Y19" s="1">
        <f t="shared" si="4"/>
        <v>0</v>
      </c>
      <c r="Z19" s="1">
        <f t="shared" si="5"/>
        <v>0</v>
      </c>
      <c r="AA19" s="1">
        <f t="shared" si="6"/>
        <v>0</v>
      </c>
      <c r="AB19" s="1">
        <f t="shared" si="7"/>
        <v>0</v>
      </c>
    </row>
    <row r="20" spans="1:28" ht="18" customHeight="1" x14ac:dyDescent="0.2">
      <c r="Y20" s="1">
        <f t="shared" si="4"/>
        <v>0</v>
      </c>
      <c r="Z20" s="1">
        <f t="shared" si="5"/>
        <v>0</v>
      </c>
      <c r="AA20" s="1">
        <f t="shared" si="6"/>
        <v>0</v>
      </c>
      <c r="AB20" s="1">
        <f t="shared" si="7"/>
        <v>0</v>
      </c>
    </row>
    <row r="21" spans="1:28" ht="18" customHeight="1" x14ac:dyDescent="0.2">
      <c r="Y21" s="1">
        <f t="shared" si="4"/>
        <v>0</v>
      </c>
      <c r="Z21" s="1">
        <f t="shared" si="5"/>
        <v>0</v>
      </c>
      <c r="AA21" s="1">
        <f t="shared" si="6"/>
        <v>0</v>
      </c>
      <c r="AB21" s="1">
        <f t="shared" si="7"/>
        <v>0</v>
      </c>
    </row>
    <row r="22" spans="1:28" ht="18" customHeight="1" x14ac:dyDescent="0.2">
      <c r="Y22" s="1">
        <f t="shared" si="4"/>
        <v>0</v>
      </c>
      <c r="Z22" s="1">
        <f t="shared" si="5"/>
        <v>0</v>
      </c>
      <c r="AA22" s="1">
        <f t="shared" si="6"/>
        <v>0</v>
      </c>
      <c r="AB22" s="1">
        <f t="shared" si="7"/>
        <v>0</v>
      </c>
    </row>
    <row r="23" spans="1:28" ht="18" customHeight="1" x14ac:dyDescent="0.2">
      <c r="Y23" s="1">
        <f t="shared" si="4"/>
        <v>0</v>
      </c>
      <c r="Z23" s="1">
        <f t="shared" si="5"/>
        <v>0</v>
      </c>
      <c r="AA23" s="1">
        <f t="shared" si="6"/>
        <v>0</v>
      </c>
      <c r="AB23" s="1">
        <f t="shared" si="7"/>
        <v>0</v>
      </c>
    </row>
    <row r="24" spans="1:28" ht="18" customHeight="1" x14ac:dyDescent="0.2">
      <c r="Y24" s="1">
        <f t="shared" si="4"/>
        <v>0</v>
      </c>
      <c r="Z24" s="1">
        <f t="shared" si="5"/>
        <v>0</v>
      </c>
      <c r="AA24" s="1">
        <f t="shared" si="6"/>
        <v>0</v>
      </c>
      <c r="AB24" s="1">
        <f t="shared" si="7"/>
        <v>0</v>
      </c>
    </row>
    <row r="25" spans="1:28" ht="18" customHeight="1" x14ac:dyDescent="0.2">
      <c r="Y25" s="1">
        <f t="shared" si="4"/>
        <v>0</v>
      </c>
      <c r="Z25" s="1">
        <f t="shared" si="5"/>
        <v>0</v>
      </c>
      <c r="AA25" s="1">
        <f t="shared" si="6"/>
        <v>0</v>
      </c>
      <c r="AB25" s="1">
        <f t="shared" si="7"/>
        <v>0</v>
      </c>
    </row>
    <row r="26" spans="1:28" ht="18" customHeight="1" x14ac:dyDescent="0.2">
      <c r="Y26" s="1">
        <f t="shared" si="4"/>
        <v>0</v>
      </c>
      <c r="Z26" s="1">
        <f t="shared" si="5"/>
        <v>0</v>
      </c>
      <c r="AA26" s="1">
        <f t="shared" si="6"/>
        <v>0</v>
      </c>
      <c r="AB26" s="1">
        <f t="shared" si="7"/>
        <v>0</v>
      </c>
    </row>
    <row r="27" spans="1:28" ht="18" customHeight="1" x14ac:dyDescent="0.2">
      <c r="Y27" s="1">
        <f t="shared" si="4"/>
        <v>0</v>
      </c>
      <c r="Z27" s="1">
        <f t="shared" si="5"/>
        <v>0</v>
      </c>
      <c r="AA27" s="1">
        <f t="shared" si="6"/>
        <v>0</v>
      </c>
      <c r="AB27" s="1">
        <f t="shared" si="7"/>
        <v>0</v>
      </c>
    </row>
    <row r="28" spans="1:28" ht="18" customHeight="1" x14ac:dyDescent="0.2">
      <c r="Y28" s="1">
        <f t="shared" si="4"/>
        <v>0</v>
      </c>
      <c r="Z28" s="1">
        <f t="shared" si="5"/>
        <v>0</v>
      </c>
      <c r="AA28" s="1">
        <f t="shared" si="6"/>
        <v>0</v>
      </c>
      <c r="AB28" s="1">
        <f t="shared" si="7"/>
        <v>0</v>
      </c>
    </row>
    <row r="29" spans="1:28" ht="18" customHeight="1" x14ac:dyDescent="0.2">
      <c r="Y29" s="1">
        <f t="shared" si="4"/>
        <v>0</v>
      </c>
      <c r="Z29" s="1">
        <f t="shared" si="5"/>
        <v>0</v>
      </c>
      <c r="AA29" s="1">
        <f t="shared" si="6"/>
        <v>0</v>
      </c>
      <c r="AB29" s="1">
        <f t="shared" si="7"/>
        <v>0</v>
      </c>
    </row>
    <row r="30" spans="1:28" ht="18" customHeight="1" x14ac:dyDescent="0.2">
      <c r="Y30" s="1">
        <f t="shared" si="4"/>
        <v>0</v>
      </c>
      <c r="Z30" s="1">
        <f t="shared" si="5"/>
        <v>0</v>
      </c>
      <c r="AA30" s="1">
        <f t="shared" si="6"/>
        <v>0</v>
      </c>
      <c r="AB30" s="1">
        <f t="shared" si="7"/>
        <v>0</v>
      </c>
    </row>
    <row r="31" spans="1:28" ht="18" customHeight="1" x14ac:dyDescent="0.2">
      <c r="Y31" s="1">
        <f t="shared" si="4"/>
        <v>0</v>
      </c>
      <c r="Z31" s="1">
        <f t="shared" si="5"/>
        <v>0</v>
      </c>
      <c r="AA31" s="1">
        <f t="shared" si="6"/>
        <v>0</v>
      </c>
      <c r="AB31" s="1">
        <f t="shared" si="7"/>
        <v>0</v>
      </c>
    </row>
    <row r="32" spans="1:28" ht="18" customHeight="1" x14ac:dyDescent="0.2">
      <c r="Y32" s="1">
        <f t="shared" si="4"/>
        <v>0</v>
      </c>
      <c r="Z32" s="1">
        <f t="shared" si="5"/>
        <v>0</v>
      </c>
      <c r="AA32" s="1">
        <f t="shared" si="6"/>
        <v>0</v>
      </c>
      <c r="AB32" s="1">
        <f t="shared" si="7"/>
        <v>0</v>
      </c>
    </row>
    <row r="33" spans="25:28" ht="18" customHeight="1" x14ac:dyDescent="0.2">
      <c r="Y33" s="1">
        <f t="shared" si="4"/>
        <v>0</v>
      </c>
      <c r="Z33" s="1">
        <f t="shared" si="5"/>
        <v>0</v>
      </c>
      <c r="AA33" s="1">
        <f t="shared" si="6"/>
        <v>0</v>
      </c>
      <c r="AB33" s="1">
        <f t="shared" si="7"/>
        <v>0</v>
      </c>
    </row>
    <row r="34" spans="25:28" ht="18" customHeight="1" x14ac:dyDescent="0.2">
      <c r="Y34" s="1">
        <f t="shared" si="4"/>
        <v>0</v>
      </c>
      <c r="Z34" s="1">
        <f t="shared" si="5"/>
        <v>0</v>
      </c>
      <c r="AA34" s="1">
        <f t="shared" si="6"/>
        <v>0</v>
      </c>
      <c r="AB34" s="1">
        <f t="shared" si="7"/>
        <v>0</v>
      </c>
    </row>
    <row r="35" spans="25:28" ht="18" customHeight="1" x14ac:dyDescent="0.2">
      <c r="Y35" s="1">
        <f t="shared" si="4"/>
        <v>0</v>
      </c>
      <c r="Z35" s="1">
        <f t="shared" si="5"/>
        <v>0</v>
      </c>
      <c r="AA35" s="1">
        <f t="shared" si="6"/>
        <v>0</v>
      </c>
      <c r="AB35" s="1">
        <f t="shared" si="7"/>
        <v>0</v>
      </c>
    </row>
    <row r="36" spans="25:28" ht="18" customHeight="1" x14ac:dyDescent="0.2">
      <c r="Y36" s="1">
        <f t="shared" si="4"/>
        <v>0</v>
      </c>
      <c r="Z36" s="1">
        <f t="shared" si="5"/>
        <v>0</v>
      </c>
      <c r="AA36" s="1">
        <f t="shared" si="6"/>
        <v>0</v>
      </c>
      <c r="AB36" s="1">
        <f t="shared" si="7"/>
        <v>0</v>
      </c>
    </row>
    <row r="37" spans="25:28" ht="18" customHeight="1" x14ac:dyDescent="0.2">
      <c r="Y37" s="1">
        <f t="shared" si="4"/>
        <v>0</v>
      </c>
      <c r="Z37" s="1">
        <f t="shared" si="5"/>
        <v>0</v>
      </c>
      <c r="AA37" s="1">
        <f t="shared" si="6"/>
        <v>0</v>
      </c>
      <c r="AB37" s="1">
        <f t="shared" si="7"/>
        <v>0</v>
      </c>
    </row>
    <row r="38" spans="25:28" ht="18" customHeight="1" x14ac:dyDescent="0.2">
      <c r="Y38" s="1">
        <f t="shared" si="4"/>
        <v>0</v>
      </c>
      <c r="Z38" s="1">
        <f t="shared" si="5"/>
        <v>0</v>
      </c>
      <c r="AA38" s="1">
        <f t="shared" si="6"/>
        <v>0</v>
      </c>
      <c r="AB38" s="1">
        <f t="shared" si="7"/>
        <v>0</v>
      </c>
    </row>
    <row r="39" spans="25:28" ht="18" customHeight="1" x14ac:dyDescent="0.2">
      <c r="Y39" s="1">
        <f t="shared" si="4"/>
        <v>0</v>
      </c>
      <c r="Z39" s="1">
        <f t="shared" si="5"/>
        <v>0</v>
      </c>
      <c r="AA39" s="1">
        <f t="shared" si="6"/>
        <v>0</v>
      </c>
      <c r="AB39" s="1">
        <f t="shared" si="7"/>
        <v>0</v>
      </c>
    </row>
    <row r="40" spans="25:28" ht="18" customHeight="1" x14ac:dyDescent="0.2">
      <c r="Y40" s="1">
        <f t="shared" si="4"/>
        <v>0</v>
      </c>
      <c r="Z40" s="1">
        <f t="shared" si="5"/>
        <v>0</v>
      </c>
      <c r="AA40" s="1">
        <f t="shared" si="6"/>
        <v>0</v>
      </c>
      <c r="AB40" s="1">
        <f t="shared" si="7"/>
        <v>0</v>
      </c>
    </row>
    <row r="41" spans="25:28" ht="18" customHeight="1" x14ac:dyDescent="0.2">
      <c r="Y41" s="1">
        <f t="shared" si="4"/>
        <v>0</v>
      </c>
      <c r="Z41" s="1">
        <f t="shared" si="5"/>
        <v>0</v>
      </c>
      <c r="AA41" s="1">
        <f t="shared" si="6"/>
        <v>0</v>
      </c>
      <c r="AB41" s="1">
        <f t="shared" si="7"/>
        <v>0</v>
      </c>
    </row>
    <row r="42" spans="25:28" ht="18" customHeight="1" x14ac:dyDescent="0.2">
      <c r="Y42" s="1">
        <f t="shared" si="4"/>
        <v>0</v>
      </c>
      <c r="Z42" s="1">
        <f t="shared" si="5"/>
        <v>0</v>
      </c>
      <c r="AA42" s="1">
        <f t="shared" si="6"/>
        <v>0</v>
      </c>
      <c r="AB42" s="1">
        <f t="shared" si="7"/>
        <v>0</v>
      </c>
    </row>
    <row r="43" spans="25:28" ht="18" customHeight="1" x14ac:dyDescent="0.2">
      <c r="Y43" s="1">
        <f t="shared" si="4"/>
        <v>0</v>
      </c>
      <c r="Z43" s="1">
        <f t="shared" si="5"/>
        <v>0</v>
      </c>
      <c r="AA43" s="1">
        <f t="shared" si="6"/>
        <v>0</v>
      </c>
      <c r="AB43" s="1">
        <f t="shared" si="7"/>
        <v>0</v>
      </c>
    </row>
    <row r="44" spans="25:28" ht="18" customHeight="1" x14ac:dyDescent="0.2">
      <c r="Y44" s="1">
        <f t="shared" si="4"/>
        <v>0</v>
      </c>
      <c r="Z44" s="1">
        <f t="shared" si="5"/>
        <v>0</v>
      </c>
      <c r="AA44" s="1">
        <f t="shared" si="6"/>
        <v>0</v>
      </c>
      <c r="AB44" s="1">
        <f t="shared" si="7"/>
        <v>0</v>
      </c>
    </row>
    <row r="45" spans="25:28" ht="18" customHeight="1" x14ac:dyDescent="0.2">
      <c r="Y45" s="1">
        <f t="shared" si="4"/>
        <v>0</v>
      </c>
      <c r="Z45" s="1">
        <f t="shared" si="5"/>
        <v>0</v>
      </c>
      <c r="AA45" s="1">
        <f t="shared" si="6"/>
        <v>0</v>
      </c>
      <c r="AB45" s="1">
        <f t="shared" si="7"/>
        <v>0</v>
      </c>
    </row>
    <row r="46" spans="25:28" ht="18" customHeight="1" x14ac:dyDescent="0.2">
      <c r="Y46" s="1">
        <f t="shared" si="4"/>
        <v>0</v>
      </c>
      <c r="Z46" s="1">
        <f t="shared" si="5"/>
        <v>0</v>
      </c>
      <c r="AA46" s="1">
        <f t="shared" si="6"/>
        <v>0</v>
      </c>
      <c r="AB46" s="1">
        <f t="shared" si="7"/>
        <v>0</v>
      </c>
    </row>
    <row r="47" spans="25:28" ht="18" customHeight="1" x14ac:dyDescent="0.2">
      <c r="Y47" s="1">
        <f t="shared" si="4"/>
        <v>0</v>
      </c>
      <c r="Z47" s="1">
        <f t="shared" si="5"/>
        <v>0</v>
      </c>
      <c r="AA47" s="1">
        <f t="shared" si="6"/>
        <v>0</v>
      </c>
      <c r="AB47" s="1">
        <f t="shared" si="7"/>
        <v>0</v>
      </c>
    </row>
    <row r="48" spans="25:28" ht="18" customHeight="1" x14ac:dyDescent="0.2">
      <c r="Y48" s="1">
        <f t="shared" si="4"/>
        <v>0</v>
      </c>
      <c r="Z48" s="1">
        <f t="shared" si="5"/>
        <v>0</v>
      </c>
      <c r="AA48" s="1">
        <f t="shared" si="6"/>
        <v>0</v>
      </c>
      <c r="AB48" s="1">
        <f t="shared" si="7"/>
        <v>0</v>
      </c>
    </row>
    <row r="49" spans="25:28" ht="18" customHeight="1" x14ac:dyDescent="0.2">
      <c r="Y49" s="1">
        <f t="shared" si="4"/>
        <v>0</v>
      </c>
      <c r="Z49" s="1">
        <f t="shared" si="5"/>
        <v>0</v>
      </c>
      <c r="AA49" s="1">
        <f t="shared" si="6"/>
        <v>0</v>
      </c>
      <c r="AB49" s="1">
        <f t="shared" si="7"/>
        <v>0</v>
      </c>
    </row>
    <row r="50" spans="25:28" ht="18" customHeight="1" x14ac:dyDescent="0.2">
      <c r="Y50" s="1">
        <f t="shared" si="4"/>
        <v>0</v>
      </c>
      <c r="Z50" s="1">
        <f t="shared" si="5"/>
        <v>0</v>
      </c>
      <c r="AA50" s="1">
        <f t="shared" si="6"/>
        <v>0</v>
      </c>
      <c r="AB50" s="1">
        <f t="shared" si="7"/>
        <v>0</v>
      </c>
    </row>
    <row r="51" spans="25:28" ht="18" customHeight="1" x14ac:dyDescent="0.2">
      <c r="Y51" s="1">
        <f t="shared" si="4"/>
        <v>0</v>
      </c>
      <c r="Z51" s="1">
        <f t="shared" si="5"/>
        <v>0</v>
      </c>
      <c r="AA51" s="1">
        <f t="shared" si="6"/>
        <v>0</v>
      </c>
      <c r="AB51" s="1">
        <f t="shared" si="7"/>
        <v>0</v>
      </c>
    </row>
    <row r="52" spans="25:28" ht="18" customHeight="1" x14ac:dyDescent="0.2">
      <c r="Y52" s="1">
        <f t="shared" si="4"/>
        <v>0</v>
      </c>
      <c r="Z52" s="1">
        <f t="shared" si="5"/>
        <v>0</v>
      </c>
      <c r="AA52" s="1">
        <f t="shared" si="6"/>
        <v>0</v>
      </c>
      <c r="AB52" s="1">
        <f t="shared" si="7"/>
        <v>0</v>
      </c>
    </row>
    <row r="53" spans="25:28" ht="18" customHeight="1" x14ac:dyDescent="0.2">
      <c r="Y53" s="1">
        <f t="shared" si="4"/>
        <v>0</v>
      </c>
      <c r="Z53" s="1">
        <f t="shared" si="5"/>
        <v>0</v>
      </c>
      <c r="AA53" s="1">
        <f t="shared" si="6"/>
        <v>0</v>
      </c>
      <c r="AB53" s="1">
        <f t="shared" si="7"/>
        <v>0</v>
      </c>
    </row>
    <row r="54" spans="25:28" ht="18" customHeight="1" x14ac:dyDescent="0.2">
      <c r="Y54" s="1">
        <f t="shared" si="4"/>
        <v>0</v>
      </c>
      <c r="Z54" s="1">
        <f t="shared" si="5"/>
        <v>0</v>
      </c>
      <c r="AA54" s="1">
        <f t="shared" si="6"/>
        <v>0</v>
      </c>
      <c r="AB54" s="1">
        <f t="shared" si="7"/>
        <v>0</v>
      </c>
    </row>
    <row r="55" spans="25:28" ht="18" customHeight="1" x14ac:dyDescent="0.2">
      <c r="Y55" s="1">
        <f t="shared" si="4"/>
        <v>0</v>
      </c>
      <c r="Z55" s="1">
        <f t="shared" si="5"/>
        <v>0</v>
      </c>
      <c r="AA55" s="1">
        <f t="shared" si="6"/>
        <v>0</v>
      </c>
      <c r="AB55" s="1">
        <f t="shared" si="7"/>
        <v>0</v>
      </c>
    </row>
    <row r="56" spans="25:28" ht="18" customHeight="1" x14ac:dyDescent="0.2">
      <c r="Y56" s="1">
        <f t="shared" si="4"/>
        <v>0</v>
      </c>
      <c r="Z56" s="1">
        <f t="shared" si="5"/>
        <v>0</v>
      </c>
      <c r="AA56" s="1">
        <f t="shared" si="6"/>
        <v>0</v>
      </c>
      <c r="AB56" s="1">
        <f t="shared" si="7"/>
        <v>0</v>
      </c>
    </row>
    <row r="57" spans="25:28" ht="18" customHeight="1" x14ac:dyDescent="0.2">
      <c r="Y57" s="1">
        <f t="shared" si="4"/>
        <v>0</v>
      </c>
      <c r="Z57" s="1">
        <f t="shared" si="5"/>
        <v>0</v>
      </c>
      <c r="AA57" s="1">
        <f t="shared" si="6"/>
        <v>0</v>
      </c>
      <c r="AB57" s="1">
        <f t="shared" si="7"/>
        <v>0</v>
      </c>
    </row>
    <row r="58" spans="25:28" ht="18" customHeight="1" x14ac:dyDescent="0.2">
      <c r="Y58" s="1">
        <f t="shared" si="4"/>
        <v>0</v>
      </c>
      <c r="Z58" s="1">
        <f t="shared" si="5"/>
        <v>0</v>
      </c>
      <c r="AA58" s="1">
        <f t="shared" si="6"/>
        <v>0</v>
      </c>
      <c r="AB58" s="1">
        <f t="shared" si="7"/>
        <v>0</v>
      </c>
    </row>
    <row r="59" spans="25:28" ht="18" customHeight="1" x14ac:dyDescent="0.2">
      <c r="Y59" s="1">
        <f t="shared" si="4"/>
        <v>0</v>
      </c>
      <c r="Z59" s="1">
        <f t="shared" si="5"/>
        <v>0</v>
      </c>
      <c r="AA59" s="1">
        <f t="shared" si="6"/>
        <v>0</v>
      </c>
      <c r="AB59" s="1">
        <f t="shared" si="7"/>
        <v>0</v>
      </c>
    </row>
    <row r="60" spans="25:28" ht="18" customHeight="1" x14ac:dyDescent="0.2">
      <c r="Y60" s="1">
        <f t="shared" si="4"/>
        <v>0</v>
      </c>
      <c r="Z60" s="1">
        <f t="shared" si="5"/>
        <v>0</v>
      </c>
      <c r="AA60" s="1">
        <f t="shared" si="6"/>
        <v>0</v>
      </c>
      <c r="AB60" s="1">
        <f t="shared" si="7"/>
        <v>0</v>
      </c>
    </row>
    <row r="61" spans="25:28" ht="18" customHeight="1" x14ac:dyDescent="0.2">
      <c r="Y61" s="1">
        <f t="shared" si="4"/>
        <v>0</v>
      </c>
      <c r="Z61" s="1">
        <f t="shared" si="5"/>
        <v>0</v>
      </c>
      <c r="AA61" s="1">
        <f t="shared" si="6"/>
        <v>0</v>
      </c>
      <c r="AB61" s="1">
        <f t="shared" si="7"/>
        <v>0</v>
      </c>
    </row>
    <row r="62" spans="25:28" ht="18" customHeight="1" x14ac:dyDescent="0.2">
      <c r="Y62" s="1">
        <f t="shared" si="4"/>
        <v>0</v>
      </c>
      <c r="Z62" s="1">
        <f t="shared" si="5"/>
        <v>0</v>
      </c>
      <c r="AA62" s="1">
        <f t="shared" si="6"/>
        <v>0</v>
      </c>
      <c r="AB62" s="1">
        <f t="shared" si="7"/>
        <v>0</v>
      </c>
    </row>
    <row r="63" spans="25:28" ht="18" customHeight="1" x14ac:dyDescent="0.2">
      <c r="Y63" s="1">
        <f t="shared" si="4"/>
        <v>0</v>
      </c>
      <c r="Z63" s="1">
        <f t="shared" si="5"/>
        <v>0</v>
      </c>
      <c r="AA63" s="1">
        <f t="shared" si="6"/>
        <v>0</v>
      </c>
      <c r="AB63" s="1">
        <f t="shared" si="7"/>
        <v>0</v>
      </c>
    </row>
    <row r="64" spans="25:28" ht="18" customHeight="1" x14ac:dyDescent="0.2">
      <c r="Y64" s="1">
        <f t="shared" si="4"/>
        <v>0</v>
      </c>
      <c r="Z64" s="1">
        <f t="shared" si="5"/>
        <v>0</v>
      </c>
      <c r="AA64" s="1">
        <f t="shared" si="6"/>
        <v>0</v>
      </c>
      <c r="AB64" s="1">
        <f t="shared" si="7"/>
        <v>0</v>
      </c>
    </row>
    <row r="65" spans="25:28" ht="18" customHeight="1" x14ac:dyDescent="0.2">
      <c r="Y65" s="1">
        <f t="shared" si="4"/>
        <v>0</v>
      </c>
      <c r="Z65" s="1">
        <f t="shared" si="5"/>
        <v>0</v>
      </c>
      <c r="AA65" s="1">
        <f t="shared" si="6"/>
        <v>0</v>
      </c>
      <c r="AB65" s="1">
        <f t="shared" si="7"/>
        <v>0</v>
      </c>
    </row>
    <row r="66" spans="25:28" ht="18" customHeight="1" x14ac:dyDescent="0.2">
      <c r="Y66" s="1">
        <f t="shared" si="4"/>
        <v>0</v>
      </c>
      <c r="Z66" s="1">
        <f t="shared" si="5"/>
        <v>0</v>
      </c>
      <c r="AA66" s="1">
        <f t="shared" si="6"/>
        <v>0</v>
      </c>
      <c r="AB66" s="1">
        <f t="shared" si="7"/>
        <v>0</v>
      </c>
    </row>
    <row r="67" spans="25:28" ht="18" customHeight="1" x14ac:dyDescent="0.2">
      <c r="Y67" s="1">
        <f t="shared" si="4"/>
        <v>0</v>
      </c>
      <c r="Z67" s="1">
        <f t="shared" si="5"/>
        <v>0</v>
      </c>
      <c r="AA67" s="1">
        <f t="shared" si="6"/>
        <v>0</v>
      </c>
      <c r="AB67" s="1">
        <f t="shared" si="7"/>
        <v>0</v>
      </c>
    </row>
    <row r="68" spans="25:28" ht="18" customHeight="1" x14ac:dyDescent="0.2">
      <c r="Y68" s="1">
        <f t="shared" si="4"/>
        <v>0</v>
      </c>
      <c r="Z68" s="1">
        <f t="shared" si="5"/>
        <v>0</v>
      </c>
      <c r="AA68" s="1">
        <f t="shared" si="6"/>
        <v>0</v>
      </c>
      <c r="AB68" s="1">
        <f t="shared" si="7"/>
        <v>0</v>
      </c>
    </row>
    <row r="69" spans="25:28" ht="18" customHeight="1" x14ac:dyDescent="0.2">
      <c r="Y69" s="1">
        <f t="shared" si="4"/>
        <v>0</v>
      </c>
      <c r="Z69" s="1">
        <f t="shared" si="5"/>
        <v>0</v>
      </c>
      <c r="AA69" s="1">
        <f t="shared" si="6"/>
        <v>0</v>
      </c>
      <c r="AB69" s="1">
        <f t="shared" si="7"/>
        <v>0</v>
      </c>
    </row>
    <row r="70" spans="25:28" ht="18" customHeight="1" x14ac:dyDescent="0.2">
      <c r="Y70" s="1">
        <f t="shared" si="4"/>
        <v>0</v>
      </c>
      <c r="Z70" s="1">
        <f t="shared" si="5"/>
        <v>0</v>
      </c>
      <c r="AA70" s="1">
        <f t="shared" si="6"/>
        <v>0</v>
      </c>
      <c r="AB70" s="1">
        <f t="shared" si="7"/>
        <v>0</v>
      </c>
    </row>
    <row r="71" spans="25:28" ht="18" customHeight="1" x14ac:dyDescent="0.2">
      <c r="Y71" s="1">
        <f t="shared" si="4"/>
        <v>0</v>
      </c>
      <c r="Z71" s="1">
        <f t="shared" si="5"/>
        <v>0</v>
      </c>
      <c r="AA71" s="1">
        <f t="shared" si="6"/>
        <v>0</v>
      </c>
      <c r="AB71" s="1">
        <f t="shared" si="7"/>
        <v>0</v>
      </c>
    </row>
    <row r="72" spans="25:28" ht="18" customHeight="1" x14ac:dyDescent="0.2">
      <c r="Y72" s="1">
        <f t="shared" si="4"/>
        <v>0</v>
      </c>
      <c r="Z72" s="1">
        <f t="shared" si="5"/>
        <v>0</v>
      </c>
      <c r="AA72" s="1">
        <f t="shared" si="6"/>
        <v>0</v>
      </c>
      <c r="AB72" s="1">
        <f t="shared" si="7"/>
        <v>0</v>
      </c>
    </row>
    <row r="73" spans="25:28" ht="18" customHeight="1" x14ac:dyDescent="0.2">
      <c r="Y73" s="1">
        <f t="shared" si="4"/>
        <v>0</v>
      </c>
      <c r="Z73" s="1">
        <f t="shared" si="5"/>
        <v>0</v>
      </c>
      <c r="AA73" s="1">
        <f t="shared" si="6"/>
        <v>0</v>
      </c>
      <c r="AB73" s="1">
        <f t="shared" si="7"/>
        <v>0</v>
      </c>
    </row>
    <row r="74" spans="25:28" ht="18" customHeight="1" x14ac:dyDescent="0.2">
      <c r="Y74" s="1">
        <f t="shared" si="4"/>
        <v>0</v>
      </c>
      <c r="Z74" s="1">
        <f t="shared" si="5"/>
        <v>0</v>
      </c>
      <c r="AA74" s="1">
        <f t="shared" si="6"/>
        <v>0</v>
      </c>
      <c r="AB74" s="1">
        <f t="shared" si="7"/>
        <v>0</v>
      </c>
    </row>
    <row r="75" spans="25:28" ht="18" customHeight="1" x14ac:dyDescent="0.2">
      <c r="Y75" s="1">
        <f t="shared" si="4"/>
        <v>0</v>
      </c>
      <c r="Z75" s="1">
        <f t="shared" si="5"/>
        <v>0</v>
      </c>
      <c r="AA75" s="1">
        <f t="shared" si="6"/>
        <v>0</v>
      </c>
      <c r="AB75" s="1">
        <f t="shared" si="7"/>
        <v>0</v>
      </c>
    </row>
    <row r="76" spans="25:28" ht="18" customHeight="1" x14ac:dyDescent="0.2">
      <c r="Y76" s="1">
        <f t="shared" si="4"/>
        <v>0</v>
      </c>
      <c r="Z76" s="1">
        <f t="shared" si="5"/>
        <v>0</v>
      </c>
      <c r="AA76" s="1">
        <f t="shared" si="6"/>
        <v>0</v>
      </c>
      <c r="AB76" s="1">
        <f t="shared" si="7"/>
        <v>0</v>
      </c>
    </row>
    <row r="77" spans="25:28" ht="18" customHeight="1" x14ac:dyDescent="0.2">
      <c r="Y77" s="1">
        <f t="shared" si="4"/>
        <v>0</v>
      </c>
      <c r="Z77" s="1">
        <f t="shared" si="5"/>
        <v>0</v>
      </c>
      <c r="AA77" s="1">
        <f t="shared" si="6"/>
        <v>0</v>
      </c>
      <c r="AB77" s="1">
        <f t="shared" si="7"/>
        <v>0</v>
      </c>
    </row>
    <row r="78" spans="25:28" ht="18" customHeight="1" x14ac:dyDescent="0.2">
      <c r="Y78" s="1">
        <f t="shared" ref="Y78:Y141" si="8">MAX(0,IFERROR((LEN($T79)-LEN(SUBSTITUTE($T79,"Quality of Works / Criteria of Failings:","")))/LEN("Quality of Works / Criteria of Failings:"),0)-IFERROR((LEN($T79)-LEN(SUBSTITUTE($T79,"Quality of Works / Criteria of Failings:Compliant","")))/LEN("Quality of Works / Criteria of Failings:Compliant"),0))</f>
        <v>0</v>
      </c>
      <c r="Z78" s="1">
        <f t="shared" ref="Z78:Z141" si="9">IFERROR($Y79/MAX(1,(LEN($I79)-LEN(SUBSTITUTE($I79," Ltd","")))/LEN(" Ltd")),0)</f>
        <v>0</v>
      </c>
      <c r="AA78" s="1">
        <f t="shared" ref="AA78:AA141" si="10">IFERROR(IFERROR((LEN($T79)-LEN(SUBSTITUTE($T79,"Quality of Works / Criteria of Failings:","")))/LEN("Quality of Works / Criteria of Failings:"),0)/MAX(1,(LEN($I79)-LEN(SUBSTITUTE($I79," Ltd","")))/LEN(" Ltd")),0)</f>
        <v>0</v>
      </c>
      <c r="AB78" s="1">
        <f t="shared" ref="AB78:AB141" si="11">IFERROR(IFERROR((LEN($T79)-LEN(SUBSTITUTE($T79,"Quality of Works / Criteria of Failings:Compliant","")))/LEN("Quality of Works / Criteria of Failings:Compliant"),0)/MAX(1,(LEN($I79)-LEN(SUBSTITUTE($I79," Ltd","")))/LEN(" Ltd")),0)</f>
        <v>0</v>
      </c>
    </row>
    <row r="79" spans="25:28" ht="18" customHeight="1" x14ac:dyDescent="0.2">
      <c r="Y79" s="1">
        <f t="shared" si="8"/>
        <v>0</v>
      </c>
      <c r="Z79" s="1">
        <f t="shared" si="9"/>
        <v>0</v>
      </c>
      <c r="AA79" s="1">
        <f t="shared" si="10"/>
        <v>0</v>
      </c>
      <c r="AB79" s="1">
        <f t="shared" si="11"/>
        <v>0</v>
      </c>
    </row>
    <row r="80" spans="25:28" ht="18" customHeight="1" x14ac:dyDescent="0.2">
      <c r="Y80" s="1">
        <f t="shared" si="8"/>
        <v>0</v>
      </c>
      <c r="Z80" s="1">
        <f t="shared" si="9"/>
        <v>0</v>
      </c>
      <c r="AA80" s="1">
        <f t="shared" si="10"/>
        <v>0</v>
      </c>
      <c r="AB80" s="1">
        <f t="shared" si="11"/>
        <v>0</v>
      </c>
    </row>
    <row r="81" spans="25:28" ht="18" customHeight="1" x14ac:dyDescent="0.2">
      <c r="Y81" s="1">
        <f t="shared" si="8"/>
        <v>0</v>
      </c>
      <c r="Z81" s="1">
        <f t="shared" si="9"/>
        <v>0</v>
      </c>
      <c r="AA81" s="1">
        <f t="shared" si="10"/>
        <v>0</v>
      </c>
      <c r="AB81" s="1">
        <f t="shared" si="11"/>
        <v>0</v>
      </c>
    </row>
    <row r="82" spans="25:28" ht="18" customHeight="1" x14ac:dyDescent="0.2">
      <c r="Y82" s="1">
        <f t="shared" si="8"/>
        <v>0</v>
      </c>
      <c r="Z82" s="1">
        <f t="shared" si="9"/>
        <v>0</v>
      </c>
      <c r="AA82" s="1">
        <f t="shared" si="10"/>
        <v>0</v>
      </c>
      <c r="AB82" s="1">
        <f t="shared" si="11"/>
        <v>0</v>
      </c>
    </row>
    <row r="83" spans="25:28" ht="18" customHeight="1" x14ac:dyDescent="0.2">
      <c r="Y83" s="1">
        <f t="shared" si="8"/>
        <v>0</v>
      </c>
      <c r="Z83" s="1">
        <f t="shared" si="9"/>
        <v>0</v>
      </c>
      <c r="AA83" s="1">
        <f t="shared" si="10"/>
        <v>0</v>
      </c>
      <c r="AB83" s="1">
        <f t="shared" si="11"/>
        <v>0</v>
      </c>
    </row>
    <row r="84" spans="25:28" ht="18" customHeight="1" x14ac:dyDescent="0.2">
      <c r="Y84" s="1">
        <f t="shared" si="8"/>
        <v>0</v>
      </c>
      <c r="Z84" s="1">
        <f t="shared" si="9"/>
        <v>0</v>
      </c>
      <c r="AA84" s="1">
        <f t="shared" si="10"/>
        <v>0</v>
      </c>
      <c r="AB84" s="1">
        <f t="shared" si="11"/>
        <v>0</v>
      </c>
    </row>
    <row r="85" spans="25:28" ht="18" customHeight="1" x14ac:dyDescent="0.2">
      <c r="Y85" s="1">
        <f t="shared" si="8"/>
        <v>0</v>
      </c>
      <c r="Z85" s="1">
        <f t="shared" si="9"/>
        <v>0</v>
      </c>
      <c r="AA85" s="1">
        <f t="shared" si="10"/>
        <v>0</v>
      </c>
      <c r="AB85" s="1">
        <f t="shared" si="11"/>
        <v>0</v>
      </c>
    </row>
    <row r="86" spans="25:28" ht="18" customHeight="1" x14ac:dyDescent="0.2">
      <c r="Y86" s="1">
        <f t="shared" si="8"/>
        <v>0</v>
      </c>
      <c r="Z86" s="1">
        <f t="shared" si="9"/>
        <v>0</v>
      </c>
      <c r="AA86" s="1">
        <f t="shared" si="10"/>
        <v>0</v>
      </c>
      <c r="AB86" s="1">
        <f t="shared" si="11"/>
        <v>0</v>
      </c>
    </row>
    <row r="87" spans="25:28" ht="18" customHeight="1" x14ac:dyDescent="0.2">
      <c r="Y87" s="1">
        <f t="shared" si="8"/>
        <v>0</v>
      </c>
      <c r="Z87" s="1">
        <f t="shared" si="9"/>
        <v>0</v>
      </c>
      <c r="AA87" s="1">
        <f t="shared" si="10"/>
        <v>0</v>
      </c>
      <c r="AB87" s="1">
        <f t="shared" si="11"/>
        <v>0</v>
      </c>
    </row>
    <row r="88" spans="25:28" ht="18" customHeight="1" x14ac:dyDescent="0.2">
      <c r="Y88" s="1">
        <f t="shared" si="8"/>
        <v>0</v>
      </c>
      <c r="Z88" s="1">
        <f t="shared" si="9"/>
        <v>0</v>
      </c>
      <c r="AA88" s="1">
        <f t="shared" si="10"/>
        <v>0</v>
      </c>
      <c r="AB88" s="1">
        <f t="shared" si="11"/>
        <v>0</v>
      </c>
    </row>
    <row r="89" spans="25:28" ht="18" customHeight="1" x14ac:dyDescent="0.2">
      <c r="Y89" s="1">
        <f t="shared" si="8"/>
        <v>0</v>
      </c>
      <c r="Z89" s="1">
        <f t="shared" si="9"/>
        <v>0</v>
      </c>
      <c r="AA89" s="1">
        <f t="shared" si="10"/>
        <v>0</v>
      </c>
      <c r="AB89" s="1">
        <f t="shared" si="11"/>
        <v>0</v>
      </c>
    </row>
    <row r="90" spans="25:28" ht="18" customHeight="1" x14ac:dyDescent="0.2">
      <c r="Y90" s="1">
        <f t="shared" si="8"/>
        <v>0</v>
      </c>
      <c r="Z90" s="1">
        <f t="shared" si="9"/>
        <v>0</v>
      </c>
      <c r="AA90" s="1">
        <f t="shared" si="10"/>
        <v>0</v>
      </c>
      <c r="AB90" s="1">
        <f t="shared" si="11"/>
        <v>0</v>
      </c>
    </row>
    <row r="91" spans="25:28" ht="18" customHeight="1" x14ac:dyDescent="0.2">
      <c r="Y91" s="1">
        <f t="shared" si="8"/>
        <v>0</v>
      </c>
      <c r="Z91" s="1">
        <f t="shared" si="9"/>
        <v>0</v>
      </c>
      <c r="AA91" s="1">
        <f t="shared" si="10"/>
        <v>0</v>
      </c>
      <c r="AB91" s="1">
        <f t="shared" si="11"/>
        <v>0</v>
      </c>
    </row>
    <row r="92" spans="25:28" ht="18" customHeight="1" x14ac:dyDescent="0.2">
      <c r="Y92" s="1">
        <f t="shared" si="8"/>
        <v>0</v>
      </c>
      <c r="Z92" s="1">
        <f t="shared" si="9"/>
        <v>0</v>
      </c>
      <c r="AA92" s="1">
        <f t="shared" si="10"/>
        <v>0</v>
      </c>
      <c r="AB92" s="1">
        <f t="shared" si="11"/>
        <v>0</v>
      </c>
    </row>
    <row r="93" spans="25:28" ht="18" customHeight="1" x14ac:dyDescent="0.2">
      <c r="Y93" s="1">
        <f t="shared" si="8"/>
        <v>0</v>
      </c>
      <c r="Z93" s="1">
        <f t="shared" si="9"/>
        <v>0</v>
      </c>
      <c r="AA93" s="1">
        <f t="shared" si="10"/>
        <v>0</v>
      </c>
      <c r="AB93" s="1">
        <f t="shared" si="11"/>
        <v>0</v>
      </c>
    </row>
    <row r="94" spans="25:28" ht="18" customHeight="1" x14ac:dyDescent="0.2">
      <c r="Y94" s="1">
        <f t="shared" si="8"/>
        <v>0</v>
      </c>
      <c r="Z94" s="1">
        <f t="shared" si="9"/>
        <v>0</v>
      </c>
      <c r="AA94" s="1">
        <f t="shared" si="10"/>
        <v>0</v>
      </c>
      <c r="AB94" s="1">
        <f t="shared" si="11"/>
        <v>0</v>
      </c>
    </row>
    <row r="95" spans="25:28" ht="18" customHeight="1" x14ac:dyDescent="0.2">
      <c r="Y95" s="1">
        <f t="shared" si="8"/>
        <v>0</v>
      </c>
      <c r="Z95" s="1">
        <f t="shared" si="9"/>
        <v>0</v>
      </c>
      <c r="AA95" s="1">
        <f t="shared" si="10"/>
        <v>0</v>
      </c>
      <c r="AB95" s="1">
        <f t="shared" si="11"/>
        <v>0</v>
      </c>
    </row>
    <row r="96" spans="25:28" ht="18" customHeight="1" x14ac:dyDescent="0.2">
      <c r="Y96" s="1">
        <f t="shared" si="8"/>
        <v>0</v>
      </c>
      <c r="Z96" s="1">
        <f t="shared" si="9"/>
        <v>0</v>
      </c>
      <c r="AA96" s="1">
        <f t="shared" si="10"/>
        <v>0</v>
      </c>
      <c r="AB96" s="1">
        <f t="shared" si="11"/>
        <v>0</v>
      </c>
    </row>
    <row r="97" spans="25:28" ht="18" customHeight="1" x14ac:dyDescent="0.2">
      <c r="Y97" s="1">
        <f t="shared" si="8"/>
        <v>0</v>
      </c>
      <c r="Z97" s="1">
        <f t="shared" si="9"/>
        <v>0</v>
      </c>
      <c r="AA97" s="1">
        <f t="shared" si="10"/>
        <v>0</v>
      </c>
      <c r="AB97" s="1">
        <f t="shared" si="11"/>
        <v>0</v>
      </c>
    </row>
    <row r="98" spans="25:28" ht="18" customHeight="1" x14ac:dyDescent="0.2">
      <c r="Y98" s="1">
        <f t="shared" si="8"/>
        <v>0</v>
      </c>
      <c r="Z98" s="1">
        <f t="shared" si="9"/>
        <v>0</v>
      </c>
      <c r="AA98" s="1">
        <f t="shared" si="10"/>
        <v>0</v>
      </c>
      <c r="AB98" s="1">
        <f t="shared" si="11"/>
        <v>0</v>
      </c>
    </row>
    <row r="99" spans="25:28" ht="18" customHeight="1" x14ac:dyDescent="0.2">
      <c r="Y99" s="1">
        <f t="shared" si="8"/>
        <v>0</v>
      </c>
      <c r="Z99" s="1">
        <f t="shared" si="9"/>
        <v>0</v>
      </c>
      <c r="AA99" s="1">
        <f t="shared" si="10"/>
        <v>0</v>
      </c>
      <c r="AB99" s="1">
        <f t="shared" si="11"/>
        <v>0</v>
      </c>
    </row>
    <row r="100" spans="25:28" ht="18" customHeight="1" x14ac:dyDescent="0.2">
      <c r="Y100" s="1">
        <f t="shared" si="8"/>
        <v>0</v>
      </c>
      <c r="Z100" s="1">
        <f t="shared" si="9"/>
        <v>0</v>
      </c>
      <c r="AA100" s="1">
        <f t="shared" si="10"/>
        <v>0</v>
      </c>
      <c r="AB100" s="1">
        <f t="shared" si="11"/>
        <v>0</v>
      </c>
    </row>
    <row r="101" spans="25:28" ht="18" customHeight="1" x14ac:dyDescent="0.2">
      <c r="Y101" s="1">
        <f t="shared" si="8"/>
        <v>0</v>
      </c>
      <c r="Z101" s="1">
        <f t="shared" si="9"/>
        <v>0</v>
      </c>
      <c r="AA101" s="1">
        <f t="shared" si="10"/>
        <v>0</v>
      </c>
      <c r="AB101" s="1">
        <f t="shared" si="11"/>
        <v>0</v>
      </c>
    </row>
    <row r="102" spans="25:28" ht="18" customHeight="1" x14ac:dyDescent="0.2">
      <c r="Y102" s="1">
        <f t="shared" si="8"/>
        <v>0</v>
      </c>
      <c r="Z102" s="1">
        <f t="shared" si="9"/>
        <v>0</v>
      </c>
      <c r="AA102" s="1">
        <f t="shared" si="10"/>
        <v>0</v>
      </c>
      <c r="AB102" s="1">
        <f t="shared" si="11"/>
        <v>0</v>
      </c>
    </row>
    <row r="103" spans="25:28" ht="18" customHeight="1" x14ac:dyDescent="0.2">
      <c r="Y103" s="1">
        <f t="shared" si="8"/>
        <v>0</v>
      </c>
      <c r="Z103" s="1">
        <f t="shared" si="9"/>
        <v>0</v>
      </c>
      <c r="AA103" s="1">
        <f t="shared" si="10"/>
        <v>0</v>
      </c>
      <c r="AB103" s="1">
        <f t="shared" si="11"/>
        <v>0</v>
      </c>
    </row>
    <row r="104" spans="25:28" ht="18" customHeight="1" x14ac:dyDescent="0.2">
      <c r="Y104" s="1">
        <f t="shared" si="8"/>
        <v>0</v>
      </c>
      <c r="Z104" s="1">
        <f t="shared" si="9"/>
        <v>0</v>
      </c>
      <c r="AA104" s="1">
        <f t="shared" si="10"/>
        <v>0</v>
      </c>
      <c r="AB104" s="1">
        <f t="shared" si="11"/>
        <v>0</v>
      </c>
    </row>
    <row r="105" spans="25:28" ht="18" customHeight="1" x14ac:dyDescent="0.2">
      <c r="Y105" s="1">
        <f t="shared" si="8"/>
        <v>0</v>
      </c>
      <c r="Z105" s="1">
        <f t="shared" si="9"/>
        <v>0</v>
      </c>
      <c r="AA105" s="1">
        <f t="shared" si="10"/>
        <v>0</v>
      </c>
      <c r="AB105" s="1">
        <f t="shared" si="11"/>
        <v>0</v>
      </c>
    </row>
    <row r="106" spans="25:28" ht="18" customHeight="1" x14ac:dyDescent="0.2">
      <c r="Y106" s="1">
        <f t="shared" si="8"/>
        <v>0</v>
      </c>
      <c r="Z106" s="1">
        <f t="shared" si="9"/>
        <v>0</v>
      </c>
      <c r="AA106" s="1">
        <f t="shared" si="10"/>
        <v>0</v>
      </c>
      <c r="AB106" s="1">
        <f t="shared" si="11"/>
        <v>0</v>
      </c>
    </row>
    <row r="107" spans="25:28" ht="18" customHeight="1" x14ac:dyDescent="0.2">
      <c r="Y107" s="1">
        <f t="shared" si="8"/>
        <v>0</v>
      </c>
      <c r="Z107" s="1">
        <f t="shared" si="9"/>
        <v>0</v>
      </c>
      <c r="AA107" s="1">
        <f t="shared" si="10"/>
        <v>0</v>
      </c>
      <c r="AB107" s="1">
        <f t="shared" si="11"/>
        <v>0</v>
      </c>
    </row>
    <row r="108" spans="25:28" ht="18" customHeight="1" x14ac:dyDescent="0.2">
      <c r="Y108" s="1">
        <f t="shared" si="8"/>
        <v>0</v>
      </c>
      <c r="Z108" s="1">
        <f t="shared" si="9"/>
        <v>0</v>
      </c>
      <c r="AA108" s="1">
        <f t="shared" si="10"/>
        <v>0</v>
      </c>
      <c r="AB108" s="1">
        <f t="shared" si="11"/>
        <v>0</v>
      </c>
    </row>
    <row r="109" spans="25:28" ht="18" customHeight="1" x14ac:dyDescent="0.2">
      <c r="Y109" s="1">
        <f t="shared" si="8"/>
        <v>0</v>
      </c>
      <c r="Z109" s="1">
        <f t="shared" si="9"/>
        <v>0</v>
      </c>
      <c r="AA109" s="1">
        <f t="shared" si="10"/>
        <v>0</v>
      </c>
      <c r="AB109" s="1">
        <f t="shared" si="11"/>
        <v>0</v>
      </c>
    </row>
    <row r="110" spans="25:28" ht="18" customHeight="1" x14ac:dyDescent="0.2">
      <c r="Y110" s="1">
        <f t="shared" si="8"/>
        <v>0</v>
      </c>
      <c r="Z110" s="1">
        <f t="shared" si="9"/>
        <v>0</v>
      </c>
      <c r="AA110" s="1">
        <f t="shared" si="10"/>
        <v>0</v>
      </c>
      <c r="AB110" s="1">
        <f t="shared" si="11"/>
        <v>0</v>
      </c>
    </row>
    <row r="111" spans="25:28" ht="18" customHeight="1" x14ac:dyDescent="0.2">
      <c r="Y111" s="1">
        <f t="shared" si="8"/>
        <v>0</v>
      </c>
      <c r="Z111" s="1">
        <f t="shared" si="9"/>
        <v>0</v>
      </c>
      <c r="AA111" s="1">
        <f t="shared" si="10"/>
        <v>0</v>
      </c>
      <c r="AB111" s="1">
        <f t="shared" si="11"/>
        <v>0</v>
      </c>
    </row>
    <row r="112" spans="25:28" ht="18" customHeight="1" x14ac:dyDescent="0.2">
      <c r="Y112" s="1">
        <f t="shared" si="8"/>
        <v>0</v>
      </c>
      <c r="Z112" s="1">
        <f t="shared" si="9"/>
        <v>0</v>
      </c>
      <c r="AA112" s="1">
        <f t="shared" si="10"/>
        <v>0</v>
      </c>
      <c r="AB112" s="1">
        <f t="shared" si="11"/>
        <v>0</v>
      </c>
    </row>
    <row r="113" spans="25:28" ht="18" customHeight="1" x14ac:dyDescent="0.2">
      <c r="Y113" s="1">
        <f t="shared" si="8"/>
        <v>0</v>
      </c>
      <c r="Z113" s="1">
        <f t="shared" si="9"/>
        <v>0</v>
      </c>
      <c r="AA113" s="1">
        <f t="shared" si="10"/>
        <v>0</v>
      </c>
      <c r="AB113" s="1">
        <f t="shared" si="11"/>
        <v>0</v>
      </c>
    </row>
    <row r="114" spans="25:28" ht="18" customHeight="1" x14ac:dyDescent="0.2">
      <c r="Y114" s="1">
        <f t="shared" si="8"/>
        <v>0</v>
      </c>
      <c r="Z114" s="1">
        <f t="shared" si="9"/>
        <v>0</v>
      </c>
      <c r="AA114" s="1">
        <f t="shared" si="10"/>
        <v>0</v>
      </c>
      <c r="AB114" s="1">
        <f t="shared" si="11"/>
        <v>0</v>
      </c>
    </row>
    <row r="115" spans="25:28" ht="18" customHeight="1" x14ac:dyDescent="0.2">
      <c r="Y115" s="1">
        <f t="shared" si="8"/>
        <v>0</v>
      </c>
      <c r="Z115" s="1">
        <f t="shared" si="9"/>
        <v>0</v>
      </c>
      <c r="AA115" s="1">
        <f t="shared" si="10"/>
        <v>0</v>
      </c>
      <c r="AB115" s="1">
        <f t="shared" si="11"/>
        <v>0</v>
      </c>
    </row>
    <row r="116" spans="25:28" ht="18" customHeight="1" x14ac:dyDescent="0.2">
      <c r="Y116" s="1">
        <f t="shared" si="8"/>
        <v>0</v>
      </c>
      <c r="Z116" s="1">
        <f t="shared" si="9"/>
        <v>0</v>
      </c>
      <c r="AA116" s="1">
        <f t="shared" si="10"/>
        <v>0</v>
      </c>
      <c r="AB116" s="1">
        <f t="shared" si="11"/>
        <v>0</v>
      </c>
    </row>
    <row r="117" spans="25:28" ht="18" customHeight="1" x14ac:dyDescent="0.2">
      <c r="Y117" s="1">
        <f t="shared" si="8"/>
        <v>0</v>
      </c>
      <c r="Z117" s="1">
        <f t="shared" si="9"/>
        <v>0</v>
      </c>
      <c r="AA117" s="1">
        <f t="shared" si="10"/>
        <v>0</v>
      </c>
      <c r="AB117" s="1">
        <f t="shared" si="11"/>
        <v>0</v>
      </c>
    </row>
    <row r="118" spans="25:28" ht="18" customHeight="1" x14ac:dyDescent="0.2">
      <c r="Y118" s="1">
        <f t="shared" si="8"/>
        <v>0</v>
      </c>
      <c r="Z118" s="1">
        <f t="shared" si="9"/>
        <v>0</v>
      </c>
      <c r="AA118" s="1">
        <f t="shared" si="10"/>
        <v>0</v>
      </c>
      <c r="AB118" s="1">
        <f t="shared" si="11"/>
        <v>0</v>
      </c>
    </row>
    <row r="119" spans="25:28" ht="18" customHeight="1" x14ac:dyDescent="0.2">
      <c r="Y119" s="1">
        <f t="shared" si="8"/>
        <v>0</v>
      </c>
      <c r="Z119" s="1">
        <f t="shared" si="9"/>
        <v>0</v>
      </c>
      <c r="AA119" s="1">
        <f t="shared" si="10"/>
        <v>0</v>
      </c>
      <c r="AB119" s="1">
        <f t="shared" si="11"/>
        <v>0</v>
      </c>
    </row>
    <row r="120" spans="25:28" ht="18" customHeight="1" x14ac:dyDescent="0.2">
      <c r="Y120" s="1">
        <f t="shared" si="8"/>
        <v>0</v>
      </c>
      <c r="Z120" s="1">
        <f t="shared" si="9"/>
        <v>0</v>
      </c>
      <c r="AA120" s="1">
        <f t="shared" si="10"/>
        <v>0</v>
      </c>
      <c r="AB120" s="1">
        <f t="shared" si="11"/>
        <v>0</v>
      </c>
    </row>
    <row r="121" spans="25:28" ht="18" customHeight="1" x14ac:dyDescent="0.2">
      <c r="Y121" s="1">
        <f t="shared" si="8"/>
        <v>0</v>
      </c>
      <c r="Z121" s="1">
        <f t="shared" si="9"/>
        <v>0</v>
      </c>
      <c r="AA121" s="1">
        <f t="shared" si="10"/>
        <v>0</v>
      </c>
      <c r="AB121" s="1">
        <f t="shared" si="11"/>
        <v>0</v>
      </c>
    </row>
    <row r="122" spans="25:28" ht="18" customHeight="1" x14ac:dyDescent="0.2">
      <c r="Y122" s="1">
        <f t="shared" si="8"/>
        <v>0</v>
      </c>
      <c r="Z122" s="1">
        <f t="shared" si="9"/>
        <v>0</v>
      </c>
      <c r="AA122" s="1">
        <f t="shared" si="10"/>
        <v>0</v>
      </c>
      <c r="AB122" s="1">
        <f t="shared" si="11"/>
        <v>0</v>
      </c>
    </row>
    <row r="123" spans="25:28" ht="18" customHeight="1" x14ac:dyDescent="0.2">
      <c r="Y123" s="1">
        <f t="shared" si="8"/>
        <v>0</v>
      </c>
      <c r="Z123" s="1">
        <f t="shared" si="9"/>
        <v>0</v>
      </c>
      <c r="AA123" s="1">
        <f t="shared" si="10"/>
        <v>0</v>
      </c>
      <c r="AB123" s="1">
        <f t="shared" si="11"/>
        <v>0</v>
      </c>
    </row>
    <row r="124" spans="25:28" ht="18" customHeight="1" x14ac:dyDescent="0.2">
      <c r="Y124" s="1">
        <f t="shared" si="8"/>
        <v>0</v>
      </c>
      <c r="Z124" s="1">
        <f t="shared" si="9"/>
        <v>0</v>
      </c>
      <c r="AA124" s="1">
        <f t="shared" si="10"/>
        <v>0</v>
      </c>
      <c r="AB124" s="1">
        <f t="shared" si="11"/>
        <v>0</v>
      </c>
    </row>
    <row r="125" spans="25:28" ht="18" customHeight="1" x14ac:dyDescent="0.2">
      <c r="Y125" s="1">
        <f t="shared" si="8"/>
        <v>0</v>
      </c>
      <c r="Z125" s="1">
        <f t="shared" si="9"/>
        <v>0</v>
      </c>
      <c r="AA125" s="1">
        <f t="shared" si="10"/>
        <v>0</v>
      </c>
      <c r="AB125" s="1">
        <f t="shared" si="11"/>
        <v>0</v>
      </c>
    </row>
    <row r="126" spans="25:28" ht="18" customHeight="1" x14ac:dyDescent="0.2">
      <c r="Y126" s="1">
        <f t="shared" si="8"/>
        <v>0</v>
      </c>
      <c r="Z126" s="1">
        <f t="shared" si="9"/>
        <v>0</v>
      </c>
      <c r="AA126" s="1">
        <f t="shared" si="10"/>
        <v>0</v>
      </c>
      <c r="AB126" s="1">
        <f t="shared" si="11"/>
        <v>0</v>
      </c>
    </row>
    <row r="127" spans="25:28" ht="18" customHeight="1" x14ac:dyDescent="0.2">
      <c r="Y127" s="1">
        <f t="shared" si="8"/>
        <v>0</v>
      </c>
      <c r="Z127" s="1">
        <f t="shared" si="9"/>
        <v>0</v>
      </c>
      <c r="AA127" s="1">
        <f t="shared" si="10"/>
        <v>0</v>
      </c>
      <c r="AB127" s="1">
        <f t="shared" si="11"/>
        <v>0</v>
      </c>
    </row>
    <row r="128" spans="25:28" ht="18" customHeight="1" x14ac:dyDescent="0.2">
      <c r="Y128" s="1">
        <f t="shared" si="8"/>
        <v>0</v>
      </c>
      <c r="Z128" s="1">
        <f t="shared" si="9"/>
        <v>0</v>
      </c>
      <c r="AA128" s="1">
        <f t="shared" si="10"/>
        <v>0</v>
      </c>
      <c r="AB128" s="1">
        <f t="shared" si="11"/>
        <v>0</v>
      </c>
    </row>
    <row r="129" spans="25:28" ht="18" customHeight="1" x14ac:dyDescent="0.2">
      <c r="Y129" s="1">
        <f t="shared" si="8"/>
        <v>0</v>
      </c>
      <c r="Z129" s="1">
        <f t="shared" si="9"/>
        <v>0</v>
      </c>
      <c r="AA129" s="1">
        <f t="shared" si="10"/>
        <v>0</v>
      </c>
      <c r="AB129" s="1">
        <f t="shared" si="11"/>
        <v>0</v>
      </c>
    </row>
    <row r="130" spans="25:28" ht="18" customHeight="1" x14ac:dyDescent="0.2">
      <c r="Y130" s="1">
        <f t="shared" si="8"/>
        <v>0</v>
      </c>
      <c r="Z130" s="1">
        <f t="shared" si="9"/>
        <v>0</v>
      </c>
      <c r="AA130" s="1">
        <f t="shared" si="10"/>
        <v>0</v>
      </c>
      <c r="AB130" s="1">
        <f t="shared" si="11"/>
        <v>0</v>
      </c>
    </row>
    <row r="131" spans="25:28" ht="18" customHeight="1" x14ac:dyDescent="0.2">
      <c r="Y131" s="1">
        <f t="shared" si="8"/>
        <v>0</v>
      </c>
      <c r="Z131" s="1">
        <f t="shared" si="9"/>
        <v>0</v>
      </c>
      <c r="AA131" s="1">
        <f t="shared" si="10"/>
        <v>0</v>
      </c>
      <c r="AB131" s="1">
        <f t="shared" si="11"/>
        <v>0</v>
      </c>
    </row>
    <row r="132" spans="25:28" ht="18" customHeight="1" x14ac:dyDescent="0.2">
      <c r="Y132" s="1">
        <f t="shared" si="8"/>
        <v>0</v>
      </c>
      <c r="Z132" s="1">
        <f t="shared" si="9"/>
        <v>0</v>
      </c>
      <c r="AA132" s="1">
        <f t="shared" si="10"/>
        <v>0</v>
      </c>
      <c r="AB132" s="1">
        <f t="shared" si="11"/>
        <v>0</v>
      </c>
    </row>
    <row r="133" spans="25:28" ht="18" customHeight="1" x14ac:dyDescent="0.2">
      <c r="Y133" s="1">
        <f t="shared" si="8"/>
        <v>0</v>
      </c>
      <c r="Z133" s="1">
        <f t="shared" si="9"/>
        <v>0</v>
      </c>
      <c r="AA133" s="1">
        <f t="shared" si="10"/>
        <v>0</v>
      </c>
      <c r="AB133" s="1">
        <f t="shared" si="11"/>
        <v>0</v>
      </c>
    </row>
    <row r="134" spans="25:28" ht="18" customHeight="1" x14ac:dyDescent="0.2">
      <c r="Y134" s="1">
        <f t="shared" si="8"/>
        <v>0</v>
      </c>
      <c r="Z134" s="1">
        <f t="shared" si="9"/>
        <v>0</v>
      </c>
      <c r="AA134" s="1">
        <f t="shared" si="10"/>
        <v>0</v>
      </c>
      <c r="AB134" s="1">
        <f t="shared" si="11"/>
        <v>0</v>
      </c>
    </row>
    <row r="135" spans="25:28" ht="18" customHeight="1" x14ac:dyDescent="0.2">
      <c r="Y135" s="1">
        <f t="shared" si="8"/>
        <v>0</v>
      </c>
      <c r="Z135" s="1">
        <f t="shared" si="9"/>
        <v>0</v>
      </c>
      <c r="AA135" s="1">
        <f t="shared" si="10"/>
        <v>0</v>
      </c>
      <c r="AB135" s="1">
        <f t="shared" si="11"/>
        <v>0</v>
      </c>
    </row>
    <row r="136" spans="25:28" ht="18" customHeight="1" x14ac:dyDescent="0.2">
      <c r="Y136" s="1">
        <f t="shared" si="8"/>
        <v>0</v>
      </c>
      <c r="Z136" s="1">
        <f t="shared" si="9"/>
        <v>0</v>
      </c>
      <c r="AA136" s="1">
        <f t="shared" si="10"/>
        <v>0</v>
      </c>
      <c r="AB136" s="1">
        <f t="shared" si="11"/>
        <v>0</v>
      </c>
    </row>
    <row r="137" spans="25:28" ht="18" customHeight="1" x14ac:dyDescent="0.2">
      <c r="Y137" s="1">
        <f t="shared" si="8"/>
        <v>0</v>
      </c>
      <c r="Z137" s="1">
        <f t="shared" si="9"/>
        <v>0</v>
      </c>
      <c r="AA137" s="1">
        <f t="shared" si="10"/>
        <v>0</v>
      </c>
      <c r="AB137" s="1">
        <f t="shared" si="11"/>
        <v>0</v>
      </c>
    </row>
    <row r="138" spans="25:28" ht="18" customHeight="1" x14ac:dyDescent="0.2">
      <c r="Y138" s="1">
        <f t="shared" si="8"/>
        <v>0</v>
      </c>
      <c r="Z138" s="1">
        <f t="shared" si="9"/>
        <v>0</v>
      </c>
      <c r="AA138" s="1">
        <f t="shared" si="10"/>
        <v>0</v>
      </c>
      <c r="AB138" s="1">
        <f t="shared" si="11"/>
        <v>0</v>
      </c>
    </row>
    <row r="139" spans="25:28" ht="18" customHeight="1" x14ac:dyDescent="0.2">
      <c r="Y139" s="1">
        <f t="shared" si="8"/>
        <v>0</v>
      </c>
      <c r="Z139" s="1">
        <f t="shared" si="9"/>
        <v>0</v>
      </c>
      <c r="AA139" s="1">
        <f t="shared" si="10"/>
        <v>0</v>
      </c>
      <c r="AB139" s="1">
        <f t="shared" si="11"/>
        <v>0</v>
      </c>
    </row>
    <row r="140" spans="25:28" ht="15.75" customHeight="1" x14ac:dyDescent="0.2">
      <c r="Y140" s="1">
        <f t="shared" si="8"/>
        <v>0</v>
      </c>
      <c r="Z140" s="1">
        <f t="shared" si="9"/>
        <v>0</v>
      </c>
      <c r="AA140" s="1">
        <f t="shared" si="10"/>
        <v>0</v>
      </c>
      <c r="AB140" s="1">
        <f t="shared" si="11"/>
        <v>0</v>
      </c>
    </row>
    <row r="141" spans="25:28" ht="15.75" customHeight="1" x14ac:dyDescent="0.2">
      <c r="Y141" s="1">
        <f t="shared" si="8"/>
        <v>0</v>
      </c>
      <c r="Z141" s="1">
        <f t="shared" si="9"/>
        <v>0</v>
      </c>
      <c r="AA141" s="1">
        <f t="shared" si="10"/>
        <v>0</v>
      </c>
      <c r="AB141" s="1">
        <f t="shared" si="11"/>
        <v>0</v>
      </c>
    </row>
    <row r="142" spans="25:28" ht="15.75" customHeight="1" x14ac:dyDescent="0.2">
      <c r="Y142" s="1">
        <f t="shared" ref="Y142:Y205" si="12">MAX(0,IFERROR((LEN($T143)-LEN(SUBSTITUTE($T143,"Quality of Works / Criteria of Failings:","")))/LEN("Quality of Works / Criteria of Failings:"),0)-IFERROR((LEN($T143)-LEN(SUBSTITUTE($T143,"Quality of Works / Criteria of Failings:Compliant","")))/LEN("Quality of Works / Criteria of Failings:Compliant"),0))</f>
        <v>0</v>
      </c>
      <c r="Z142" s="1">
        <f t="shared" ref="Z142:Z205" si="13">IFERROR($Y143/MAX(1,(LEN($I143)-LEN(SUBSTITUTE($I143," Ltd","")))/LEN(" Ltd")),0)</f>
        <v>0</v>
      </c>
      <c r="AA142" s="1">
        <f t="shared" ref="AA142:AA205" si="14">IFERROR(IFERROR((LEN($T143)-LEN(SUBSTITUTE($T143,"Quality of Works / Criteria of Failings:","")))/LEN("Quality of Works / Criteria of Failings:"),0)/MAX(1,(LEN($I143)-LEN(SUBSTITUTE($I143," Ltd","")))/LEN(" Ltd")),0)</f>
        <v>0</v>
      </c>
      <c r="AB142" s="1">
        <f t="shared" ref="AB142:AB205" si="15">IFERROR(IFERROR((LEN($T143)-LEN(SUBSTITUTE($T143,"Quality of Works / Criteria of Failings:Compliant","")))/LEN("Quality of Works / Criteria of Failings:Compliant"),0)/MAX(1,(LEN($I143)-LEN(SUBSTITUTE($I143," Ltd","")))/LEN(" Ltd")),0)</f>
        <v>0</v>
      </c>
    </row>
    <row r="143" spans="25:28" ht="15.75" customHeight="1" x14ac:dyDescent="0.2">
      <c r="Y143" s="1">
        <f t="shared" si="12"/>
        <v>0</v>
      </c>
      <c r="Z143" s="1">
        <f t="shared" si="13"/>
        <v>0</v>
      </c>
      <c r="AA143" s="1">
        <f t="shared" si="14"/>
        <v>0</v>
      </c>
      <c r="AB143" s="1">
        <f t="shared" si="15"/>
        <v>0</v>
      </c>
    </row>
    <row r="144" spans="25:28" ht="15.75" customHeight="1" x14ac:dyDescent="0.2">
      <c r="Y144" s="1">
        <f t="shared" si="12"/>
        <v>0</v>
      </c>
      <c r="Z144" s="1">
        <f t="shared" si="13"/>
        <v>0</v>
      </c>
      <c r="AA144" s="1">
        <f t="shared" si="14"/>
        <v>0</v>
      </c>
      <c r="AB144" s="1">
        <f t="shared" si="15"/>
        <v>0</v>
      </c>
    </row>
    <row r="145" spans="25:28" ht="15.75" customHeight="1" x14ac:dyDescent="0.2">
      <c r="Y145" s="1">
        <f t="shared" si="12"/>
        <v>0</v>
      </c>
      <c r="Z145" s="1">
        <f t="shared" si="13"/>
        <v>0</v>
      </c>
      <c r="AA145" s="1">
        <f t="shared" si="14"/>
        <v>0</v>
      </c>
      <c r="AB145" s="1">
        <f t="shared" si="15"/>
        <v>0</v>
      </c>
    </row>
    <row r="146" spans="25:28" ht="15.75" customHeight="1" x14ac:dyDescent="0.2">
      <c r="Y146" s="1">
        <f t="shared" si="12"/>
        <v>0</v>
      </c>
      <c r="Z146" s="1">
        <f t="shared" si="13"/>
        <v>0</v>
      </c>
      <c r="AA146" s="1">
        <f t="shared" si="14"/>
        <v>0</v>
      </c>
      <c r="AB146" s="1">
        <f t="shared" si="15"/>
        <v>0</v>
      </c>
    </row>
    <row r="147" spans="25:28" ht="15.75" customHeight="1" x14ac:dyDescent="0.2">
      <c r="Y147" s="1">
        <f t="shared" si="12"/>
        <v>0</v>
      </c>
      <c r="Z147" s="1">
        <f t="shared" si="13"/>
        <v>0</v>
      </c>
      <c r="AA147" s="1">
        <f t="shared" si="14"/>
        <v>0</v>
      </c>
      <c r="AB147" s="1">
        <f t="shared" si="15"/>
        <v>0</v>
      </c>
    </row>
    <row r="148" spans="25:28" ht="15.75" customHeight="1" x14ac:dyDescent="0.2">
      <c r="Y148" s="1">
        <f t="shared" si="12"/>
        <v>0</v>
      </c>
      <c r="Z148" s="1">
        <f t="shared" si="13"/>
        <v>0</v>
      </c>
      <c r="AA148" s="1">
        <f t="shared" si="14"/>
        <v>0</v>
      </c>
      <c r="AB148" s="1">
        <f t="shared" si="15"/>
        <v>0</v>
      </c>
    </row>
    <row r="149" spans="25:28" ht="15.75" customHeight="1" x14ac:dyDescent="0.2">
      <c r="Y149" s="1">
        <f t="shared" si="12"/>
        <v>0</v>
      </c>
      <c r="Z149" s="1">
        <f t="shared" si="13"/>
        <v>0</v>
      </c>
      <c r="AA149" s="1">
        <f t="shared" si="14"/>
        <v>0</v>
      </c>
      <c r="AB149" s="1">
        <f t="shared" si="15"/>
        <v>0</v>
      </c>
    </row>
    <row r="150" spans="25:28" ht="15.75" customHeight="1" x14ac:dyDescent="0.2">
      <c r="Y150" s="1">
        <f t="shared" si="12"/>
        <v>0</v>
      </c>
      <c r="Z150" s="1">
        <f t="shared" si="13"/>
        <v>0</v>
      </c>
      <c r="AA150" s="1">
        <f t="shared" si="14"/>
        <v>0</v>
      </c>
      <c r="AB150" s="1">
        <f t="shared" si="15"/>
        <v>0</v>
      </c>
    </row>
    <row r="151" spans="25:28" ht="15.75" customHeight="1" x14ac:dyDescent="0.2">
      <c r="Y151" s="1">
        <f t="shared" si="12"/>
        <v>0</v>
      </c>
      <c r="Z151" s="1">
        <f t="shared" si="13"/>
        <v>0</v>
      </c>
      <c r="AA151" s="1">
        <f t="shared" si="14"/>
        <v>0</v>
      </c>
      <c r="AB151" s="1">
        <f t="shared" si="15"/>
        <v>0</v>
      </c>
    </row>
    <row r="152" spans="25:28" ht="15.75" customHeight="1" x14ac:dyDescent="0.2">
      <c r="Y152" s="1">
        <f t="shared" si="12"/>
        <v>0</v>
      </c>
      <c r="Z152" s="1">
        <f t="shared" si="13"/>
        <v>0</v>
      </c>
      <c r="AA152" s="1">
        <f t="shared" si="14"/>
        <v>0</v>
      </c>
      <c r="AB152" s="1">
        <f t="shared" si="15"/>
        <v>0</v>
      </c>
    </row>
    <row r="153" spans="25:28" ht="15.75" customHeight="1" x14ac:dyDescent="0.2">
      <c r="Y153" s="1">
        <f t="shared" si="12"/>
        <v>0</v>
      </c>
      <c r="Z153" s="1">
        <f t="shared" si="13"/>
        <v>0</v>
      </c>
      <c r="AA153" s="1">
        <f t="shared" si="14"/>
        <v>0</v>
      </c>
      <c r="AB153" s="1">
        <f t="shared" si="15"/>
        <v>0</v>
      </c>
    </row>
    <row r="154" spans="25:28" ht="15.75" customHeight="1" x14ac:dyDescent="0.2">
      <c r="Y154" s="1">
        <f t="shared" si="12"/>
        <v>0</v>
      </c>
      <c r="Z154" s="1">
        <f t="shared" si="13"/>
        <v>0</v>
      </c>
      <c r="AA154" s="1">
        <f t="shared" si="14"/>
        <v>0</v>
      </c>
      <c r="AB154" s="1">
        <f t="shared" si="15"/>
        <v>0</v>
      </c>
    </row>
    <row r="155" spans="25:28" ht="15.75" customHeight="1" x14ac:dyDescent="0.2">
      <c r="Y155" s="1">
        <f t="shared" si="12"/>
        <v>0</v>
      </c>
      <c r="Z155" s="1">
        <f t="shared" si="13"/>
        <v>0</v>
      </c>
      <c r="AA155" s="1">
        <f t="shared" si="14"/>
        <v>0</v>
      </c>
      <c r="AB155" s="1">
        <f t="shared" si="15"/>
        <v>0</v>
      </c>
    </row>
    <row r="156" spans="25:28" ht="15.75" customHeight="1" x14ac:dyDescent="0.2">
      <c r="Y156" s="1">
        <f t="shared" si="12"/>
        <v>0</v>
      </c>
      <c r="Z156" s="1">
        <f t="shared" si="13"/>
        <v>0</v>
      </c>
      <c r="AA156" s="1">
        <f t="shared" si="14"/>
        <v>0</v>
      </c>
      <c r="AB156" s="1">
        <f t="shared" si="15"/>
        <v>0</v>
      </c>
    </row>
    <row r="157" spans="25:28" ht="15.75" customHeight="1" x14ac:dyDescent="0.2">
      <c r="Y157" s="1">
        <f t="shared" si="12"/>
        <v>0</v>
      </c>
      <c r="Z157" s="1">
        <f t="shared" si="13"/>
        <v>0</v>
      </c>
      <c r="AA157" s="1">
        <f t="shared" si="14"/>
        <v>0</v>
      </c>
      <c r="AB157" s="1">
        <f t="shared" si="15"/>
        <v>0</v>
      </c>
    </row>
    <row r="158" spans="25:28" ht="15.75" customHeight="1" x14ac:dyDescent="0.2">
      <c r="Y158" s="1">
        <f t="shared" si="12"/>
        <v>0</v>
      </c>
      <c r="Z158" s="1">
        <f t="shared" si="13"/>
        <v>0</v>
      </c>
      <c r="AA158" s="1">
        <f t="shared" si="14"/>
        <v>0</v>
      </c>
      <c r="AB158" s="1">
        <f t="shared" si="15"/>
        <v>0</v>
      </c>
    </row>
    <row r="159" spans="25:28" ht="15.75" customHeight="1" x14ac:dyDescent="0.2">
      <c r="Y159" s="1">
        <f t="shared" si="12"/>
        <v>0</v>
      </c>
      <c r="Z159" s="1">
        <f t="shared" si="13"/>
        <v>0</v>
      </c>
      <c r="AA159" s="1">
        <f t="shared" si="14"/>
        <v>0</v>
      </c>
      <c r="AB159" s="1">
        <f t="shared" si="15"/>
        <v>0</v>
      </c>
    </row>
    <row r="160" spans="25:28" ht="15.75" customHeight="1" x14ac:dyDescent="0.2">
      <c r="Y160" s="1">
        <f t="shared" si="12"/>
        <v>0</v>
      </c>
      <c r="Z160" s="1">
        <f t="shared" si="13"/>
        <v>0</v>
      </c>
      <c r="AA160" s="1">
        <f t="shared" si="14"/>
        <v>0</v>
      </c>
      <c r="AB160" s="1">
        <f t="shared" si="15"/>
        <v>0</v>
      </c>
    </row>
    <row r="161" spans="25:28" ht="15.75" customHeight="1" x14ac:dyDescent="0.2">
      <c r="Y161" s="1">
        <f t="shared" si="12"/>
        <v>0</v>
      </c>
      <c r="Z161" s="1">
        <f t="shared" si="13"/>
        <v>0</v>
      </c>
      <c r="AA161" s="1">
        <f t="shared" si="14"/>
        <v>0</v>
      </c>
      <c r="AB161" s="1">
        <f t="shared" si="15"/>
        <v>0</v>
      </c>
    </row>
    <row r="162" spans="25:28" ht="15.75" customHeight="1" x14ac:dyDescent="0.2">
      <c r="Y162" s="1">
        <f t="shared" si="12"/>
        <v>0</v>
      </c>
      <c r="Z162" s="1">
        <f t="shared" si="13"/>
        <v>0</v>
      </c>
      <c r="AA162" s="1">
        <f t="shared" si="14"/>
        <v>0</v>
      </c>
      <c r="AB162" s="1">
        <f t="shared" si="15"/>
        <v>0</v>
      </c>
    </row>
    <row r="163" spans="25:28" ht="15.75" customHeight="1" x14ac:dyDescent="0.2">
      <c r="Y163" s="1">
        <f t="shared" si="12"/>
        <v>0</v>
      </c>
      <c r="Z163" s="1">
        <f t="shared" si="13"/>
        <v>0</v>
      </c>
      <c r="AA163" s="1">
        <f t="shared" si="14"/>
        <v>0</v>
      </c>
      <c r="AB163" s="1">
        <f t="shared" si="15"/>
        <v>0</v>
      </c>
    </row>
    <row r="164" spans="25:28" ht="15.75" customHeight="1" x14ac:dyDescent="0.2">
      <c r="Y164" s="1">
        <f t="shared" si="12"/>
        <v>0</v>
      </c>
      <c r="Z164" s="1">
        <f t="shared" si="13"/>
        <v>0</v>
      </c>
      <c r="AA164" s="1">
        <f t="shared" si="14"/>
        <v>0</v>
      </c>
      <c r="AB164" s="1">
        <f t="shared" si="15"/>
        <v>0</v>
      </c>
    </row>
    <row r="165" spans="25:28" ht="15.75" customHeight="1" x14ac:dyDescent="0.2">
      <c r="Y165" s="1">
        <f t="shared" si="12"/>
        <v>0</v>
      </c>
      <c r="Z165" s="1">
        <f t="shared" si="13"/>
        <v>0</v>
      </c>
      <c r="AA165" s="1">
        <f t="shared" si="14"/>
        <v>0</v>
      </c>
      <c r="AB165" s="1">
        <f t="shared" si="15"/>
        <v>0</v>
      </c>
    </row>
    <row r="166" spans="25:28" ht="15.75" customHeight="1" x14ac:dyDescent="0.2">
      <c r="Y166" s="1">
        <f t="shared" si="12"/>
        <v>0</v>
      </c>
      <c r="Z166" s="1">
        <f t="shared" si="13"/>
        <v>0</v>
      </c>
      <c r="AA166" s="1">
        <f t="shared" si="14"/>
        <v>0</v>
      </c>
      <c r="AB166" s="1">
        <f t="shared" si="15"/>
        <v>0</v>
      </c>
    </row>
    <row r="167" spans="25:28" ht="15.75" customHeight="1" x14ac:dyDescent="0.2">
      <c r="Y167" s="1">
        <f t="shared" si="12"/>
        <v>0</v>
      </c>
      <c r="Z167" s="1">
        <f t="shared" si="13"/>
        <v>0</v>
      </c>
      <c r="AA167" s="1">
        <f t="shared" si="14"/>
        <v>0</v>
      </c>
      <c r="AB167" s="1">
        <f t="shared" si="15"/>
        <v>0</v>
      </c>
    </row>
    <row r="168" spans="25:28" ht="15.75" customHeight="1" x14ac:dyDescent="0.2">
      <c r="Y168" s="1">
        <f t="shared" si="12"/>
        <v>0</v>
      </c>
      <c r="Z168" s="1">
        <f t="shared" si="13"/>
        <v>0</v>
      </c>
      <c r="AA168" s="1">
        <f t="shared" si="14"/>
        <v>0</v>
      </c>
      <c r="AB168" s="1">
        <f t="shared" si="15"/>
        <v>0</v>
      </c>
    </row>
    <row r="169" spans="25:28" ht="15.75" customHeight="1" x14ac:dyDescent="0.2">
      <c r="Y169" s="1">
        <f t="shared" si="12"/>
        <v>0</v>
      </c>
      <c r="Z169" s="1">
        <f t="shared" si="13"/>
        <v>0</v>
      </c>
      <c r="AA169" s="1">
        <f t="shared" si="14"/>
        <v>0</v>
      </c>
      <c r="AB169" s="1">
        <f t="shared" si="15"/>
        <v>0</v>
      </c>
    </row>
    <row r="170" spans="25:28" ht="15.75" customHeight="1" x14ac:dyDescent="0.2">
      <c r="Y170" s="1">
        <f t="shared" si="12"/>
        <v>0</v>
      </c>
      <c r="Z170" s="1">
        <f t="shared" si="13"/>
        <v>0</v>
      </c>
      <c r="AA170" s="1">
        <f t="shared" si="14"/>
        <v>0</v>
      </c>
      <c r="AB170" s="1">
        <f t="shared" si="15"/>
        <v>0</v>
      </c>
    </row>
    <row r="171" spans="25:28" ht="15.75" customHeight="1" x14ac:dyDescent="0.2">
      <c r="Y171" s="1">
        <f t="shared" si="12"/>
        <v>0</v>
      </c>
      <c r="Z171" s="1">
        <f t="shared" si="13"/>
        <v>0</v>
      </c>
      <c r="AA171" s="1">
        <f t="shared" si="14"/>
        <v>0</v>
      </c>
      <c r="AB171" s="1">
        <f t="shared" si="15"/>
        <v>0</v>
      </c>
    </row>
    <row r="172" spans="25:28" ht="15.75" customHeight="1" x14ac:dyDescent="0.2">
      <c r="Y172" s="1">
        <f t="shared" si="12"/>
        <v>0</v>
      </c>
      <c r="Z172" s="1">
        <f t="shared" si="13"/>
        <v>0</v>
      </c>
      <c r="AA172" s="1">
        <f t="shared" si="14"/>
        <v>0</v>
      </c>
      <c r="AB172" s="1">
        <f t="shared" si="15"/>
        <v>0</v>
      </c>
    </row>
    <row r="173" spans="25:28" ht="15.75" customHeight="1" x14ac:dyDescent="0.2">
      <c r="Y173" s="1">
        <f t="shared" si="12"/>
        <v>0</v>
      </c>
      <c r="Z173" s="1">
        <f t="shared" si="13"/>
        <v>0</v>
      </c>
      <c r="AA173" s="1">
        <f t="shared" si="14"/>
        <v>0</v>
      </c>
      <c r="AB173" s="1">
        <f t="shared" si="15"/>
        <v>0</v>
      </c>
    </row>
    <row r="174" spans="25:28" ht="15.75" customHeight="1" x14ac:dyDescent="0.2">
      <c r="Y174" s="1">
        <f t="shared" si="12"/>
        <v>0</v>
      </c>
      <c r="Z174" s="1">
        <f t="shared" si="13"/>
        <v>0</v>
      </c>
      <c r="AA174" s="1">
        <f t="shared" si="14"/>
        <v>0</v>
      </c>
      <c r="AB174" s="1">
        <f t="shared" si="15"/>
        <v>0</v>
      </c>
    </row>
    <row r="175" spans="25:28" ht="15.75" customHeight="1" x14ac:dyDescent="0.2">
      <c r="Y175" s="1">
        <f t="shared" si="12"/>
        <v>0</v>
      </c>
      <c r="Z175" s="1">
        <f t="shared" si="13"/>
        <v>0</v>
      </c>
      <c r="AA175" s="1">
        <f t="shared" si="14"/>
        <v>0</v>
      </c>
      <c r="AB175" s="1">
        <f t="shared" si="15"/>
        <v>0</v>
      </c>
    </row>
    <row r="176" spans="25:28" ht="15.75" customHeight="1" x14ac:dyDescent="0.2">
      <c r="Y176" s="1">
        <f t="shared" si="12"/>
        <v>0</v>
      </c>
      <c r="Z176" s="1">
        <f t="shared" si="13"/>
        <v>0</v>
      </c>
      <c r="AA176" s="1">
        <f t="shared" si="14"/>
        <v>0</v>
      </c>
      <c r="AB176" s="1">
        <f t="shared" si="15"/>
        <v>0</v>
      </c>
    </row>
    <row r="177" spans="25:28" ht="15.75" customHeight="1" x14ac:dyDescent="0.2">
      <c r="Y177" s="1">
        <f t="shared" si="12"/>
        <v>0</v>
      </c>
      <c r="Z177" s="1">
        <f t="shared" si="13"/>
        <v>0</v>
      </c>
      <c r="AA177" s="1">
        <f t="shared" si="14"/>
        <v>0</v>
      </c>
      <c r="AB177" s="1">
        <f t="shared" si="15"/>
        <v>0</v>
      </c>
    </row>
    <row r="178" spans="25:28" ht="15.75" customHeight="1" x14ac:dyDescent="0.2">
      <c r="Y178" s="1">
        <f t="shared" si="12"/>
        <v>0</v>
      </c>
      <c r="Z178" s="1">
        <f t="shared" si="13"/>
        <v>0</v>
      </c>
      <c r="AA178" s="1">
        <f t="shared" si="14"/>
        <v>0</v>
      </c>
      <c r="AB178" s="1">
        <f t="shared" si="15"/>
        <v>0</v>
      </c>
    </row>
    <row r="179" spans="25:28" ht="15.75" customHeight="1" x14ac:dyDescent="0.2">
      <c r="Y179" s="1">
        <f t="shared" si="12"/>
        <v>0</v>
      </c>
      <c r="Z179" s="1">
        <f t="shared" si="13"/>
        <v>0</v>
      </c>
      <c r="AA179" s="1">
        <f t="shared" si="14"/>
        <v>0</v>
      </c>
      <c r="AB179" s="1">
        <f t="shared" si="15"/>
        <v>0</v>
      </c>
    </row>
    <row r="180" spans="25:28" ht="15.75" customHeight="1" x14ac:dyDescent="0.2">
      <c r="Y180" s="1">
        <f t="shared" si="12"/>
        <v>0</v>
      </c>
      <c r="Z180" s="1">
        <f t="shared" si="13"/>
        <v>0</v>
      </c>
      <c r="AA180" s="1">
        <f t="shared" si="14"/>
        <v>0</v>
      </c>
      <c r="AB180" s="1">
        <f t="shared" si="15"/>
        <v>0</v>
      </c>
    </row>
    <row r="181" spans="25:28" ht="15.75" customHeight="1" x14ac:dyDescent="0.2">
      <c r="Y181" s="1">
        <f t="shared" si="12"/>
        <v>0</v>
      </c>
      <c r="Z181" s="1">
        <f t="shared" si="13"/>
        <v>0</v>
      </c>
      <c r="AA181" s="1">
        <f t="shared" si="14"/>
        <v>0</v>
      </c>
      <c r="AB181" s="1">
        <f t="shared" si="15"/>
        <v>0</v>
      </c>
    </row>
    <row r="182" spans="25:28" ht="15.75" customHeight="1" x14ac:dyDescent="0.2">
      <c r="Y182" s="1">
        <f t="shared" si="12"/>
        <v>0</v>
      </c>
      <c r="Z182" s="1">
        <f t="shared" si="13"/>
        <v>0</v>
      </c>
      <c r="AA182" s="1">
        <f t="shared" si="14"/>
        <v>0</v>
      </c>
      <c r="AB182" s="1">
        <f t="shared" si="15"/>
        <v>0</v>
      </c>
    </row>
    <row r="183" spans="25:28" ht="15.75" customHeight="1" x14ac:dyDescent="0.2">
      <c r="Y183" s="1">
        <f t="shared" si="12"/>
        <v>0</v>
      </c>
      <c r="Z183" s="1">
        <f t="shared" si="13"/>
        <v>0</v>
      </c>
      <c r="AA183" s="1">
        <f t="shared" si="14"/>
        <v>0</v>
      </c>
      <c r="AB183" s="1">
        <f t="shared" si="15"/>
        <v>0</v>
      </c>
    </row>
    <row r="184" spans="25:28" ht="15.75" customHeight="1" x14ac:dyDescent="0.2">
      <c r="Y184" s="1">
        <f t="shared" si="12"/>
        <v>0</v>
      </c>
      <c r="Z184" s="1">
        <f t="shared" si="13"/>
        <v>0</v>
      </c>
      <c r="AA184" s="1">
        <f t="shared" si="14"/>
        <v>0</v>
      </c>
      <c r="AB184" s="1">
        <f t="shared" si="15"/>
        <v>0</v>
      </c>
    </row>
    <row r="185" spans="25:28" ht="15.75" customHeight="1" x14ac:dyDescent="0.2">
      <c r="Y185" s="1">
        <f t="shared" si="12"/>
        <v>0</v>
      </c>
      <c r="Z185" s="1">
        <f t="shared" si="13"/>
        <v>0</v>
      </c>
      <c r="AA185" s="1">
        <f t="shared" si="14"/>
        <v>0</v>
      </c>
      <c r="AB185" s="1">
        <f t="shared" si="15"/>
        <v>0</v>
      </c>
    </row>
    <row r="186" spans="25:28" ht="15.75" customHeight="1" x14ac:dyDescent="0.2">
      <c r="Y186" s="1">
        <f t="shared" si="12"/>
        <v>0</v>
      </c>
      <c r="Z186" s="1">
        <f t="shared" si="13"/>
        <v>0</v>
      </c>
      <c r="AA186" s="1">
        <f t="shared" si="14"/>
        <v>0</v>
      </c>
      <c r="AB186" s="1">
        <f t="shared" si="15"/>
        <v>0</v>
      </c>
    </row>
    <row r="187" spans="25:28" ht="15.75" customHeight="1" x14ac:dyDescent="0.2">
      <c r="Y187" s="1">
        <f t="shared" si="12"/>
        <v>0</v>
      </c>
      <c r="Z187" s="1">
        <f t="shared" si="13"/>
        <v>0</v>
      </c>
      <c r="AA187" s="1">
        <f t="shared" si="14"/>
        <v>0</v>
      </c>
      <c r="AB187" s="1">
        <f t="shared" si="15"/>
        <v>0</v>
      </c>
    </row>
    <row r="188" spans="25:28" ht="15.75" customHeight="1" x14ac:dyDescent="0.2">
      <c r="Y188" s="1">
        <f t="shared" si="12"/>
        <v>0</v>
      </c>
      <c r="Z188" s="1">
        <f t="shared" si="13"/>
        <v>0</v>
      </c>
      <c r="AA188" s="1">
        <f t="shared" si="14"/>
        <v>0</v>
      </c>
      <c r="AB188" s="1">
        <f t="shared" si="15"/>
        <v>0</v>
      </c>
    </row>
    <row r="189" spans="25:28" ht="15.75" customHeight="1" x14ac:dyDescent="0.2">
      <c r="Y189" s="1">
        <f t="shared" si="12"/>
        <v>0</v>
      </c>
      <c r="Z189" s="1">
        <f t="shared" si="13"/>
        <v>0</v>
      </c>
      <c r="AA189" s="1">
        <f t="shared" si="14"/>
        <v>0</v>
      </c>
      <c r="AB189" s="1">
        <f t="shared" si="15"/>
        <v>0</v>
      </c>
    </row>
    <row r="190" spans="25:28" ht="15.75" customHeight="1" x14ac:dyDescent="0.2">
      <c r="Y190" s="1">
        <f t="shared" si="12"/>
        <v>0</v>
      </c>
      <c r="Z190" s="1">
        <f t="shared" si="13"/>
        <v>0</v>
      </c>
      <c r="AA190" s="1">
        <f t="shared" si="14"/>
        <v>0</v>
      </c>
      <c r="AB190" s="1">
        <f t="shared" si="15"/>
        <v>0</v>
      </c>
    </row>
    <row r="191" spans="25:28" ht="15.75" customHeight="1" x14ac:dyDescent="0.2">
      <c r="Y191" s="1">
        <f t="shared" si="12"/>
        <v>0</v>
      </c>
      <c r="Z191" s="1">
        <f t="shared" si="13"/>
        <v>0</v>
      </c>
      <c r="AA191" s="1">
        <f t="shared" si="14"/>
        <v>0</v>
      </c>
      <c r="AB191" s="1">
        <f t="shared" si="15"/>
        <v>0</v>
      </c>
    </row>
    <row r="192" spans="25:28" ht="15.75" customHeight="1" x14ac:dyDescent="0.2">
      <c r="Y192" s="1">
        <f t="shared" si="12"/>
        <v>0</v>
      </c>
      <c r="Z192" s="1">
        <f t="shared" si="13"/>
        <v>0</v>
      </c>
      <c r="AA192" s="1">
        <f t="shared" si="14"/>
        <v>0</v>
      </c>
      <c r="AB192" s="1">
        <f t="shared" si="15"/>
        <v>0</v>
      </c>
    </row>
    <row r="193" spans="25:28" ht="15.75" customHeight="1" x14ac:dyDescent="0.2">
      <c r="Y193" s="1">
        <f t="shared" si="12"/>
        <v>0</v>
      </c>
      <c r="Z193" s="1">
        <f t="shared" si="13"/>
        <v>0</v>
      </c>
      <c r="AA193" s="1">
        <f t="shared" si="14"/>
        <v>0</v>
      </c>
      <c r="AB193" s="1">
        <f t="shared" si="15"/>
        <v>0</v>
      </c>
    </row>
    <row r="194" spans="25:28" ht="15.75" customHeight="1" x14ac:dyDescent="0.2">
      <c r="Y194" s="1">
        <f t="shared" si="12"/>
        <v>0</v>
      </c>
      <c r="Z194" s="1">
        <f t="shared" si="13"/>
        <v>0</v>
      </c>
      <c r="AA194" s="1">
        <f t="shared" si="14"/>
        <v>0</v>
      </c>
      <c r="AB194" s="1">
        <f t="shared" si="15"/>
        <v>0</v>
      </c>
    </row>
    <row r="195" spans="25:28" ht="15.75" customHeight="1" x14ac:dyDescent="0.2">
      <c r="Y195" s="1">
        <f t="shared" si="12"/>
        <v>0</v>
      </c>
      <c r="Z195" s="1">
        <f t="shared" si="13"/>
        <v>0</v>
      </c>
      <c r="AA195" s="1">
        <f t="shared" si="14"/>
        <v>0</v>
      </c>
      <c r="AB195" s="1">
        <f t="shared" si="15"/>
        <v>0</v>
      </c>
    </row>
    <row r="196" spans="25:28" ht="15.75" customHeight="1" x14ac:dyDescent="0.2">
      <c r="Y196" s="1">
        <f t="shared" si="12"/>
        <v>0</v>
      </c>
      <c r="Z196" s="1">
        <f t="shared" si="13"/>
        <v>0</v>
      </c>
      <c r="AA196" s="1">
        <f t="shared" si="14"/>
        <v>0</v>
      </c>
      <c r="AB196" s="1">
        <f t="shared" si="15"/>
        <v>0</v>
      </c>
    </row>
    <row r="197" spans="25:28" ht="15.75" customHeight="1" x14ac:dyDescent="0.2">
      <c r="Y197" s="1">
        <f t="shared" si="12"/>
        <v>0</v>
      </c>
      <c r="Z197" s="1">
        <f t="shared" si="13"/>
        <v>0</v>
      </c>
      <c r="AA197" s="1">
        <f t="shared" si="14"/>
        <v>0</v>
      </c>
      <c r="AB197" s="1">
        <f t="shared" si="15"/>
        <v>0</v>
      </c>
    </row>
    <row r="198" spans="25:28" ht="15.75" customHeight="1" x14ac:dyDescent="0.2">
      <c r="Y198" s="1">
        <f t="shared" si="12"/>
        <v>0</v>
      </c>
      <c r="Z198" s="1">
        <f t="shared" si="13"/>
        <v>0</v>
      </c>
      <c r="AA198" s="1">
        <f t="shared" si="14"/>
        <v>0</v>
      </c>
      <c r="AB198" s="1">
        <f t="shared" si="15"/>
        <v>0</v>
      </c>
    </row>
    <row r="199" spans="25:28" ht="15.75" customHeight="1" x14ac:dyDescent="0.2">
      <c r="Y199" s="1">
        <f t="shared" si="12"/>
        <v>0</v>
      </c>
      <c r="Z199" s="1">
        <f t="shared" si="13"/>
        <v>0</v>
      </c>
      <c r="AA199" s="1">
        <f t="shared" si="14"/>
        <v>0</v>
      </c>
      <c r="AB199" s="1">
        <f t="shared" si="15"/>
        <v>0</v>
      </c>
    </row>
    <row r="200" spans="25:28" ht="15.75" customHeight="1" x14ac:dyDescent="0.2">
      <c r="Y200" s="1">
        <f t="shared" si="12"/>
        <v>0</v>
      </c>
      <c r="Z200" s="1">
        <f t="shared" si="13"/>
        <v>0</v>
      </c>
      <c r="AA200" s="1">
        <f t="shared" si="14"/>
        <v>0</v>
      </c>
      <c r="AB200" s="1">
        <f t="shared" si="15"/>
        <v>0</v>
      </c>
    </row>
    <row r="201" spans="25:28" ht="15.75" customHeight="1" x14ac:dyDescent="0.2">
      <c r="Y201" s="1">
        <f t="shared" si="12"/>
        <v>0</v>
      </c>
      <c r="Z201" s="1">
        <f t="shared" si="13"/>
        <v>0</v>
      </c>
      <c r="AA201" s="1">
        <f t="shared" si="14"/>
        <v>0</v>
      </c>
      <c r="AB201" s="1">
        <f t="shared" si="15"/>
        <v>0</v>
      </c>
    </row>
    <row r="202" spans="25:28" ht="15.75" customHeight="1" x14ac:dyDescent="0.2">
      <c r="Y202" s="1">
        <f t="shared" si="12"/>
        <v>0</v>
      </c>
      <c r="Z202" s="1">
        <f t="shared" si="13"/>
        <v>0</v>
      </c>
      <c r="AA202" s="1">
        <f t="shared" si="14"/>
        <v>0</v>
      </c>
      <c r="AB202" s="1">
        <f t="shared" si="15"/>
        <v>0</v>
      </c>
    </row>
    <row r="203" spans="25:28" ht="15.75" customHeight="1" x14ac:dyDescent="0.2">
      <c r="Y203" s="1">
        <f t="shared" si="12"/>
        <v>0</v>
      </c>
      <c r="Z203" s="1">
        <f t="shared" si="13"/>
        <v>0</v>
      </c>
      <c r="AA203" s="1">
        <f t="shared" si="14"/>
        <v>0</v>
      </c>
      <c r="AB203" s="1">
        <f t="shared" si="15"/>
        <v>0</v>
      </c>
    </row>
    <row r="204" spans="25:28" ht="15.75" customHeight="1" x14ac:dyDescent="0.2">
      <c r="Y204" s="1">
        <f t="shared" si="12"/>
        <v>0</v>
      </c>
      <c r="Z204" s="1">
        <f t="shared" si="13"/>
        <v>0</v>
      </c>
      <c r="AA204" s="1">
        <f t="shared" si="14"/>
        <v>0</v>
      </c>
      <c r="AB204" s="1">
        <f t="shared" si="15"/>
        <v>0</v>
      </c>
    </row>
    <row r="205" spans="25:28" ht="15.75" customHeight="1" x14ac:dyDescent="0.2">
      <c r="Y205" s="1">
        <f t="shared" si="12"/>
        <v>0</v>
      </c>
      <c r="Z205" s="1">
        <f t="shared" si="13"/>
        <v>0</v>
      </c>
      <c r="AA205" s="1">
        <f t="shared" si="14"/>
        <v>0</v>
      </c>
      <c r="AB205" s="1">
        <f t="shared" si="15"/>
        <v>0</v>
      </c>
    </row>
    <row r="206" spans="25:28" ht="15.75" customHeight="1" x14ac:dyDescent="0.2">
      <c r="Y206" s="1">
        <f t="shared" ref="Y206:Y269" si="16">MAX(0,IFERROR((LEN($T207)-LEN(SUBSTITUTE($T207,"Quality of Works / Criteria of Failings:","")))/LEN("Quality of Works / Criteria of Failings:"),0)-IFERROR((LEN($T207)-LEN(SUBSTITUTE($T207,"Quality of Works / Criteria of Failings:Compliant","")))/LEN("Quality of Works / Criteria of Failings:Compliant"),0))</f>
        <v>0</v>
      </c>
      <c r="Z206" s="1">
        <f t="shared" ref="Z206:Z269" si="17">IFERROR($Y207/MAX(1,(LEN($I207)-LEN(SUBSTITUTE($I207," Ltd","")))/LEN(" Ltd")),0)</f>
        <v>0</v>
      </c>
      <c r="AA206" s="1">
        <f t="shared" ref="AA206:AA269" si="18">IFERROR(IFERROR((LEN($T207)-LEN(SUBSTITUTE($T207,"Quality of Works / Criteria of Failings:","")))/LEN("Quality of Works / Criteria of Failings:"),0)/MAX(1,(LEN($I207)-LEN(SUBSTITUTE($I207," Ltd","")))/LEN(" Ltd")),0)</f>
        <v>0</v>
      </c>
      <c r="AB206" s="1">
        <f t="shared" ref="AB206:AB269" si="19">IFERROR(IFERROR((LEN($T207)-LEN(SUBSTITUTE($T207,"Quality of Works / Criteria of Failings:Compliant","")))/LEN("Quality of Works / Criteria of Failings:Compliant"),0)/MAX(1,(LEN($I207)-LEN(SUBSTITUTE($I207," Ltd","")))/LEN(" Ltd")),0)</f>
        <v>0</v>
      </c>
    </row>
    <row r="207" spans="25:28" ht="15.75" customHeight="1" x14ac:dyDescent="0.2">
      <c r="Y207" s="1">
        <f t="shared" si="16"/>
        <v>0</v>
      </c>
      <c r="Z207" s="1">
        <f t="shared" si="17"/>
        <v>0</v>
      </c>
      <c r="AA207" s="1">
        <f t="shared" si="18"/>
        <v>0</v>
      </c>
      <c r="AB207" s="1">
        <f t="shared" si="19"/>
        <v>0</v>
      </c>
    </row>
    <row r="208" spans="25:28" ht="15.75" customHeight="1" x14ac:dyDescent="0.2">
      <c r="Y208" s="1">
        <f t="shared" si="16"/>
        <v>0</v>
      </c>
      <c r="Z208" s="1">
        <f t="shared" si="17"/>
        <v>0</v>
      </c>
      <c r="AA208" s="1">
        <f t="shared" si="18"/>
        <v>0</v>
      </c>
      <c r="AB208" s="1">
        <f t="shared" si="19"/>
        <v>0</v>
      </c>
    </row>
    <row r="209" spans="25:28" ht="15.75" customHeight="1" x14ac:dyDescent="0.2">
      <c r="Y209" s="1">
        <f t="shared" si="16"/>
        <v>0</v>
      </c>
      <c r="Z209" s="1">
        <f t="shared" si="17"/>
        <v>0</v>
      </c>
      <c r="AA209" s="1">
        <f t="shared" si="18"/>
        <v>0</v>
      </c>
      <c r="AB209" s="1">
        <f t="shared" si="19"/>
        <v>0</v>
      </c>
    </row>
    <row r="210" spans="25:28" ht="15.75" customHeight="1" x14ac:dyDescent="0.2">
      <c r="Y210" s="1">
        <f t="shared" si="16"/>
        <v>0</v>
      </c>
      <c r="Z210" s="1">
        <f t="shared" si="17"/>
        <v>0</v>
      </c>
      <c r="AA210" s="1">
        <f t="shared" si="18"/>
        <v>0</v>
      </c>
      <c r="AB210" s="1">
        <f t="shared" si="19"/>
        <v>0</v>
      </c>
    </row>
    <row r="211" spans="25:28" ht="15.75" customHeight="1" x14ac:dyDescent="0.2">
      <c r="Y211" s="1">
        <f t="shared" si="16"/>
        <v>0</v>
      </c>
      <c r="Z211" s="1">
        <f t="shared" si="17"/>
        <v>0</v>
      </c>
      <c r="AA211" s="1">
        <f t="shared" si="18"/>
        <v>0</v>
      </c>
      <c r="AB211" s="1">
        <f t="shared" si="19"/>
        <v>0</v>
      </c>
    </row>
    <row r="212" spans="25:28" ht="15.75" customHeight="1" x14ac:dyDescent="0.2">
      <c r="Y212" s="1">
        <f t="shared" si="16"/>
        <v>0</v>
      </c>
      <c r="Z212" s="1">
        <f t="shared" si="17"/>
        <v>0</v>
      </c>
      <c r="AA212" s="1">
        <f t="shared" si="18"/>
        <v>0</v>
      </c>
      <c r="AB212" s="1">
        <f t="shared" si="19"/>
        <v>0</v>
      </c>
    </row>
    <row r="213" spans="25:28" ht="15.75" customHeight="1" x14ac:dyDescent="0.2">
      <c r="Y213" s="1">
        <f t="shared" si="16"/>
        <v>0</v>
      </c>
      <c r="Z213" s="1">
        <f t="shared" si="17"/>
        <v>0</v>
      </c>
      <c r="AA213" s="1">
        <f t="shared" si="18"/>
        <v>0</v>
      </c>
      <c r="AB213" s="1">
        <f t="shared" si="19"/>
        <v>0</v>
      </c>
    </row>
    <row r="214" spans="25:28" ht="15.75" customHeight="1" x14ac:dyDescent="0.2">
      <c r="Y214" s="1">
        <f t="shared" si="16"/>
        <v>0</v>
      </c>
      <c r="Z214" s="1">
        <f t="shared" si="17"/>
        <v>0</v>
      </c>
      <c r="AA214" s="1">
        <f t="shared" si="18"/>
        <v>0</v>
      </c>
      <c r="AB214" s="1">
        <f t="shared" si="19"/>
        <v>0</v>
      </c>
    </row>
    <row r="215" spans="25:28" ht="15.75" customHeight="1" x14ac:dyDescent="0.2">
      <c r="Y215" s="1">
        <f t="shared" si="16"/>
        <v>0</v>
      </c>
      <c r="Z215" s="1">
        <f t="shared" si="17"/>
        <v>0</v>
      </c>
      <c r="AA215" s="1">
        <f t="shared" si="18"/>
        <v>0</v>
      </c>
      <c r="AB215" s="1">
        <f t="shared" si="19"/>
        <v>0</v>
      </c>
    </row>
    <row r="216" spans="25:28" ht="15.75" customHeight="1" x14ac:dyDescent="0.2">
      <c r="Y216" s="1">
        <f t="shared" si="16"/>
        <v>0</v>
      </c>
      <c r="Z216" s="1">
        <f t="shared" si="17"/>
        <v>0</v>
      </c>
      <c r="AA216" s="1">
        <f t="shared" si="18"/>
        <v>0</v>
      </c>
      <c r="AB216" s="1">
        <f t="shared" si="19"/>
        <v>0</v>
      </c>
    </row>
    <row r="217" spans="25:28" ht="15.75" customHeight="1" x14ac:dyDescent="0.2">
      <c r="Y217" s="1">
        <f t="shared" si="16"/>
        <v>0</v>
      </c>
      <c r="Z217" s="1">
        <f t="shared" si="17"/>
        <v>0</v>
      </c>
      <c r="AA217" s="1">
        <f t="shared" si="18"/>
        <v>0</v>
      </c>
      <c r="AB217" s="1">
        <f t="shared" si="19"/>
        <v>0</v>
      </c>
    </row>
    <row r="218" spans="25:28" ht="15.75" customHeight="1" x14ac:dyDescent="0.2">
      <c r="Y218" s="1">
        <f t="shared" si="16"/>
        <v>0</v>
      </c>
      <c r="Z218" s="1">
        <f t="shared" si="17"/>
        <v>0</v>
      </c>
      <c r="AA218" s="1">
        <f t="shared" si="18"/>
        <v>0</v>
      </c>
      <c r="AB218" s="1">
        <f t="shared" si="19"/>
        <v>0</v>
      </c>
    </row>
    <row r="219" spans="25:28" ht="15.75" customHeight="1" x14ac:dyDescent="0.2">
      <c r="Y219" s="1">
        <f t="shared" si="16"/>
        <v>0</v>
      </c>
      <c r="Z219" s="1">
        <f t="shared" si="17"/>
        <v>0</v>
      </c>
      <c r="AA219" s="1">
        <f t="shared" si="18"/>
        <v>0</v>
      </c>
      <c r="AB219" s="1">
        <f t="shared" si="19"/>
        <v>0</v>
      </c>
    </row>
    <row r="220" spans="25:28" ht="15.75" customHeight="1" x14ac:dyDescent="0.2">
      <c r="Y220" s="1">
        <f t="shared" si="16"/>
        <v>0</v>
      </c>
      <c r="Z220" s="1">
        <f t="shared" si="17"/>
        <v>0</v>
      </c>
      <c r="AA220" s="1">
        <f t="shared" si="18"/>
        <v>0</v>
      </c>
      <c r="AB220" s="1">
        <f t="shared" si="19"/>
        <v>0</v>
      </c>
    </row>
    <row r="221" spans="25:28" ht="15.75" customHeight="1" x14ac:dyDescent="0.2">
      <c r="Y221" s="1">
        <f t="shared" si="16"/>
        <v>0</v>
      </c>
      <c r="Z221" s="1">
        <f t="shared" si="17"/>
        <v>0</v>
      </c>
      <c r="AA221" s="1">
        <f t="shared" si="18"/>
        <v>0</v>
      </c>
      <c r="AB221" s="1">
        <f t="shared" si="19"/>
        <v>0</v>
      </c>
    </row>
    <row r="222" spans="25:28" ht="15.75" customHeight="1" x14ac:dyDescent="0.2">
      <c r="Y222" s="1">
        <f t="shared" si="16"/>
        <v>0</v>
      </c>
      <c r="Z222" s="1">
        <f t="shared" si="17"/>
        <v>0</v>
      </c>
      <c r="AA222" s="1">
        <f t="shared" si="18"/>
        <v>0</v>
      </c>
      <c r="AB222" s="1">
        <f t="shared" si="19"/>
        <v>0</v>
      </c>
    </row>
    <row r="223" spans="25:28" ht="15.75" customHeight="1" x14ac:dyDescent="0.2">
      <c r="Y223" s="1">
        <f t="shared" si="16"/>
        <v>0</v>
      </c>
      <c r="Z223" s="1">
        <f t="shared" si="17"/>
        <v>0</v>
      </c>
      <c r="AA223" s="1">
        <f t="shared" si="18"/>
        <v>0</v>
      </c>
      <c r="AB223" s="1">
        <f t="shared" si="19"/>
        <v>0</v>
      </c>
    </row>
    <row r="224" spans="25:28" ht="15.75" customHeight="1" x14ac:dyDescent="0.2">
      <c r="Y224" s="1">
        <f t="shared" si="16"/>
        <v>0</v>
      </c>
      <c r="Z224" s="1">
        <f t="shared" si="17"/>
        <v>0</v>
      </c>
      <c r="AA224" s="1">
        <f t="shared" si="18"/>
        <v>0</v>
      </c>
      <c r="AB224" s="1">
        <f t="shared" si="19"/>
        <v>0</v>
      </c>
    </row>
    <row r="225" spans="25:28" ht="15.75" customHeight="1" x14ac:dyDescent="0.2">
      <c r="Y225" s="1">
        <f t="shared" si="16"/>
        <v>0</v>
      </c>
      <c r="Z225" s="1">
        <f t="shared" si="17"/>
        <v>0</v>
      </c>
      <c r="AA225" s="1">
        <f t="shared" si="18"/>
        <v>0</v>
      </c>
      <c r="AB225" s="1">
        <f t="shared" si="19"/>
        <v>0</v>
      </c>
    </row>
    <row r="226" spans="25:28" ht="15.75" customHeight="1" x14ac:dyDescent="0.2">
      <c r="Y226" s="1">
        <f t="shared" si="16"/>
        <v>0</v>
      </c>
      <c r="Z226" s="1">
        <f t="shared" si="17"/>
        <v>0</v>
      </c>
      <c r="AA226" s="1">
        <f t="shared" si="18"/>
        <v>0</v>
      </c>
      <c r="AB226" s="1">
        <f t="shared" si="19"/>
        <v>0</v>
      </c>
    </row>
    <row r="227" spans="25:28" ht="15.75" customHeight="1" x14ac:dyDescent="0.2">
      <c r="Y227" s="1">
        <f t="shared" si="16"/>
        <v>0</v>
      </c>
      <c r="Z227" s="1">
        <f t="shared" si="17"/>
        <v>0</v>
      </c>
      <c r="AA227" s="1">
        <f t="shared" si="18"/>
        <v>0</v>
      </c>
      <c r="AB227" s="1">
        <f t="shared" si="19"/>
        <v>0</v>
      </c>
    </row>
    <row r="228" spans="25:28" ht="15.75" customHeight="1" x14ac:dyDescent="0.2">
      <c r="Y228" s="1">
        <f t="shared" si="16"/>
        <v>0</v>
      </c>
      <c r="Z228" s="1">
        <f t="shared" si="17"/>
        <v>0</v>
      </c>
      <c r="AA228" s="1">
        <f t="shared" si="18"/>
        <v>0</v>
      </c>
      <c r="AB228" s="1">
        <f t="shared" si="19"/>
        <v>0</v>
      </c>
    </row>
    <row r="229" spans="25:28" ht="15.75" customHeight="1" x14ac:dyDescent="0.2">
      <c r="Y229" s="1">
        <f t="shared" si="16"/>
        <v>0</v>
      </c>
      <c r="Z229" s="1">
        <f t="shared" si="17"/>
        <v>0</v>
      </c>
      <c r="AA229" s="1">
        <f t="shared" si="18"/>
        <v>0</v>
      </c>
      <c r="AB229" s="1">
        <f t="shared" si="19"/>
        <v>0</v>
      </c>
    </row>
    <row r="230" spans="25:28" ht="15.75" customHeight="1" x14ac:dyDescent="0.2">
      <c r="Y230" s="1">
        <f t="shared" si="16"/>
        <v>0</v>
      </c>
      <c r="Z230" s="1">
        <f t="shared" si="17"/>
        <v>0</v>
      </c>
      <c r="AA230" s="1">
        <f t="shared" si="18"/>
        <v>0</v>
      </c>
      <c r="AB230" s="1">
        <f t="shared" si="19"/>
        <v>0</v>
      </c>
    </row>
    <row r="231" spans="25:28" ht="15.75" customHeight="1" x14ac:dyDescent="0.2">
      <c r="Y231" s="1">
        <f t="shared" si="16"/>
        <v>0</v>
      </c>
      <c r="Z231" s="1">
        <f t="shared" si="17"/>
        <v>0</v>
      </c>
      <c r="AA231" s="1">
        <f t="shared" si="18"/>
        <v>0</v>
      </c>
      <c r="AB231" s="1">
        <f t="shared" si="19"/>
        <v>0</v>
      </c>
    </row>
    <row r="232" spans="25:28" ht="15.75" customHeight="1" x14ac:dyDescent="0.2">
      <c r="Y232" s="1">
        <f t="shared" si="16"/>
        <v>0</v>
      </c>
      <c r="Z232" s="1">
        <f t="shared" si="17"/>
        <v>0</v>
      </c>
      <c r="AA232" s="1">
        <f t="shared" si="18"/>
        <v>0</v>
      </c>
      <c r="AB232" s="1">
        <f t="shared" si="19"/>
        <v>0</v>
      </c>
    </row>
    <row r="233" spans="25:28" ht="15.75" customHeight="1" x14ac:dyDescent="0.2">
      <c r="Y233" s="1">
        <f t="shared" si="16"/>
        <v>0</v>
      </c>
      <c r="Z233" s="1">
        <f t="shared" si="17"/>
        <v>0</v>
      </c>
      <c r="AA233" s="1">
        <f t="shared" si="18"/>
        <v>0</v>
      </c>
      <c r="AB233" s="1">
        <f t="shared" si="19"/>
        <v>0</v>
      </c>
    </row>
    <row r="234" spans="25:28" ht="15.75" customHeight="1" x14ac:dyDescent="0.2">
      <c r="Y234" s="1">
        <f t="shared" si="16"/>
        <v>0</v>
      </c>
      <c r="Z234" s="1">
        <f t="shared" si="17"/>
        <v>0</v>
      </c>
      <c r="AA234" s="1">
        <f t="shared" si="18"/>
        <v>0</v>
      </c>
      <c r="AB234" s="1">
        <f t="shared" si="19"/>
        <v>0</v>
      </c>
    </row>
    <row r="235" spans="25:28" ht="15.75" customHeight="1" x14ac:dyDescent="0.2">
      <c r="Y235" s="1">
        <f t="shared" si="16"/>
        <v>0</v>
      </c>
      <c r="Z235" s="1">
        <f t="shared" si="17"/>
        <v>0</v>
      </c>
      <c r="AA235" s="1">
        <f t="shared" si="18"/>
        <v>0</v>
      </c>
      <c r="AB235" s="1">
        <f t="shared" si="19"/>
        <v>0</v>
      </c>
    </row>
    <row r="236" spans="25:28" ht="15.75" customHeight="1" x14ac:dyDescent="0.2">
      <c r="Y236" s="1">
        <f t="shared" si="16"/>
        <v>0</v>
      </c>
      <c r="Z236" s="1">
        <f t="shared" si="17"/>
        <v>0</v>
      </c>
      <c r="AA236" s="1">
        <f t="shared" si="18"/>
        <v>0</v>
      </c>
      <c r="AB236" s="1">
        <f t="shared" si="19"/>
        <v>0</v>
      </c>
    </row>
    <row r="237" spans="25:28" ht="15.75" customHeight="1" x14ac:dyDescent="0.2">
      <c r="Y237" s="1">
        <f t="shared" si="16"/>
        <v>0</v>
      </c>
      <c r="Z237" s="1">
        <f t="shared" si="17"/>
        <v>0</v>
      </c>
      <c r="AA237" s="1">
        <f t="shared" si="18"/>
        <v>0</v>
      </c>
      <c r="AB237" s="1">
        <f t="shared" si="19"/>
        <v>0</v>
      </c>
    </row>
    <row r="238" spans="25:28" ht="15.75" customHeight="1" x14ac:dyDescent="0.2">
      <c r="Y238" s="1">
        <f t="shared" si="16"/>
        <v>0</v>
      </c>
      <c r="Z238" s="1">
        <f t="shared" si="17"/>
        <v>0</v>
      </c>
      <c r="AA238" s="1">
        <f t="shared" si="18"/>
        <v>0</v>
      </c>
      <c r="AB238" s="1">
        <f t="shared" si="19"/>
        <v>0</v>
      </c>
    </row>
    <row r="239" spans="25:28" ht="15.75" customHeight="1" x14ac:dyDescent="0.2">
      <c r="Y239" s="1">
        <f t="shared" si="16"/>
        <v>0</v>
      </c>
      <c r="Z239" s="1">
        <f t="shared" si="17"/>
        <v>0</v>
      </c>
      <c r="AA239" s="1">
        <f t="shared" si="18"/>
        <v>0</v>
      </c>
      <c r="AB239" s="1">
        <f t="shared" si="19"/>
        <v>0</v>
      </c>
    </row>
    <row r="240" spans="25:28" ht="15.75" customHeight="1" x14ac:dyDescent="0.2">
      <c r="Y240" s="1">
        <f t="shared" si="16"/>
        <v>0</v>
      </c>
      <c r="Z240" s="1">
        <f t="shared" si="17"/>
        <v>0</v>
      </c>
      <c r="AA240" s="1">
        <f t="shared" si="18"/>
        <v>0</v>
      </c>
      <c r="AB240" s="1">
        <f t="shared" si="19"/>
        <v>0</v>
      </c>
    </row>
    <row r="241" spans="25:28" ht="15.75" customHeight="1" x14ac:dyDescent="0.2">
      <c r="Y241" s="1">
        <f t="shared" si="16"/>
        <v>0</v>
      </c>
      <c r="Z241" s="1">
        <f t="shared" si="17"/>
        <v>0</v>
      </c>
      <c r="AA241" s="1">
        <f t="shared" si="18"/>
        <v>0</v>
      </c>
      <c r="AB241" s="1">
        <f t="shared" si="19"/>
        <v>0</v>
      </c>
    </row>
    <row r="242" spans="25:28" ht="15.75" customHeight="1" x14ac:dyDescent="0.2">
      <c r="Y242" s="1">
        <f t="shared" si="16"/>
        <v>0</v>
      </c>
      <c r="Z242" s="1">
        <f t="shared" si="17"/>
        <v>0</v>
      </c>
      <c r="AA242" s="1">
        <f t="shared" si="18"/>
        <v>0</v>
      </c>
      <c r="AB242" s="1">
        <f t="shared" si="19"/>
        <v>0</v>
      </c>
    </row>
    <row r="243" spans="25:28" ht="15.75" customHeight="1" x14ac:dyDescent="0.2">
      <c r="Y243" s="1">
        <f t="shared" si="16"/>
        <v>0</v>
      </c>
      <c r="Z243" s="1">
        <f t="shared" si="17"/>
        <v>0</v>
      </c>
      <c r="AA243" s="1">
        <f t="shared" si="18"/>
        <v>0</v>
      </c>
      <c r="AB243" s="1">
        <f t="shared" si="19"/>
        <v>0</v>
      </c>
    </row>
    <row r="244" spans="25:28" ht="15.75" customHeight="1" x14ac:dyDescent="0.2">
      <c r="Y244" s="1">
        <f t="shared" si="16"/>
        <v>0</v>
      </c>
      <c r="Z244" s="1">
        <f t="shared" si="17"/>
        <v>0</v>
      </c>
      <c r="AA244" s="1">
        <f t="shared" si="18"/>
        <v>0</v>
      </c>
      <c r="AB244" s="1">
        <f t="shared" si="19"/>
        <v>0</v>
      </c>
    </row>
    <row r="245" spans="25:28" ht="15.75" customHeight="1" x14ac:dyDescent="0.2">
      <c r="Y245" s="1">
        <f t="shared" si="16"/>
        <v>0</v>
      </c>
      <c r="Z245" s="1">
        <f t="shared" si="17"/>
        <v>0</v>
      </c>
      <c r="AA245" s="1">
        <f t="shared" si="18"/>
        <v>0</v>
      </c>
      <c r="AB245" s="1">
        <f t="shared" si="19"/>
        <v>0</v>
      </c>
    </row>
    <row r="246" spans="25:28" ht="15.75" customHeight="1" x14ac:dyDescent="0.2">
      <c r="Y246" s="1">
        <f t="shared" si="16"/>
        <v>0</v>
      </c>
      <c r="Z246" s="1">
        <f t="shared" si="17"/>
        <v>0</v>
      </c>
      <c r="AA246" s="1">
        <f t="shared" si="18"/>
        <v>0</v>
      </c>
      <c r="AB246" s="1">
        <f t="shared" si="19"/>
        <v>0</v>
      </c>
    </row>
    <row r="247" spans="25:28" ht="15.75" customHeight="1" x14ac:dyDescent="0.2">
      <c r="Y247" s="1">
        <f t="shared" si="16"/>
        <v>0</v>
      </c>
      <c r="Z247" s="1">
        <f t="shared" si="17"/>
        <v>0</v>
      </c>
      <c r="AA247" s="1">
        <f t="shared" si="18"/>
        <v>0</v>
      </c>
      <c r="AB247" s="1">
        <f t="shared" si="19"/>
        <v>0</v>
      </c>
    </row>
    <row r="248" spans="25:28" ht="15.75" customHeight="1" x14ac:dyDescent="0.2">
      <c r="Y248" s="1">
        <f t="shared" si="16"/>
        <v>0</v>
      </c>
      <c r="Z248" s="1">
        <f t="shared" si="17"/>
        <v>0</v>
      </c>
      <c r="AA248" s="1">
        <f t="shared" si="18"/>
        <v>0</v>
      </c>
      <c r="AB248" s="1">
        <f t="shared" si="19"/>
        <v>0</v>
      </c>
    </row>
    <row r="249" spans="25:28" ht="15.75" customHeight="1" x14ac:dyDescent="0.2">
      <c r="Y249" s="1">
        <f t="shared" si="16"/>
        <v>0</v>
      </c>
      <c r="Z249" s="1">
        <f t="shared" si="17"/>
        <v>0</v>
      </c>
      <c r="AA249" s="1">
        <f t="shared" si="18"/>
        <v>0</v>
      </c>
      <c r="AB249" s="1">
        <f t="shared" si="19"/>
        <v>0</v>
      </c>
    </row>
    <row r="250" spans="25:28" ht="15.75" customHeight="1" x14ac:dyDescent="0.2">
      <c r="Y250" s="1">
        <f t="shared" si="16"/>
        <v>0</v>
      </c>
      <c r="Z250" s="1">
        <f t="shared" si="17"/>
        <v>0</v>
      </c>
      <c r="AA250" s="1">
        <f t="shared" si="18"/>
        <v>0</v>
      </c>
      <c r="AB250" s="1">
        <f t="shared" si="19"/>
        <v>0</v>
      </c>
    </row>
    <row r="251" spans="25:28" ht="15.75" customHeight="1" x14ac:dyDescent="0.2">
      <c r="Y251" s="1">
        <f t="shared" si="16"/>
        <v>0</v>
      </c>
      <c r="Z251" s="1">
        <f t="shared" si="17"/>
        <v>0</v>
      </c>
      <c r="AA251" s="1">
        <f t="shared" si="18"/>
        <v>0</v>
      </c>
      <c r="AB251" s="1">
        <f t="shared" si="19"/>
        <v>0</v>
      </c>
    </row>
    <row r="252" spans="25:28" ht="15.75" customHeight="1" x14ac:dyDescent="0.2">
      <c r="Y252" s="1">
        <f t="shared" si="16"/>
        <v>0</v>
      </c>
      <c r="Z252" s="1">
        <f t="shared" si="17"/>
        <v>0</v>
      </c>
      <c r="AA252" s="1">
        <f t="shared" si="18"/>
        <v>0</v>
      </c>
      <c r="AB252" s="1">
        <f t="shared" si="19"/>
        <v>0</v>
      </c>
    </row>
    <row r="253" spans="25:28" ht="15.75" customHeight="1" x14ac:dyDescent="0.2">
      <c r="Y253" s="1">
        <f t="shared" si="16"/>
        <v>0</v>
      </c>
      <c r="Z253" s="1">
        <f t="shared" si="17"/>
        <v>0</v>
      </c>
      <c r="AA253" s="1">
        <f t="shared" si="18"/>
        <v>0</v>
      </c>
      <c r="AB253" s="1">
        <f t="shared" si="19"/>
        <v>0</v>
      </c>
    </row>
    <row r="254" spans="25:28" ht="15.75" customHeight="1" x14ac:dyDescent="0.2">
      <c r="Y254" s="1">
        <f t="shared" si="16"/>
        <v>0</v>
      </c>
      <c r="Z254" s="1">
        <f t="shared" si="17"/>
        <v>0</v>
      </c>
      <c r="AA254" s="1">
        <f t="shared" si="18"/>
        <v>0</v>
      </c>
      <c r="AB254" s="1">
        <f t="shared" si="19"/>
        <v>0</v>
      </c>
    </row>
    <row r="255" spans="25:28" ht="15.75" customHeight="1" x14ac:dyDescent="0.2">
      <c r="Y255" s="1">
        <f t="shared" si="16"/>
        <v>0</v>
      </c>
      <c r="Z255" s="1">
        <f t="shared" si="17"/>
        <v>0</v>
      </c>
      <c r="AA255" s="1">
        <f t="shared" si="18"/>
        <v>0</v>
      </c>
      <c r="AB255" s="1">
        <f t="shared" si="19"/>
        <v>0</v>
      </c>
    </row>
    <row r="256" spans="25:28" ht="15.75" customHeight="1" x14ac:dyDescent="0.2">
      <c r="Y256" s="1">
        <f t="shared" si="16"/>
        <v>0</v>
      </c>
      <c r="Z256" s="1">
        <f t="shared" si="17"/>
        <v>0</v>
      </c>
      <c r="AA256" s="1">
        <f t="shared" si="18"/>
        <v>0</v>
      </c>
      <c r="AB256" s="1">
        <f t="shared" si="19"/>
        <v>0</v>
      </c>
    </row>
    <row r="257" spans="25:28" ht="15.75" customHeight="1" x14ac:dyDescent="0.2">
      <c r="Y257" s="1">
        <f t="shared" si="16"/>
        <v>0</v>
      </c>
      <c r="Z257" s="1">
        <f t="shared" si="17"/>
        <v>0</v>
      </c>
      <c r="AA257" s="1">
        <f t="shared" si="18"/>
        <v>0</v>
      </c>
      <c r="AB257" s="1">
        <f t="shared" si="19"/>
        <v>0</v>
      </c>
    </row>
    <row r="258" spans="25:28" ht="15.75" customHeight="1" x14ac:dyDescent="0.2">
      <c r="Y258" s="1">
        <f t="shared" si="16"/>
        <v>0</v>
      </c>
      <c r="Z258" s="1">
        <f t="shared" si="17"/>
        <v>0</v>
      </c>
      <c r="AA258" s="1">
        <f t="shared" si="18"/>
        <v>0</v>
      </c>
      <c r="AB258" s="1">
        <f t="shared" si="19"/>
        <v>0</v>
      </c>
    </row>
    <row r="259" spans="25:28" ht="15.75" customHeight="1" x14ac:dyDescent="0.2">
      <c r="Y259" s="1">
        <f t="shared" si="16"/>
        <v>0</v>
      </c>
      <c r="Z259" s="1">
        <f t="shared" si="17"/>
        <v>0</v>
      </c>
      <c r="AA259" s="1">
        <f t="shared" si="18"/>
        <v>0</v>
      </c>
      <c r="AB259" s="1">
        <f t="shared" si="19"/>
        <v>0</v>
      </c>
    </row>
    <row r="260" spans="25:28" ht="15.75" customHeight="1" x14ac:dyDescent="0.2">
      <c r="Y260" s="1">
        <f t="shared" si="16"/>
        <v>0</v>
      </c>
      <c r="Z260" s="1">
        <f t="shared" si="17"/>
        <v>0</v>
      </c>
      <c r="AA260" s="1">
        <f t="shared" si="18"/>
        <v>0</v>
      </c>
      <c r="AB260" s="1">
        <f t="shared" si="19"/>
        <v>0</v>
      </c>
    </row>
    <row r="261" spans="25:28" ht="15.75" customHeight="1" x14ac:dyDescent="0.2">
      <c r="Y261" s="1">
        <f t="shared" si="16"/>
        <v>0</v>
      </c>
      <c r="Z261" s="1">
        <f t="shared" si="17"/>
        <v>0</v>
      </c>
      <c r="AA261" s="1">
        <f t="shared" si="18"/>
        <v>0</v>
      </c>
      <c r="AB261" s="1">
        <f t="shared" si="19"/>
        <v>0</v>
      </c>
    </row>
    <row r="262" spans="25:28" ht="15.75" customHeight="1" x14ac:dyDescent="0.2">
      <c r="Y262" s="1">
        <f t="shared" si="16"/>
        <v>0</v>
      </c>
      <c r="Z262" s="1">
        <f t="shared" si="17"/>
        <v>0</v>
      </c>
      <c r="AA262" s="1">
        <f t="shared" si="18"/>
        <v>0</v>
      </c>
      <c r="AB262" s="1">
        <f t="shared" si="19"/>
        <v>0</v>
      </c>
    </row>
    <row r="263" spans="25:28" ht="15.75" customHeight="1" x14ac:dyDescent="0.2">
      <c r="Y263" s="1">
        <f t="shared" si="16"/>
        <v>0</v>
      </c>
      <c r="Z263" s="1">
        <f t="shared" si="17"/>
        <v>0</v>
      </c>
      <c r="AA263" s="1">
        <f t="shared" si="18"/>
        <v>0</v>
      </c>
      <c r="AB263" s="1">
        <f t="shared" si="19"/>
        <v>0</v>
      </c>
    </row>
    <row r="264" spans="25:28" ht="15.75" customHeight="1" x14ac:dyDescent="0.2">
      <c r="Y264" s="1">
        <f t="shared" si="16"/>
        <v>0</v>
      </c>
      <c r="Z264" s="1">
        <f t="shared" si="17"/>
        <v>0</v>
      </c>
      <c r="AA264" s="1">
        <f t="shared" si="18"/>
        <v>0</v>
      </c>
      <c r="AB264" s="1">
        <f t="shared" si="19"/>
        <v>0</v>
      </c>
    </row>
    <row r="265" spans="25:28" ht="15.75" customHeight="1" x14ac:dyDescent="0.2">
      <c r="Y265" s="1">
        <f t="shared" si="16"/>
        <v>0</v>
      </c>
      <c r="Z265" s="1">
        <f t="shared" si="17"/>
        <v>0</v>
      </c>
      <c r="AA265" s="1">
        <f t="shared" si="18"/>
        <v>0</v>
      </c>
      <c r="AB265" s="1">
        <f t="shared" si="19"/>
        <v>0</v>
      </c>
    </row>
    <row r="266" spans="25:28" ht="15.75" customHeight="1" x14ac:dyDescent="0.2">
      <c r="Y266" s="1">
        <f t="shared" si="16"/>
        <v>0</v>
      </c>
      <c r="Z266" s="1">
        <f t="shared" si="17"/>
        <v>0</v>
      </c>
      <c r="AA266" s="1">
        <f t="shared" si="18"/>
        <v>0</v>
      </c>
      <c r="AB266" s="1">
        <f t="shared" si="19"/>
        <v>0</v>
      </c>
    </row>
    <row r="267" spans="25:28" ht="15.75" customHeight="1" x14ac:dyDescent="0.2">
      <c r="Y267" s="1">
        <f t="shared" si="16"/>
        <v>0</v>
      </c>
      <c r="Z267" s="1">
        <f t="shared" si="17"/>
        <v>0</v>
      </c>
      <c r="AA267" s="1">
        <f t="shared" si="18"/>
        <v>0</v>
      </c>
      <c r="AB267" s="1">
        <f t="shared" si="19"/>
        <v>0</v>
      </c>
    </row>
    <row r="268" spans="25:28" ht="15.75" customHeight="1" x14ac:dyDescent="0.2">
      <c r="Y268" s="1">
        <f t="shared" si="16"/>
        <v>0</v>
      </c>
      <c r="Z268" s="1">
        <f t="shared" si="17"/>
        <v>0</v>
      </c>
      <c r="AA268" s="1">
        <f t="shared" si="18"/>
        <v>0</v>
      </c>
      <c r="AB268" s="1">
        <f t="shared" si="19"/>
        <v>0</v>
      </c>
    </row>
    <row r="269" spans="25:28" ht="15.75" customHeight="1" x14ac:dyDescent="0.2">
      <c r="Y269" s="1">
        <f t="shared" si="16"/>
        <v>0</v>
      </c>
      <c r="Z269" s="1">
        <f t="shared" si="17"/>
        <v>0</v>
      </c>
      <c r="AA269" s="1">
        <f t="shared" si="18"/>
        <v>0</v>
      </c>
      <c r="AB269" s="1">
        <f t="shared" si="19"/>
        <v>0</v>
      </c>
    </row>
    <row r="270" spans="25:28" ht="15.75" customHeight="1" x14ac:dyDescent="0.2">
      <c r="Y270" s="1">
        <f t="shared" ref="Y270:Y333" si="20">MAX(0,IFERROR((LEN($T271)-LEN(SUBSTITUTE($T271,"Quality of Works / Criteria of Failings:","")))/LEN("Quality of Works / Criteria of Failings:"),0)-IFERROR((LEN($T271)-LEN(SUBSTITUTE($T271,"Quality of Works / Criteria of Failings:Compliant","")))/LEN("Quality of Works / Criteria of Failings:Compliant"),0))</f>
        <v>0</v>
      </c>
      <c r="Z270" s="1">
        <f t="shared" ref="Z270:Z333" si="21">IFERROR($Y271/MAX(1,(LEN($I271)-LEN(SUBSTITUTE($I271," Ltd","")))/LEN(" Ltd")),0)</f>
        <v>0</v>
      </c>
      <c r="AA270" s="1">
        <f t="shared" ref="AA270:AA333" si="22">IFERROR(IFERROR((LEN($T271)-LEN(SUBSTITUTE($T271,"Quality of Works / Criteria of Failings:","")))/LEN("Quality of Works / Criteria of Failings:"),0)/MAX(1,(LEN($I271)-LEN(SUBSTITUTE($I271," Ltd","")))/LEN(" Ltd")),0)</f>
        <v>0</v>
      </c>
      <c r="AB270" s="1">
        <f t="shared" ref="AB270:AB333" si="23">IFERROR(IFERROR((LEN($T271)-LEN(SUBSTITUTE($T271,"Quality of Works / Criteria of Failings:Compliant","")))/LEN("Quality of Works / Criteria of Failings:Compliant"),0)/MAX(1,(LEN($I271)-LEN(SUBSTITUTE($I271," Ltd","")))/LEN(" Ltd")),0)</f>
        <v>0</v>
      </c>
    </row>
    <row r="271" spans="25:28" ht="15.75" customHeight="1" x14ac:dyDescent="0.2">
      <c r="Y271" s="1">
        <f t="shared" si="20"/>
        <v>0</v>
      </c>
      <c r="Z271" s="1">
        <f t="shared" si="21"/>
        <v>0</v>
      </c>
      <c r="AA271" s="1">
        <f t="shared" si="22"/>
        <v>0</v>
      </c>
      <c r="AB271" s="1">
        <f t="shared" si="23"/>
        <v>0</v>
      </c>
    </row>
    <row r="272" spans="25:28" ht="15.75" customHeight="1" x14ac:dyDescent="0.2">
      <c r="Y272" s="1">
        <f t="shared" si="20"/>
        <v>0</v>
      </c>
      <c r="Z272" s="1">
        <f t="shared" si="21"/>
        <v>0</v>
      </c>
      <c r="AA272" s="1">
        <f t="shared" si="22"/>
        <v>0</v>
      </c>
      <c r="AB272" s="1">
        <f t="shared" si="23"/>
        <v>0</v>
      </c>
    </row>
    <row r="273" spans="25:28" ht="15.75" customHeight="1" x14ac:dyDescent="0.2">
      <c r="Y273" s="1">
        <f t="shared" si="20"/>
        <v>0</v>
      </c>
      <c r="Z273" s="1">
        <f t="shared" si="21"/>
        <v>0</v>
      </c>
      <c r="AA273" s="1">
        <f t="shared" si="22"/>
        <v>0</v>
      </c>
      <c r="AB273" s="1">
        <f t="shared" si="23"/>
        <v>0</v>
      </c>
    </row>
    <row r="274" spans="25:28" ht="15.75" customHeight="1" x14ac:dyDescent="0.2">
      <c r="Y274" s="1">
        <f t="shared" si="20"/>
        <v>0</v>
      </c>
      <c r="Z274" s="1">
        <f t="shared" si="21"/>
        <v>0</v>
      </c>
      <c r="AA274" s="1">
        <f t="shared" si="22"/>
        <v>0</v>
      </c>
      <c r="AB274" s="1">
        <f t="shared" si="23"/>
        <v>0</v>
      </c>
    </row>
    <row r="275" spans="25:28" ht="15.75" customHeight="1" x14ac:dyDescent="0.2">
      <c r="Y275" s="1">
        <f t="shared" si="20"/>
        <v>0</v>
      </c>
      <c r="Z275" s="1">
        <f t="shared" si="21"/>
        <v>0</v>
      </c>
      <c r="AA275" s="1">
        <f t="shared" si="22"/>
        <v>0</v>
      </c>
      <c r="AB275" s="1">
        <f t="shared" si="23"/>
        <v>0</v>
      </c>
    </row>
    <row r="276" spans="25:28" ht="15.75" customHeight="1" x14ac:dyDescent="0.2">
      <c r="Y276" s="1">
        <f t="shared" si="20"/>
        <v>0</v>
      </c>
      <c r="Z276" s="1">
        <f t="shared" si="21"/>
        <v>0</v>
      </c>
      <c r="AA276" s="1">
        <f t="shared" si="22"/>
        <v>0</v>
      </c>
      <c r="AB276" s="1">
        <f t="shared" si="23"/>
        <v>0</v>
      </c>
    </row>
    <row r="277" spans="25:28" ht="15.75" customHeight="1" x14ac:dyDescent="0.2">
      <c r="Y277" s="1">
        <f t="shared" si="20"/>
        <v>0</v>
      </c>
      <c r="Z277" s="1">
        <f t="shared" si="21"/>
        <v>0</v>
      </c>
      <c r="AA277" s="1">
        <f t="shared" si="22"/>
        <v>0</v>
      </c>
      <c r="AB277" s="1">
        <f t="shared" si="23"/>
        <v>0</v>
      </c>
    </row>
    <row r="278" spans="25:28" ht="15.75" customHeight="1" x14ac:dyDescent="0.2">
      <c r="Y278" s="1">
        <f t="shared" si="20"/>
        <v>0</v>
      </c>
      <c r="Z278" s="1">
        <f t="shared" si="21"/>
        <v>0</v>
      </c>
      <c r="AA278" s="1">
        <f t="shared" si="22"/>
        <v>0</v>
      </c>
      <c r="AB278" s="1">
        <f t="shared" si="23"/>
        <v>0</v>
      </c>
    </row>
    <row r="279" spans="25:28" ht="15.75" customHeight="1" x14ac:dyDescent="0.2">
      <c r="Y279" s="1">
        <f t="shared" si="20"/>
        <v>0</v>
      </c>
      <c r="Z279" s="1">
        <f t="shared" si="21"/>
        <v>0</v>
      </c>
      <c r="AA279" s="1">
        <f t="shared" si="22"/>
        <v>0</v>
      </c>
      <c r="AB279" s="1">
        <f t="shared" si="23"/>
        <v>0</v>
      </c>
    </row>
    <row r="280" spans="25:28" ht="15.75" customHeight="1" x14ac:dyDescent="0.2">
      <c r="Y280" s="1">
        <f t="shared" si="20"/>
        <v>0</v>
      </c>
      <c r="Z280" s="1">
        <f t="shared" si="21"/>
        <v>0</v>
      </c>
      <c r="AA280" s="1">
        <f t="shared" si="22"/>
        <v>0</v>
      </c>
      <c r="AB280" s="1">
        <f t="shared" si="23"/>
        <v>0</v>
      </c>
    </row>
    <row r="281" spans="25:28" ht="15.75" customHeight="1" x14ac:dyDescent="0.2">
      <c r="Y281" s="1">
        <f t="shared" si="20"/>
        <v>0</v>
      </c>
      <c r="Z281" s="1">
        <f t="shared" si="21"/>
        <v>0</v>
      </c>
      <c r="AA281" s="1">
        <f t="shared" si="22"/>
        <v>0</v>
      </c>
      <c r="AB281" s="1">
        <f t="shared" si="23"/>
        <v>0</v>
      </c>
    </row>
    <row r="282" spans="25:28" ht="15.75" customHeight="1" x14ac:dyDescent="0.2">
      <c r="Y282" s="1">
        <f t="shared" si="20"/>
        <v>0</v>
      </c>
      <c r="Z282" s="1">
        <f t="shared" si="21"/>
        <v>0</v>
      </c>
      <c r="AA282" s="1">
        <f t="shared" si="22"/>
        <v>0</v>
      </c>
      <c r="AB282" s="1">
        <f t="shared" si="23"/>
        <v>0</v>
      </c>
    </row>
    <row r="283" spans="25:28" ht="15.75" customHeight="1" x14ac:dyDescent="0.2">
      <c r="Y283" s="1">
        <f t="shared" si="20"/>
        <v>0</v>
      </c>
      <c r="Z283" s="1">
        <f t="shared" si="21"/>
        <v>0</v>
      </c>
      <c r="AA283" s="1">
        <f t="shared" si="22"/>
        <v>0</v>
      </c>
      <c r="AB283" s="1">
        <f t="shared" si="23"/>
        <v>0</v>
      </c>
    </row>
    <row r="284" spans="25:28" ht="15.75" customHeight="1" x14ac:dyDescent="0.2">
      <c r="Y284" s="1">
        <f t="shared" si="20"/>
        <v>0</v>
      </c>
      <c r="Z284" s="1">
        <f t="shared" si="21"/>
        <v>0</v>
      </c>
      <c r="AA284" s="1">
        <f t="shared" si="22"/>
        <v>0</v>
      </c>
      <c r="AB284" s="1">
        <f t="shared" si="23"/>
        <v>0</v>
      </c>
    </row>
    <row r="285" spans="25:28" ht="15.75" customHeight="1" x14ac:dyDescent="0.2">
      <c r="Y285" s="1">
        <f t="shared" si="20"/>
        <v>0</v>
      </c>
      <c r="Z285" s="1">
        <f t="shared" si="21"/>
        <v>0</v>
      </c>
      <c r="AA285" s="1">
        <f t="shared" si="22"/>
        <v>0</v>
      </c>
      <c r="AB285" s="1">
        <f t="shared" si="23"/>
        <v>0</v>
      </c>
    </row>
    <row r="286" spans="25:28" ht="15.75" customHeight="1" x14ac:dyDescent="0.2">
      <c r="Y286" s="1">
        <f t="shared" si="20"/>
        <v>0</v>
      </c>
      <c r="Z286" s="1">
        <f t="shared" si="21"/>
        <v>0</v>
      </c>
      <c r="AA286" s="1">
        <f t="shared" si="22"/>
        <v>0</v>
      </c>
      <c r="AB286" s="1">
        <f t="shared" si="23"/>
        <v>0</v>
      </c>
    </row>
    <row r="287" spans="25:28" ht="15.75" customHeight="1" x14ac:dyDescent="0.2">
      <c r="Y287" s="1">
        <f t="shared" si="20"/>
        <v>0</v>
      </c>
      <c r="Z287" s="1">
        <f t="shared" si="21"/>
        <v>0</v>
      </c>
      <c r="AA287" s="1">
        <f t="shared" si="22"/>
        <v>0</v>
      </c>
      <c r="AB287" s="1">
        <f t="shared" si="23"/>
        <v>0</v>
      </c>
    </row>
    <row r="288" spans="25:28" ht="15.75" customHeight="1" x14ac:dyDescent="0.2">
      <c r="Y288" s="1">
        <f t="shared" si="20"/>
        <v>0</v>
      </c>
      <c r="Z288" s="1">
        <f t="shared" si="21"/>
        <v>0</v>
      </c>
      <c r="AA288" s="1">
        <f t="shared" si="22"/>
        <v>0</v>
      </c>
      <c r="AB288" s="1">
        <f t="shared" si="23"/>
        <v>0</v>
      </c>
    </row>
    <row r="289" spans="25:28" ht="15.75" customHeight="1" x14ac:dyDescent="0.2">
      <c r="Y289" s="1">
        <f t="shared" si="20"/>
        <v>0</v>
      </c>
      <c r="Z289" s="1">
        <f t="shared" si="21"/>
        <v>0</v>
      </c>
      <c r="AA289" s="1">
        <f t="shared" si="22"/>
        <v>0</v>
      </c>
      <c r="AB289" s="1">
        <f t="shared" si="23"/>
        <v>0</v>
      </c>
    </row>
    <row r="290" spans="25:28" ht="15.75" customHeight="1" x14ac:dyDescent="0.2">
      <c r="Y290" s="1">
        <f t="shared" si="20"/>
        <v>0</v>
      </c>
      <c r="Z290" s="1">
        <f t="shared" si="21"/>
        <v>0</v>
      </c>
      <c r="AA290" s="1">
        <f t="shared" si="22"/>
        <v>0</v>
      </c>
      <c r="AB290" s="1">
        <f t="shared" si="23"/>
        <v>0</v>
      </c>
    </row>
    <row r="291" spans="25:28" ht="15.75" customHeight="1" x14ac:dyDescent="0.2">
      <c r="Y291" s="1">
        <f t="shared" si="20"/>
        <v>0</v>
      </c>
      <c r="Z291" s="1">
        <f t="shared" si="21"/>
        <v>0</v>
      </c>
      <c r="AA291" s="1">
        <f t="shared" si="22"/>
        <v>0</v>
      </c>
      <c r="AB291" s="1">
        <f t="shared" si="23"/>
        <v>0</v>
      </c>
    </row>
    <row r="292" spans="25:28" ht="15.75" customHeight="1" x14ac:dyDescent="0.2">
      <c r="Y292" s="1">
        <f t="shared" si="20"/>
        <v>0</v>
      </c>
      <c r="Z292" s="1">
        <f t="shared" si="21"/>
        <v>0</v>
      </c>
      <c r="AA292" s="1">
        <f t="shared" si="22"/>
        <v>0</v>
      </c>
      <c r="AB292" s="1">
        <f t="shared" si="23"/>
        <v>0</v>
      </c>
    </row>
    <row r="293" spans="25:28" ht="15.75" customHeight="1" x14ac:dyDescent="0.2">
      <c r="Y293" s="1">
        <f t="shared" si="20"/>
        <v>0</v>
      </c>
      <c r="Z293" s="1">
        <f t="shared" si="21"/>
        <v>0</v>
      </c>
      <c r="AA293" s="1">
        <f t="shared" si="22"/>
        <v>0</v>
      </c>
      <c r="AB293" s="1">
        <f t="shared" si="23"/>
        <v>0</v>
      </c>
    </row>
    <row r="294" spans="25:28" ht="15.75" customHeight="1" x14ac:dyDescent="0.2">
      <c r="Y294" s="1">
        <f t="shared" si="20"/>
        <v>0</v>
      </c>
      <c r="Z294" s="1">
        <f t="shared" si="21"/>
        <v>0</v>
      </c>
      <c r="AA294" s="1">
        <f t="shared" si="22"/>
        <v>0</v>
      </c>
      <c r="AB294" s="1">
        <f t="shared" si="23"/>
        <v>0</v>
      </c>
    </row>
    <row r="295" spans="25:28" ht="15.75" customHeight="1" x14ac:dyDescent="0.2">
      <c r="Y295" s="1">
        <f t="shared" si="20"/>
        <v>0</v>
      </c>
      <c r="Z295" s="1">
        <f t="shared" si="21"/>
        <v>0</v>
      </c>
      <c r="AA295" s="1">
        <f t="shared" si="22"/>
        <v>0</v>
      </c>
      <c r="AB295" s="1">
        <f t="shared" si="23"/>
        <v>0</v>
      </c>
    </row>
    <row r="296" spans="25:28" ht="15.75" customHeight="1" x14ac:dyDescent="0.2">
      <c r="Y296" s="1">
        <f t="shared" si="20"/>
        <v>0</v>
      </c>
      <c r="Z296" s="1">
        <f t="shared" si="21"/>
        <v>0</v>
      </c>
      <c r="AA296" s="1">
        <f t="shared" si="22"/>
        <v>0</v>
      </c>
      <c r="AB296" s="1">
        <f t="shared" si="23"/>
        <v>0</v>
      </c>
    </row>
    <row r="297" spans="25:28" ht="15.75" customHeight="1" x14ac:dyDescent="0.2">
      <c r="Y297" s="1">
        <f t="shared" si="20"/>
        <v>0</v>
      </c>
      <c r="Z297" s="1">
        <f t="shared" si="21"/>
        <v>0</v>
      </c>
      <c r="AA297" s="1">
        <f t="shared" si="22"/>
        <v>0</v>
      </c>
      <c r="AB297" s="1">
        <f t="shared" si="23"/>
        <v>0</v>
      </c>
    </row>
    <row r="298" spans="25:28" ht="15.75" customHeight="1" x14ac:dyDescent="0.2">
      <c r="Y298" s="1">
        <f t="shared" si="20"/>
        <v>0</v>
      </c>
      <c r="Z298" s="1">
        <f t="shared" si="21"/>
        <v>0</v>
      </c>
      <c r="AA298" s="1">
        <f t="shared" si="22"/>
        <v>0</v>
      </c>
      <c r="AB298" s="1">
        <f t="shared" si="23"/>
        <v>0</v>
      </c>
    </row>
    <row r="299" spans="25:28" ht="15.75" customHeight="1" x14ac:dyDescent="0.2">
      <c r="Y299" s="1">
        <f t="shared" si="20"/>
        <v>0</v>
      </c>
      <c r="Z299" s="1">
        <f t="shared" si="21"/>
        <v>0</v>
      </c>
      <c r="AA299" s="1">
        <f t="shared" si="22"/>
        <v>0</v>
      </c>
      <c r="AB299" s="1">
        <f t="shared" si="23"/>
        <v>0</v>
      </c>
    </row>
    <row r="300" spans="25:28" ht="15.75" customHeight="1" x14ac:dyDescent="0.2">
      <c r="Y300" s="1">
        <f t="shared" si="20"/>
        <v>0</v>
      </c>
      <c r="Z300" s="1">
        <f t="shared" si="21"/>
        <v>0</v>
      </c>
      <c r="AA300" s="1">
        <f t="shared" si="22"/>
        <v>0</v>
      </c>
      <c r="AB300" s="1">
        <f t="shared" si="23"/>
        <v>0</v>
      </c>
    </row>
    <row r="301" spans="25:28" ht="15.75" customHeight="1" x14ac:dyDescent="0.2">
      <c r="Y301" s="1">
        <f t="shared" si="20"/>
        <v>0</v>
      </c>
      <c r="Z301" s="1">
        <f t="shared" si="21"/>
        <v>0</v>
      </c>
      <c r="AA301" s="1">
        <f t="shared" si="22"/>
        <v>0</v>
      </c>
      <c r="AB301" s="1">
        <f t="shared" si="23"/>
        <v>0</v>
      </c>
    </row>
    <row r="302" spans="25:28" ht="15.75" customHeight="1" x14ac:dyDescent="0.2">
      <c r="Y302" s="1">
        <f t="shared" si="20"/>
        <v>0</v>
      </c>
      <c r="Z302" s="1">
        <f t="shared" si="21"/>
        <v>0</v>
      </c>
      <c r="AA302" s="1">
        <f t="shared" si="22"/>
        <v>0</v>
      </c>
      <c r="AB302" s="1">
        <f t="shared" si="23"/>
        <v>0</v>
      </c>
    </row>
    <row r="303" spans="25:28" ht="15.75" customHeight="1" x14ac:dyDescent="0.2">
      <c r="Y303" s="1">
        <f t="shared" si="20"/>
        <v>0</v>
      </c>
      <c r="Z303" s="1">
        <f t="shared" si="21"/>
        <v>0</v>
      </c>
      <c r="AA303" s="1">
        <f t="shared" si="22"/>
        <v>0</v>
      </c>
      <c r="AB303" s="1">
        <f t="shared" si="23"/>
        <v>0</v>
      </c>
    </row>
    <row r="304" spans="25:28" ht="15.75" customHeight="1" x14ac:dyDescent="0.2">
      <c r="Y304" s="1">
        <f t="shared" si="20"/>
        <v>0</v>
      </c>
      <c r="Z304" s="1">
        <f t="shared" si="21"/>
        <v>0</v>
      </c>
      <c r="AA304" s="1">
        <f t="shared" si="22"/>
        <v>0</v>
      </c>
      <c r="AB304" s="1">
        <f t="shared" si="23"/>
        <v>0</v>
      </c>
    </row>
    <row r="305" spans="25:28" ht="15.75" customHeight="1" x14ac:dyDescent="0.2">
      <c r="Y305" s="1">
        <f t="shared" si="20"/>
        <v>0</v>
      </c>
      <c r="Z305" s="1">
        <f t="shared" si="21"/>
        <v>0</v>
      </c>
      <c r="AA305" s="1">
        <f t="shared" si="22"/>
        <v>0</v>
      </c>
      <c r="AB305" s="1">
        <f t="shared" si="23"/>
        <v>0</v>
      </c>
    </row>
    <row r="306" spans="25:28" ht="15.75" customHeight="1" x14ac:dyDescent="0.2">
      <c r="Y306" s="1">
        <f t="shared" si="20"/>
        <v>0</v>
      </c>
      <c r="Z306" s="1">
        <f t="shared" si="21"/>
        <v>0</v>
      </c>
      <c r="AA306" s="1">
        <f t="shared" si="22"/>
        <v>0</v>
      </c>
      <c r="AB306" s="1">
        <f t="shared" si="23"/>
        <v>0</v>
      </c>
    </row>
    <row r="307" spans="25:28" ht="15.75" customHeight="1" x14ac:dyDescent="0.2">
      <c r="Y307" s="1">
        <f t="shared" si="20"/>
        <v>0</v>
      </c>
      <c r="Z307" s="1">
        <f t="shared" si="21"/>
        <v>0</v>
      </c>
      <c r="AA307" s="1">
        <f t="shared" si="22"/>
        <v>0</v>
      </c>
      <c r="AB307" s="1">
        <f t="shared" si="23"/>
        <v>0</v>
      </c>
    </row>
    <row r="308" spans="25:28" ht="15.75" customHeight="1" x14ac:dyDescent="0.2">
      <c r="Y308" s="1">
        <f t="shared" si="20"/>
        <v>0</v>
      </c>
      <c r="Z308" s="1">
        <f t="shared" si="21"/>
        <v>0</v>
      </c>
      <c r="AA308" s="1">
        <f t="shared" si="22"/>
        <v>0</v>
      </c>
      <c r="AB308" s="1">
        <f t="shared" si="23"/>
        <v>0</v>
      </c>
    </row>
    <row r="309" spans="25:28" ht="15.75" customHeight="1" x14ac:dyDescent="0.2">
      <c r="Y309" s="1">
        <f t="shared" si="20"/>
        <v>0</v>
      </c>
      <c r="Z309" s="1">
        <f t="shared" si="21"/>
        <v>0</v>
      </c>
      <c r="AA309" s="1">
        <f t="shared" si="22"/>
        <v>0</v>
      </c>
      <c r="AB309" s="1">
        <f t="shared" si="23"/>
        <v>0</v>
      </c>
    </row>
    <row r="310" spans="25:28" ht="15.75" customHeight="1" x14ac:dyDescent="0.2">
      <c r="Y310" s="1">
        <f t="shared" si="20"/>
        <v>0</v>
      </c>
      <c r="Z310" s="1">
        <f t="shared" si="21"/>
        <v>0</v>
      </c>
      <c r="AA310" s="1">
        <f t="shared" si="22"/>
        <v>0</v>
      </c>
      <c r="AB310" s="1">
        <f t="shared" si="23"/>
        <v>0</v>
      </c>
    </row>
    <row r="311" spans="25:28" ht="15.75" customHeight="1" x14ac:dyDescent="0.2">
      <c r="Y311" s="1">
        <f t="shared" si="20"/>
        <v>0</v>
      </c>
      <c r="Z311" s="1">
        <f t="shared" si="21"/>
        <v>0</v>
      </c>
      <c r="AA311" s="1">
        <f t="shared" si="22"/>
        <v>0</v>
      </c>
      <c r="AB311" s="1">
        <f t="shared" si="23"/>
        <v>0</v>
      </c>
    </row>
    <row r="312" spans="25:28" ht="15.75" customHeight="1" x14ac:dyDescent="0.2">
      <c r="Y312" s="1">
        <f t="shared" si="20"/>
        <v>0</v>
      </c>
      <c r="Z312" s="1">
        <f t="shared" si="21"/>
        <v>0</v>
      </c>
      <c r="AA312" s="1">
        <f t="shared" si="22"/>
        <v>0</v>
      </c>
      <c r="AB312" s="1">
        <f t="shared" si="23"/>
        <v>0</v>
      </c>
    </row>
    <row r="313" spans="25:28" ht="15.75" customHeight="1" x14ac:dyDescent="0.2">
      <c r="Y313" s="1">
        <f t="shared" si="20"/>
        <v>0</v>
      </c>
      <c r="Z313" s="1">
        <f t="shared" si="21"/>
        <v>0</v>
      </c>
      <c r="AA313" s="1">
        <f t="shared" si="22"/>
        <v>0</v>
      </c>
      <c r="AB313" s="1">
        <f t="shared" si="23"/>
        <v>0</v>
      </c>
    </row>
    <row r="314" spans="25:28" ht="15.75" customHeight="1" x14ac:dyDescent="0.2">
      <c r="Y314" s="1">
        <f t="shared" si="20"/>
        <v>0</v>
      </c>
      <c r="Z314" s="1">
        <f t="shared" si="21"/>
        <v>0</v>
      </c>
      <c r="AA314" s="1">
        <f t="shared" si="22"/>
        <v>0</v>
      </c>
      <c r="AB314" s="1">
        <f t="shared" si="23"/>
        <v>0</v>
      </c>
    </row>
    <row r="315" spans="25:28" ht="15.75" customHeight="1" x14ac:dyDescent="0.2">
      <c r="Y315" s="1">
        <f t="shared" si="20"/>
        <v>0</v>
      </c>
      <c r="Z315" s="1">
        <f t="shared" si="21"/>
        <v>0</v>
      </c>
      <c r="AA315" s="1">
        <f t="shared" si="22"/>
        <v>0</v>
      </c>
      <c r="AB315" s="1">
        <f t="shared" si="23"/>
        <v>0</v>
      </c>
    </row>
    <row r="316" spans="25:28" ht="15.75" customHeight="1" x14ac:dyDescent="0.2">
      <c r="Y316" s="1">
        <f t="shared" si="20"/>
        <v>0</v>
      </c>
      <c r="Z316" s="1">
        <f t="shared" si="21"/>
        <v>0</v>
      </c>
      <c r="AA316" s="1">
        <f t="shared" si="22"/>
        <v>0</v>
      </c>
      <c r="AB316" s="1">
        <f t="shared" si="23"/>
        <v>0</v>
      </c>
    </row>
    <row r="317" spans="25:28" ht="15.75" customHeight="1" x14ac:dyDescent="0.2">
      <c r="Y317" s="1">
        <f t="shared" si="20"/>
        <v>0</v>
      </c>
      <c r="Z317" s="1">
        <f t="shared" si="21"/>
        <v>0</v>
      </c>
      <c r="AA317" s="1">
        <f t="shared" si="22"/>
        <v>0</v>
      </c>
      <c r="AB317" s="1">
        <f t="shared" si="23"/>
        <v>0</v>
      </c>
    </row>
    <row r="318" spans="25:28" ht="15.75" customHeight="1" x14ac:dyDescent="0.2">
      <c r="Y318" s="1">
        <f t="shared" si="20"/>
        <v>0</v>
      </c>
      <c r="Z318" s="1">
        <f t="shared" si="21"/>
        <v>0</v>
      </c>
      <c r="AA318" s="1">
        <f t="shared" si="22"/>
        <v>0</v>
      </c>
      <c r="AB318" s="1">
        <f t="shared" si="23"/>
        <v>0</v>
      </c>
    </row>
    <row r="319" spans="25:28" ht="15.75" customHeight="1" x14ac:dyDescent="0.2">
      <c r="Y319" s="1">
        <f t="shared" si="20"/>
        <v>0</v>
      </c>
      <c r="Z319" s="1">
        <f t="shared" si="21"/>
        <v>0</v>
      </c>
      <c r="AA319" s="1">
        <f t="shared" si="22"/>
        <v>0</v>
      </c>
      <c r="AB319" s="1">
        <f t="shared" si="23"/>
        <v>0</v>
      </c>
    </row>
    <row r="320" spans="25:28" ht="15.75" customHeight="1" x14ac:dyDescent="0.2">
      <c r="Y320" s="1">
        <f t="shared" si="20"/>
        <v>0</v>
      </c>
      <c r="Z320" s="1">
        <f t="shared" si="21"/>
        <v>0</v>
      </c>
      <c r="AA320" s="1">
        <f t="shared" si="22"/>
        <v>0</v>
      </c>
      <c r="AB320" s="1">
        <f t="shared" si="23"/>
        <v>0</v>
      </c>
    </row>
    <row r="321" spans="25:28" ht="15.75" customHeight="1" x14ac:dyDescent="0.2">
      <c r="Y321" s="1">
        <f t="shared" si="20"/>
        <v>0</v>
      </c>
      <c r="Z321" s="1">
        <f t="shared" si="21"/>
        <v>0</v>
      </c>
      <c r="AA321" s="1">
        <f t="shared" si="22"/>
        <v>0</v>
      </c>
      <c r="AB321" s="1">
        <f t="shared" si="23"/>
        <v>0</v>
      </c>
    </row>
    <row r="322" spans="25:28" ht="15.75" customHeight="1" x14ac:dyDescent="0.2">
      <c r="Y322" s="1">
        <f t="shared" si="20"/>
        <v>0</v>
      </c>
      <c r="Z322" s="1">
        <f t="shared" si="21"/>
        <v>0</v>
      </c>
      <c r="AA322" s="1">
        <f t="shared" si="22"/>
        <v>0</v>
      </c>
      <c r="AB322" s="1">
        <f t="shared" si="23"/>
        <v>0</v>
      </c>
    </row>
    <row r="323" spans="25:28" ht="15.75" customHeight="1" x14ac:dyDescent="0.2">
      <c r="Y323" s="1">
        <f t="shared" si="20"/>
        <v>0</v>
      </c>
      <c r="Z323" s="1">
        <f t="shared" si="21"/>
        <v>0</v>
      </c>
      <c r="AA323" s="1">
        <f t="shared" si="22"/>
        <v>0</v>
      </c>
      <c r="AB323" s="1">
        <f t="shared" si="23"/>
        <v>0</v>
      </c>
    </row>
    <row r="324" spans="25:28" ht="15.75" customHeight="1" x14ac:dyDescent="0.2">
      <c r="Y324" s="1">
        <f t="shared" si="20"/>
        <v>0</v>
      </c>
      <c r="Z324" s="1">
        <f t="shared" si="21"/>
        <v>0</v>
      </c>
      <c r="AA324" s="1">
        <f t="shared" si="22"/>
        <v>0</v>
      </c>
      <c r="AB324" s="1">
        <f t="shared" si="23"/>
        <v>0</v>
      </c>
    </row>
    <row r="325" spans="25:28" ht="15.75" customHeight="1" x14ac:dyDescent="0.2">
      <c r="Y325" s="1">
        <f t="shared" si="20"/>
        <v>0</v>
      </c>
      <c r="Z325" s="1">
        <f t="shared" si="21"/>
        <v>0</v>
      </c>
      <c r="AA325" s="1">
        <f t="shared" si="22"/>
        <v>0</v>
      </c>
      <c r="AB325" s="1">
        <f t="shared" si="23"/>
        <v>0</v>
      </c>
    </row>
    <row r="326" spans="25:28" ht="15.75" customHeight="1" x14ac:dyDescent="0.2">
      <c r="Y326" s="1">
        <f t="shared" si="20"/>
        <v>0</v>
      </c>
      <c r="Z326" s="1">
        <f t="shared" si="21"/>
        <v>0</v>
      </c>
      <c r="AA326" s="1">
        <f t="shared" si="22"/>
        <v>0</v>
      </c>
      <c r="AB326" s="1">
        <f t="shared" si="23"/>
        <v>0</v>
      </c>
    </row>
    <row r="327" spans="25:28" ht="15.75" customHeight="1" x14ac:dyDescent="0.2">
      <c r="Y327" s="1">
        <f t="shared" si="20"/>
        <v>0</v>
      </c>
      <c r="Z327" s="1">
        <f t="shared" si="21"/>
        <v>0</v>
      </c>
      <c r="AA327" s="1">
        <f t="shared" si="22"/>
        <v>0</v>
      </c>
      <c r="AB327" s="1">
        <f t="shared" si="23"/>
        <v>0</v>
      </c>
    </row>
    <row r="328" spans="25:28" ht="15.75" customHeight="1" x14ac:dyDescent="0.2">
      <c r="Y328" s="1">
        <f t="shared" si="20"/>
        <v>0</v>
      </c>
      <c r="Z328" s="1">
        <f t="shared" si="21"/>
        <v>0</v>
      </c>
      <c r="AA328" s="1">
        <f t="shared" si="22"/>
        <v>0</v>
      </c>
      <c r="AB328" s="1">
        <f t="shared" si="23"/>
        <v>0</v>
      </c>
    </row>
    <row r="329" spans="25:28" ht="15.75" customHeight="1" x14ac:dyDescent="0.2">
      <c r="Y329" s="1">
        <f t="shared" si="20"/>
        <v>0</v>
      </c>
      <c r="Z329" s="1">
        <f t="shared" si="21"/>
        <v>0</v>
      </c>
      <c r="AA329" s="1">
        <f t="shared" si="22"/>
        <v>0</v>
      </c>
      <c r="AB329" s="1">
        <f t="shared" si="23"/>
        <v>0</v>
      </c>
    </row>
    <row r="330" spans="25:28" ht="15.75" customHeight="1" x14ac:dyDescent="0.2">
      <c r="Y330" s="1">
        <f t="shared" si="20"/>
        <v>0</v>
      </c>
      <c r="Z330" s="1">
        <f t="shared" si="21"/>
        <v>0</v>
      </c>
      <c r="AA330" s="1">
        <f t="shared" si="22"/>
        <v>0</v>
      </c>
      <c r="AB330" s="1">
        <f t="shared" si="23"/>
        <v>0</v>
      </c>
    </row>
    <row r="331" spans="25:28" ht="15.75" customHeight="1" x14ac:dyDescent="0.2">
      <c r="Y331" s="1">
        <f t="shared" si="20"/>
        <v>0</v>
      </c>
      <c r="Z331" s="1">
        <f t="shared" si="21"/>
        <v>0</v>
      </c>
      <c r="AA331" s="1">
        <f t="shared" si="22"/>
        <v>0</v>
      </c>
      <c r="AB331" s="1">
        <f t="shared" si="23"/>
        <v>0</v>
      </c>
    </row>
    <row r="332" spans="25:28" ht="15.75" customHeight="1" x14ac:dyDescent="0.2">
      <c r="Y332" s="1">
        <f t="shared" si="20"/>
        <v>0</v>
      </c>
      <c r="Z332" s="1">
        <f t="shared" si="21"/>
        <v>0</v>
      </c>
      <c r="AA332" s="1">
        <f t="shared" si="22"/>
        <v>0</v>
      </c>
      <c r="AB332" s="1">
        <f t="shared" si="23"/>
        <v>0</v>
      </c>
    </row>
    <row r="333" spans="25:28" ht="15.75" customHeight="1" x14ac:dyDescent="0.2">
      <c r="Y333" s="1">
        <f t="shared" si="20"/>
        <v>0</v>
      </c>
      <c r="Z333" s="1">
        <f t="shared" si="21"/>
        <v>0</v>
      </c>
      <c r="AA333" s="1">
        <f t="shared" si="22"/>
        <v>0</v>
      </c>
      <c r="AB333" s="1">
        <f t="shared" si="23"/>
        <v>0</v>
      </c>
    </row>
    <row r="334" spans="25:28" ht="15.75" customHeight="1" x14ac:dyDescent="0.2">
      <c r="Y334" s="1">
        <f t="shared" ref="Y334:Y397" si="24">MAX(0,IFERROR((LEN($T335)-LEN(SUBSTITUTE($T335,"Quality of Works / Criteria of Failings:","")))/LEN("Quality of Works / Criteria of Failings:"),0)-IFERROR((LEN($T335)-LEN(SUBSTITUTE($T335,"Quality of Works / Criteria of Failings:Compliant","")))/LEN("Quality of Works / Criteria of Failings:Compliant"),0))</f>
        <v>0</v>
      </c>
      <c r="Z334" s="1">
        <f t="shared" ref="Z334:Z397" si="25">IFERROR($Y335/MAX(1,(LEN($I335)-LEN(SUBSTITUTE($I335," Ltd","")))/LEN(" Ltd")),0)</f>
        <v>0</v>
      </c>
      <c r="AA334" s="1">
        <f t="shared" ref="AA334:AA397" si="26">IFERROR(IFERROR((LEN($T335)-LEN(SUBSTITUTE($T335,"Quality of Works / Criteria of Failings:","")))/LEN("Quality of Works / Criteria of Failings:"),0)/MAX(1,(LEN($I335)-LEN(SUBSTITUTE($I335," Ltd","")))/LEN(" Ltd")),0)</f>
        <v>0</v>
      </c>
      <c r="AB334" s="1">
        <f t="shared" ref="AB334:AB397" si="27">IFERROR(IFERROR((LEN($T335)-LEN(SUBSTITUTE($T335,"Quality of Works / Criteria of Failings:Compliant","")))/LEN("Quality of Works / Criteria of Failings:Compliant"),0)/MAX(1,(LEN($I335)-LEN(SUBSTITUTE($I335," Ltd","")))/LEN(" Ltd")),0)</f>
        <v>0</v>
      </c>
    </row>
    <row r="335" spans="25:28" ht="15.75" customHeight="1" x14ac:dyDescent="0.2">
      <c r="Y335" s="1">
        <f t="shared" si="24"/>
        <v>0</v>
      </c>
      <c r="Z335" s="1">
        <f t="shared" si="25"/>
        <v>0</v>
      </c>
      <c r="AA335" s="1">
        <f t="shared" si="26"/>
        <v>0</v>
      </c>
      <c r="AB335" s="1">
        <f t="shared" si="27"/>
        <v>0</v>
      </c>
    </row>
    <row r="336" spans="25:28" ht="15.75" customHeight="1" x14ac:dyDescent="0.2">
      <c r="Y336" s="1">
        <f t="shared" si="24"/>
        <v>0</v>
      </c>
      <c r="Z336" s="1">
        <f t="shared" si="25"/>
        <v>0</v>
      </c>
      <c r="AA336" s="1">
        <f t="shared" si="26"/>
        <v>0</v>
      </c>
      <c r="AB336" s="1">
        <f t="shared" si="27"/>
        <v>0</v>
      </c>
    </row>
    <row r="337" spans="25:28" ht="15.75" customHeight="1" x14ac:dyDescent="0.2">
      <c r="Y337" s="1">
        <f t="shared" si="24"/>
        <v>0</v>
      </c>
      <c r="Z337" s="1">
        <f t="shared" si="25"/>
        <v>0</v>
      </c>
      <c r="AA337" s="1">
        <f t="shared" si="26"/>
        <v>0</v>
      </c>
      <c r="AB337" s="1">
        <f t="shared" si="27"/>
        <v>0</v>
      </c>
    </row>
    <row r="338" spans="25:28" ht="15.75" customHeight="1" x14ac:dyDescent="0.2">
      <c r="Y338" s="1">
        <f t="shared" si="24"/>
        <v>0</v>
      </c>
      <c r="Z338" s="1">
        <f t="shared" si="25"/>
        <v>0</v>
      </c>
      <c r="AA338" s="1">
        <f t="shared" si="26"/>
        <v>0</v>
      </c>
      <c r="AB338" s="1">
        <f t="shared" si="27"/>
        <v>0</v>
      </c>
    </row>
    <row r="339" spans="25:28" ht="15.75" customHeight="1" x14ac:dyDescent="0.2">
      <c r="Y339" s="1">
        <f t="shared" si="24"/>
        <v>0</v>
      </c>
      <c r="Z339" s="1">
        <f t="shared" si="25"/>
        <v>0</v>
      </c>
      <c r="AA339" s="1">
        <f t="shared" si="26"/>
        <v>0</v>
      </c>
      <c r="AB339" s="1">
        <f t="shared" si="27"/>
        <v>0</v>
      </c>
    </row>
    <row r="340" spans="25:28" ht="15.75" customHeight="1" x14ac:dyDescent="0.2">
      <c r="Y340" s="1">
        <f t="shared" si="24"/>
        <v>0</v>
      </c>
      <c r="Z340" s="1">
        <f t="shared" si="25"/>
        <v>0</v>
      </c>
      <c r="AA340" s="1">
        <f t="shared" si="26"/>
        <v>0</v>
      </c>
      <c r="AB340" s="1">
        <f t="shared" si="27"/>
        <v>0</v>
      </c>
    </row>
    <row r="341" spans="25:28" ht="15.75" customHeight="1" x14ac:dyDescent="0.2">
      <c r="Y341" s="1">
        <f t="shared" si="24"/>
        <v>0</v>
      </c>
      <c r="Z341" s="1">
        <f t="shared" si="25"/>
        <v>0</v>
      </c>
      <c r="AA341" s="1">
        <f t="shared" si="26"/>
        <v>0</v>
      </c>
      <c r="AB341" s="1">
        <f t="shared" si="27"/>
        <v>0</v>
      </c>
    </row>
    <row r="342" spans="25:28" ht="15.75" customHeight="1" x14ac:dyDescent="0.2">
      <c r="Y342" s="1">
        <f t="shared" si="24"/>
        <v>0</v>
      </c>
      <c r="Z342" s="1">
        <f t="shared" si="25"/>
        <v>0</v>
      </c>
      <c r="AA342" s="1">
        <f t="shared" si="26"/>
        <v>0</v>
      </c>
      <c r="AB342" s="1">
        <f t="shared" si="27"/>
        <v>0</v>
      </c>
    </row>
    <row r="343" spans="25:28" ht="15.75" customHeight="1" x14ac:dyDescent="0.2">
      <c r="Y343" s="1">
        <f t="shared" si="24"/>
        <v>0</v>
      </c>
      <c r="Z343" s="1">
        <f t="shared" si="25"/>
        <v>0</v>
      </c>
      <c r="AA343" s="1">
        <f t="shared" si="26"/>
        <v>0</v>
      </c>
      <c r="AB343" s="1">
        <f t="shared" si="27"/>
        <v>0</v>
      </c>
    </row>
    <row r="344" spans="25:28" ht="15.75" customHeight="1" x14ac:dyDescent="0.2">
      <c r="Y344" s="1">
        <f t="shared" si="24"/>
        <v>0</v>
      </c>
      <c r="Z344" s="1">
        <f t="shared" si="25"/>
        <v>0</v>
      </c>
      <c r="AA344" s="1">
        <f t="shared" si="26"/>
        <v>0</v>
      </c>
      <c r="AB344" s="1">
        <f t="shared" si="27"/>
        <v>0</v>
      </c>
    </row>
    <row r="345" spans="25:28" ht="15.75" customHeight="1" x14ac:dyDescent="0.2">
      <c r="Y345" s="1">
        <f t="shared" si="24"/>
        <v>0</v>
      </c>
      <c r="Z345" s="1">
        <f t="shared" si="25"/>
        <v>0</v>
      </c>
      <c r="AA345" s="1">
        <f t="shared" si="26"/>
        <v>0</v>
      </c>
      <c r="AB345" s="1">
        <f t="shared" si="27"/>
        <v>0</v>
      </c>
    </row>
    <row r="346" spans="25:28" ht="15.75" customHeight="1" x14ac:dyDescent="0.2">
      <c r="Y346" s="1">
        <f t="shared" si="24"/>
        <v>0</v>
      </c>
      <c r="Z346" s="1">
        <f t="shared" si="25"/>
        <v>0</v>
      </c>
      <c r="AA346" s="1">
        <f t="shared" si="26"/>
        <v>0</v>
      </c>
      <c r="AB346" s="1">
        <f t="shared" si="27"/>
        <v>0</v>
      </c>
    </row>
    <row r="347" spans="25:28" ht="15.75" customHeight="1" x14ac:dyDescent="0.2">
      <c r="Y347" s="1">
        <f t="shared" si="24"/>
        <v>0</v>
      </c>
      <c r="Z347" s="1">
        <f t="shared" si="25"/>
        <v>0</v>
      </c>
      <c r="AA347" s="1">
        <f t="shared" si="26"/>
        <v>0</v>
      </c>
      <c r="AB347" s="1">
        <f t="shared" si="27"/>
        <v>0</v>
      </c>
    </row>
    <row r="348" spans="25:28" ht="15.75" customHeight="1" x14ac:dyDescent="0.2">
      <c r="Y348" s="1">
        <f t="shared" si="24"/>
        <v>0</v>
      </c>
      <c r="Z348" s="1">
        <f t="shared" si="25"/>
        <v>0</v>
      </c>
      <c r="AA348" s="1">
        <f t="shared" si="26"/>
        <v>0</v>
      </c>
      <c r="AB348" s="1">
        <f t="shared" si="27"/>
        <v>0</v>
      </c>
    </row>
    <row r="349" spans="25:28" ht="15.75" customHeight="1" x14ac:dyDescent="0.2">
      <c r="Y349" s="1">
        <f t="shared" si="24"/>
        <v>0</v>
      </c>
      <c r="Z349" s="1">
        <f t="shared" si="25"/>
        <v>0</v>
      </c>
      <c r="AA349" s="1">
        <f t="shared" si="26"/>
        <v>0</v>
      </c>
      <c r="AB349" s="1">
        <f t="shared" si="27"/>
        <v>0</v>
      </c>
    </row>
    <row r="350" spans="25:28" ht="15.75" customHeight="1" x14ac:dyDescent="0.2">
      <c r="Y350" s="1">
        <f t="shared" si="24"/>
        <v>0</v>
      </c>
      <c r="Z350" s="1">
        <f t="shared" si="25"/>
        <v>0</v>
      </c>
      <c r="AA350" s="1">
        <f t="shared" si="26"/>
        <v>0</v>
      </c>
      <c r="AB350" s="1">
        <f t="shared" si="27"/>
        <v>0</v>
      </c>
    </row>
    <row r="351" spans="25:28" ht="15.75" customHeight="1" x14ac:dyDescent="0.2">
      <c r="Y351" s="1">
        <f t="shared" si="24"/>
        <v>0</v>
      </c>
      <c r="Z351" s="1">
        <f t="shared" si="25"/>
        <v>0</v>
      </c>
      <c r="AA351" s="1">
        <f t="shared" si="26"/>
        <v>0</v>
      </c>
      <c r="AB351" s="1">
        <f t="shared" si="27"/>
        <v>0</v>
      </c>
    </row>
    <row r="352" spans="25:28" ht="15.75" customHeight="1" x14ac:dyDescent="0.2">
      <c r="Y352" s="1">
        <f t="shared" si="24"/>
        <v>0</v>
      </c>
      <c r="Z352" s="1">
        <f t="shared" si="25"/>
        <v>0</v>
      </c>
      <c r="AA352" s="1">
        <f t="shared" si="26"/>
        <v>0</v>
      </c>
      <c r="AB352" s="1">
        <f t="shared" si="27"/>
        <v>0</v>
      </c>
    </row>
    <row r="353" spans="25:28" ht="15.75" customHeight="1" x14ac:dyDescent="0.2">
      <c r="Y353" s="1">
        <f t="shared" si="24"/>
        <v>0</v>
      </c>
      <c r="Z353" s="1">
        <f t="shared" si="25"/>
        <v>0</v>
      </c>
      <c r="AA353" s="1">
        <f t="shared" si="26"/>
        <v>0</v>
      </c>
      <c r="AB353" s="1">
        <f t="shared" si="27"/>
        <v>0</v>
      </c>
    </row>
    <row r="354" spans="25:28" ht="15.75" customHeight="1" x14ac:dyDescent="0.2">
      <c r="Y354" s="1">
        <f t="shared" si="24"/>
        <v>0</v>
      </c>
      <c r="Z354" s="1">
        <f t="shared" si="25"/>
        <v>0</v>
      </c>
      <c r="AA354" s="1">
        <f t="shared" si="26"/>
        <v>0</v>
      </c>
      <c r="AB354" s="1">
        <f t="shared" si="27"/>
        <v>0</v>
      </c>
    </row>
    <row r="355" spans="25:28" ht="15.75" customHeight="1" x14ac:dyDescent="0.2">
      <c r="Y355" s="1">
        <f t="shared" si="24"/>
        <v>0</v>
      </c>
      <c r="Z355" s="1">
        <f t="shared" si="25"/>
        <v>0</v>
      </c>
      <c r="AA355" s="1">
        <f t="shared" si="26"/>
        <v>0</v>
      </c>
      <c r="AB355" s="1">
        <f t="shared" si="27"/>
        <v>0</v>
      </c>
    </row>
    <row r="356" spans="25:28" ht="15.75" customHeight="1" x14ac:dyDescent="0.2">
      <c r="Y356" s="1">
        <f t="shared" si="24"/>
        <v>0</v>
      </c>
      <c r="Z356" s="1">
        <f t="shared" si="25"/>
        <v>0</v>
      </c>
      <c r="AA356" s="1">
        <f t="shared" si="26"/>
        <v>0</v>
      </c>
      <c r="AB356" s="1">
        <f t="shared" si="27"/>
        <v>0</v>
      </c>
    </row>
    <row r="357" spans="25:28" ht="15.75" customHeight="1" x14ac:dyDescent="0.2">
      <c r="Y357" s="1">
        <f t="shared" si="24"/>
        <v>0</v>
      </c>
      <c r="Z357" s="1">
        <f t="shared" si="25"/>
        <v>0</v>
      </c>
      <c r="AA357" s="1">
        <f t="shared" si="26"/>
        <v>0</v>
      </c>
      <c r="AB357" s="1">
        <f t="shared" si="27"/>
        <v>0</v>
      </c>
    </row>
    <row r="358" spans="25:28" ht="15.75" customHeight="1" x14ac:dyDescent="0.2">
      <c r="Y358" s="1">
        <f t="shared" si="24"/>
        <v>0</v>
      </c>
      <c r="Z358" s="1">
        <f t="shared" si="25"/>
        <v>0</v>
      </c>
      <c r="AA358" s="1">
        <f t="shared" si="26"/>
        <v>0</v>
      </c>
      <c r="AB358" s="1">
        <f t="shared" si="27"/>
        <v>0</v>
      </c>
    </row>
    <row r="359" spans="25:28" ht="15.75" customHeight="1" x14ac:dyDescent="0.2">
      <c r="Y359" s="1">
        <f t="shared" si="24"/>
        <v>0</v>
      </c>
      <c r="Z359" s="1">
        <f t="shared" si="25"/>
        <v>0</v>
      </c>
      <c r="AA359" s="1">
        <f t="shared" si="26"/>
        <v>0</v>
      </c>
      <c r="AB359" s="1">
        <f t="shared" si="27"/>
        <v>0</v>
      </c>
    </row>
    <row r="360" spans="25:28" ht="15.75" customHeight="1" x14ac:dyDescent="0.2">
      <c r="Y360" s="1">
        <f t="shared" si="24"/>
        <v>0</v>
      </c>
      <c r="Z360" s="1">
        <f t="shared" si="25"/>
        <v>0</v>
      </c>
      <c r="AA360" s="1">
        <f t="shared" si="26"/>
        <v>0</v>
      </c>
      <c r="AB360" s="1">
        <f t="shared" si="27"/>
        <v>0</v>
      </c>
    </row>
    <row r="361" spans="25:28" ht="15.75" customHeight="1" x14ac:dyDescent="0.2">
      <c r="Y361" s="1">
        <f t="shared" si="24"/>
        <v>0</v>
      </c>
      <c r="Z361" s="1">
        <f t="shared" si="25"/>
        <v>0</v>
      </c>
      <c r="AA361" s="1">
        <f t="shared" si="26"/>
        <v>0</v>
      </c>
      <c r="AB361" s="1">
        <f t="shared" si="27"/>
        <v>0</v>
      </c>
    </row>
    <row r="362" spans="25:28" ht="15.75" customHeight="1" x14ac:dyDescent="0.2">
      <c r="Y362" s="1">
        <f t="shared" si="24"/>
        <v>0</v>
      </c>
      <c r="Z362" s="1">
        <f t="shared" si="25"/>
        <v>0</v>
      </c>
      <c r="AA362" s="1">
        <f t="shared" si="26"/>
        <v>0</v>
      </c>
      <c r="AB362" s="1">
        <f t="shared" si="27"/>
        <v>0</v>
      </c>
    </row>
    <row r="363" spans="25:28" ht="15.75" customHeight="1" x14ac:dyDescent="0.2">
      <c r="Y363" s="1">
        <f t="shared" si="24"/>
        <v>0</v>
      </c>
      <c r="Z363" s="1">
        <f t="shared" si="25"/>
        <v>0</v>
      </c>
      <c r="AA363" s="1">
        <f t="shared" si="26"/>
        <v>0</v>
      </c>
      <c r="AB363" s="1">
        <f t="shared" si="27"/>
        <v>0</v>
      </c>
    </row>
    <row r="364" spans="25:28" ht="15.75" customHeight="1" x14ac:dyDescent="0.2">
      <c r="Y364" s="1">
        <f t="shared" si="24"/>
        <v>0</v>
      </c>
      <c r="Z364" s="1">
        <f t="shared" si="25"/>
        <v>0</v>
      </c>
      <c r="AA364" s="1">
        <f t="shared" si="26"/>
        <v>0</v>
      </c>
      <c r="AB364" s="1">
        <f t="shared" si="27"/>
        <v>0</v>
      </c>
    </row>
    <row r="365" spans="25:28" ht="15.75" customHeight="1" x14ac:dyDescent="0.2">
      <c r="Y365" s="1">
        <f t="shared" si="24"/>
        <v>0</v>
      </c>
      <c r="Z365" s="1">
        <f t="shared" si="25"/>
        <v>0</v>
      </c>
      <c r="AA365" s="1">
        <f t="shared" si="26"/>
        <v>0</v>
      </c>
      <c r="AB365" s="1">
        <f t="shared" si="27"/>
        <v>0</v>
      </c>
    </row>
    <row r="366" spans="25:28" ht="15.75" customHeight="1" x14ac:dyDescent="0.2">
      <c r="Y366" s="1">
        <f t="shared" si="24"/>
        <v>0</v>
      </c>
      <c r="Z366" s="1">
        <f t="shared" si="25"/>
        <v>0</v>
      </c>
      <c r="AA366" s="1">
        <f t="shared" si="26"/>
        <v>0</v>
      </c>
      <c r="AB366" s="1">
        <f t="shared" si="27"/>
        <v>0</v>
      </c>
    </row>
    <row r="367" spans="25:28" ht="15.75" customHeight="1" x14ac:dyDescent="0.2">
      <c r="Y367" s="1">
        <f t="shared" si="24"/>
        <v>0</v>
      </c>
      <c r="Z367" s="1">
        <f t="shared" si="25"/>
        <v>0</v>
      </c>
      <c r="AA367" s="1">
        <f t="shared" si="26"/>
        <v>0</v>
      </c>
      <c r="AB367" s="1">
        <f t="shared" si="27"/>
        <v>0</v>
      </c>
    </row>
    <row r="368" spans="25:28" ht="15.75" customHeight="1" x14ac:dyDescent="0.2">
      <c r="Y368" s="1">
        <f t="shared" si="24"/>
        <v>0</v>
      </c>
      <c r="Z368" s="1">
        <f t="shared" si="25"/>
        <v>0</v>
      </c>
      <c r="AA368" s="1">
        <f t="shared" si="26"/>
        <v>0</v>
      </c>
      <c r="AB368" s="1">
        <f t="shared" si="27"/>
        <v>0</v>
      </c>
    </row>
    <row r="369" spans="25:28" ht="15.75" customHeight="1" x14ac:dyDescent="0.2">
      <c r="Y369" s="1">
        <f t="shared" si="24"/>
        <v>0</v>
      </c>
      <c r="Z369" s="1">
        <f t="shared" si="25"/>
        <v>0</v>
      </c>
      <c r="AA369" s="1">
        <f t="shared" si="26"/>
        <v>0</v>
      </c>
      <c r="AB369" s="1">
        <f t="shared" si="27"/>
        <v>0</v>
      </c>
    </row>
    <row r="370" spans="25:28" ht="15.75" customHeight="1" x14ac:dyDescent="0.2">
      <c r="Y370" s="1">
        <f t="shared" si="24"/>
        <v>0</v>
      </c>
      <c r="Z370" s="1">
        <f t="shared" si="25"/>
        <v>0</v>
      </c>
      <c r="AA370" s="1">
        <f t="shared" si="26"/>
        <v>0</v>
      </c>
      <c r="AB370" s="1">
        <f t="shared" si="27"/>
        <v>0</v>
      </c>
    </row>
    <row r="371" spans="25:28" ht="15.75" customHeight="1" x14ac:dyDescent="0.2">
      <c r="Y371" s="1">
        <f t="shared" si="24"/>
        <v>0</v>
      </c>
      <c r="Z371" s="1">
        <f t="shared" si="25"/>
        <v>0</v>
      </c>
      <c r="AA371" s="1">
        <f t="shared" si="26"/>
        <v>0</v>
      </c>
      <c r="AB371" s="1">
        <f t="shared" si="27"/>
        <v>0</v>
      </c>
    </row>
    <row r="372" spans="25:28" ht="15.75" customHeight="1" x14ac:dyDescent="0.2">
      <c r="Y372" s="1">
        <f t="shared" si="24"/>
        <v>0</v>
      </c>
      <c r="Z372" s="1">
        <f t="shared" si="25"/>
        <v>0</v>
      </c>
      <c r="AA372" s="1">
        <f t="shared" si="26"/>
        <v>0</v>
      </c>
      <c r="AB372" s="1">
        <f t="shared" si="27"/>
        <v>0</v>
      </c>
    </row>
    <row r="373" spans="25:28" ht="15.75" customHeight="1" x14ac:dyDescent="0.2">
      <c r="Y373" s="1">
        <f t="shared" si="24"/>
        <v>0</v>
      </c>
      <c r="Z373" s="1">
        <f t="shared" si="25"/>
        <v>0</v>
      </c>
      <c r="AA373" s="1">
        <f t="shared" si="26"/>
        <v>0</v>
      </c>
      <c r="AB373" s="1">
        <f t="shared" si="27"/>
        <v>0</v>
      </c>
    </row>
    <row r="374" spans="25:28" ht="15.75" customHeight="1" x14ac:dyDescent="0.2">
      <c r="Y374" s="1">
        <f t="shared" si="24"/>
        <v>0</v>
      </c>
      <c r="Z374" s="1">
        <f t="shared" si="25"/>
        <v>0</v>
      </c>
      <c r="AA374" s="1">
        <f t="shared" si="26"/>
        <v>0</v>
      </c>
      <c r="AB374" s="1">
        <f t="shared" si="27"/>
        <v>0</v>
      </c>
    </row>
    <row r="375" spans="25:28" ht="15.75" customHeight="1" x14ac:dyDescent="0.2">
      <c r="Y375" s="1">
        <f t="shared" si="24"/>
        <v>0</v>
      </c>
      <c r="Z375" s="1">
        <f t="shared" si="25"/>
        <v>0</v>
      </c>
      <c r="AA375" s="1">
        <f t="shared" si="26"/>
        <v>0</v>
      </c>
      <c r="AB375" s="1">
        <f t="shared" si="27"/>
        <v>0</v>
      </c>
    </row>
    <row r="376" spans="25:28" ht="15.75" customHeight="1" x14ac:dyDescent="0.2">
      <c r="Y376" s="1">
        <f t="shared" si="24"/>
        <v>0</v>
      </c>
      <c r="Z376" s="1">
        <f t="shared" si="25"/>
        <v>0</v>
      </c>
      <c r="AA376" s="1">
        <f t="shared" si="26"/>
        <v>0</v>
      </c>
      <c r="AB376" s="1">
        <f t="shared" si="27"/>
        <v>0</v>
      </c>
    </row>
    <row r="377" spans="25:28" ht="15.75" customHeight="1" x14ac:dyDescent="0.2">
      <c r="Y377" s="1">
        <f t="shared" si="24"/>
        <v>0</v>
      </c>
      <c r="Z377" s="1">
        <f t="shared" si="25"/>
        <v>0</v>
      </c>
      <c r="AA377" s="1">
        <f t="shared" si="26"/>
        <v>0</v>
      </c>
      <c r="AB377" s="1">
        <f t="shared" si="27"/>
        <v>0</v>
      </c>
    </row>
    <row r="378" spans="25:28" ht="15.75" customHeight="1" x14ac:dyDescent="0.2">
      <c r="Y378" s="1">
        <f t="shared" si="24"/>
        <v>0</v>
      </c>
      <c r="Z378" s="1">
        <f t="shared" si="25"/>
        <v>0</v>
      </c>
      <c r="AA378" s="1">
        <f t="shared" si="26"/>
        <v>0</v>
      </c>
      <c r="AB378" s="1">
        <f t="shared" si="27"/>
        <v>0</v>
      </c>
    </row>
    <row r="379" spans="25:28" ht="15.75" customHeight="1" x14ac:dyDescent="0.2">
      <c r="Y379" s="1">
        <f t="shared" si="24"/>
        <v>0</v>
      </c>
      <c r="Z379" s="1">
        <f t="shared" si="25"/>
        <v>0</v>
      </c>
      <c r="AA379" s="1">
        <f t="shared" si="26"/>
        <v>0</v>
      </c>
      <c r="AB379" s="1">
        <f t="shared" si="27"/>
        <v>0</v>
      </c>
    </row>
    <row r="380" spans="25:28" ht="15.75" customHeight="1" x14ac:dyDescent="0.2">
      <c r="Y380" s="1">
        <f t="shared" si="24"/>
        <v>0</v>
      </c>
      <c r="Z380" s="1">
        <f t="shared" si="25"/>
        <v>0</v>
      </c>
      <c r="AA380" s="1">
        <f t="shared" si="26"/>
        <v>0</v>
      </c>
      <c r="AB380" s="1">
        <f t="shared" si="27"/>
        <v>0</v>
      </c>
    </row>
    <row r="381" spans="25:28" ht="15.75" customHeight="1" x14ac:dyDescent="0.2">
      <c r="Y381" s="1">
        <f t="shared" si="24"/>
        <v>0</v>
      </c>
      <c r="Z381" s="1">
        <f t="shared" si="25"/>
        <v>0</v>
      </c>
      <c r="AA381" s="1">
        <f t="shared" si="26"/>
        <v>0</v>
      </c>
      <c r="AB381" s="1">
        <f t="shared" si="27"/>
        <v>0</v>
      </c>
    </row>
    <row r="382" spans="25:28" ht="15.75" customHeight="1" x14ac:dyDescent="0.2">
      <c r="Y382" s="1">
        <f t="shared" si="24"/>
        <v>0</v>
      </c>
      <c r="Z382" s="1">
        <f t="shared" si="25"/>
        <v>0</v>
      </c>
      <c r="AA382" s="1">
        <f t="shared" si="26"/>
        <v>0</v>
      </c>
      <c r="AB382" s="1">
        <f t="shared" si="27"/>
        <v>0</v>
      </c>
    </row>
    <row r="383" spans="25:28" ht="15.75" customHeight="1" x14ac:dyDescent="0.2">
      <c r="Y383" s="1">
        <f t="shared" si="24"/>
        <v>0</v>
      </c>
      <c r="Z383" s="1">
        <f t="shared" si="25"/>
        <v>0</v>
      </c>
      <c r="AA383" s="1">
        <f t="shared" si="26"/>
        <v>0</v>
      </c>
      <c r="AB383" s="1">
        <f t="shared" si="27"/>
        <v>0</v>
      </c>
    </row>
    <row r="384" spans="25:28" ht="15.75" customHeight="1" x14ac:dyDescent="0.2">
      <c r="Y384" s="1">
        <f t="shared" si="24"/>
        <v>0</v>
      </c>
      <c r="Z384" s="1">
        <f t="shared" si="25"/>
        <v>0</v>
      </c>
      <c r="AA384" s="1">
        <f t="shared" si="26"/>
        <v>0</v>
      </c>
      <c r="AB384" s="1">
        <f t="shared" si="27"/>
        <v>0</v>
      </c>
    </row>
    <row r="385" spans="25:28" ht="15.75" customHeight="1" x14ac:dyDescent="0.2">
      <c r="Y385" s="1">
        <f t="shared" si="24"/>
        <v>0</v>
      </c>
      <c r="Z385" s="1">
        <f t="shared" si="25"/>
        <v>0</v>
      </c>
      <c r="AA385" s="1">
        <f t="shared" si="26"/>
        <v>0</v>
      </c>
      <c r="AB385" s="1">
        <f t="shared" si="27"/>
        <v>0</v>
      </c>
    </row>
    <row r="386" spans="25:28" ht="15.75" customHeight="1" x14ac:dyDescent="0.2">
      <c r="Y386" s="1">
        <f t="shared" si="24"/>
        <v>0</v>
      </c>
      <c r="Z386" s="1">
        <f t="shared" si="25"/>
        <v>0</v>
      </c>
      <c r="AA386" s="1">
        <f t="shared" si="26"/>
        <v>0</v>
      </c>
      <c r="AB386" s="1">
        <f t="shared" si="27"/>
        <v>0</v>
      </c>
    </row>
    <row r="387" spans="25:28" ht="15.75" customHeight="1" x14ac:dyDescent="0.2">
      <c r="Y387" s="1">
        <f t="shared" si="24"/>
        <v>0</v>
      </c>
      <c r="Z387" s="1">
        <f t="shared" si="25"/>
        <v>0</v>
      </c>
      <c r="AA387" s="1">
        <f t="shared" si="26"/>
        <v>0</v>
      </c>
      <c r="AB387" s="1">
        <f t="shared" si="27"/>
        <v>0</v>
      </c>
    </row>
    <row r="388" spans="25:28" ht="15.75" customHeight="1" x14ac:dyDescent="0.2">
      <c r="Y388" s="1">
        <f t="shared" si="24"/>
        <v>0</v>
      </c>
      <c r="Z388" s="1">
        <f t="shared" si="25"/>
        <v>0</v>
      </c>
      <c r="AA388" s="1">
        <f t="shared" si="26"/>
        <v>0</v>
      </c>
      <c r="AB388" s="1">
        <f t="shared" si="27"/>
        <v>0</v>
      </c>
    </row>
    <row r="389" spans="25:28" ht="15.75" customHeight="1" x14ac:dyDescent="0.2">
      <c r="Y389" s="1">
        <f t="shared" si="24"/>
        <v>0</v>
      </c>
      <c r="Z389" s="1">
        <f t="shared" si="25"/>
        <v>0</v>
      </c>
      <c r="AA389" s="1">
        <f t="shared" si="26"/>
        <v>0</v>
      </c>
      <c r="AB389" s="1">
        <f t="shared" si="27"/>
        <v>0</v>
      </c>
    </row>
    <row r="390" spans="25:28" ht="15.75" customHeight="1" x14ac:dyDescent="0.2">
      <c r="Y390" s="1">
        <f t="shared" si="24"/>
        <v>0</v>
      </c>
      <c r="Z390" s="1">
        <f t="shared" si="25"/>
        <v>0</v>
      </c>
      <c r="AA390" s="1">
        <f t="shared" si="26"/>
        <v>0</v>
      </c>
      <c r="AB390" s="1">
        <f t="shared" si="27"/>
        <v>0</v>
      </c>
    </row>
    <row r="391" spans="25:28" ht="15.75" customHeight="1" x14ac:dyDescent="0.2">
      <c r="Y391" s="1">
        <f t="shared" si="24"/>
        <v>0</v>
      </c>
      <c r="Z391" s="1">
        <f t="shared" si="25"/>
        <v>0</v>
      </c>
      <c r="AA391" s="1">
        <f t="shared" si="26"/>
        <v>0</v>
      </c>
      <c r="AB391" s="1">
        <f t="shared" si="27"/>
        <v>0</v>
      </c>
    </row>
    <row r="392" spans="25:28" ht="15.75" customHeight="1" x14ac:dyDescent="0.2">
      <c r="Y392" s="1">
        <f t="shared" si="24"/>
        <v>0</v>
      </c>
      <c r="Z392" s="1">
        <f t="shared" si="25"/>
        <v>0</v>
      </c>
      <c r="AA392" s="1">
        <f t="shared" si="26"/>
        <v>0</v>
      </c>
      <c r="AB392" s="1">
        <f t="shared" si="27"/>
        <v>0</v>
      </c>
    </row>
    <row r="393" spans="25:28" ht="15.75" customHeight="1" x14ac:dyDescent="0.2">
      <c r="Y393" s="1">
        <f t="shared" si="24"/>
        <v>0</v>
      </c>
      <c r="Z393" s="1">
        <f t="shared" si="25"/>
        <v>0</v>
      </c>
      <c r="AA393" s="1">
        <f t="shared" si="26"/>
        <v>0</v>
      </c>
      <c r="AB393" s="1">
        <f t="shared" si="27"/>
        <v>0</v>
      </c>
    </row>
    <row r="394" spans="25:28" ht="15.75" customHeight="1" x14ac:dyDescent="0.2">
      <c r="Y394" s="1">
        <f t="shared" si="24"/>
        <v>0</v>
      </c>
      <c r="Z394" s="1">
        <f t="shared" si="25"/>
        <v>0</v>
      </c>
      <c r="AA394" s="1">
        <f t="shared" si="26"/>
        <v>0</v>
      </c>
      <c r="AB394" s="1">
        <f t="shared" si="27"/>
        <v>0</v>
      </c>
    </row>
    <row r="395" spans="25:28" ht="15.75" customHeight="1" x14ac:dyDescent="0.2">
      <c r="Y395" s="1">
        <f t="shared" si="24"/>
        <v>0</v>
      </c>
      <c r="Z395" s="1">
        <f t="shared" si="25"/>
        <v>0</v>
      </c>
      <c r="AA395" s="1">
        <f t="shared" si="26"/>
        <v>0</v>
      </c>
      <c r="AB395" s="1">
        <f t="shared" si="27"/>
        <v>0</v>
      </c>
    </row>
    <row r="396" spans="25:28" ht="15.75" customHeight="1" x14ac:dyDescent="0.2">
      <c r="Y396" s="1">
        <f t="shared" si="24"/>
        <v>0</v>
      </c>
      <c r="Z396" s="1">
        <f t="shared" si="25"/>
        <v>0</v>
      </c>
      <c r="AA396" s="1">
        <f t="shared" si="26"/>
        <v>0</v>
      </c>
      <c r="AB396" s="1">
        <f t="shared" si="27"/>
        <v>0</v>
      </c>
    </row>
    <row r="397" spans="25:28" ht="15.75" customHeight="1" x14ac:dyDescent="0.2">
      <c r="Y397" s="1">
        <f t="shared" si="24"/>
        <v>0</v>
      </c>
      <c r="Z397" s="1">
        <f t="shared" si="25"/>
        <v>0</v>
      </c>
      <c r="AA397" s="1">
        <f t="shared" si="26"/>
        <v>0</v>
      </c>
      <c r="AB397" s="1">
        <f t="shared" si="27"/>
        <v>0</v>
      </c>
    </row>
    <row r="398" spans="25:28" ht="15.75" customHeight="1" x14ac:dyDescent="0.2">
      <c r="Y398" s="1">
        <f t="shared" ref="Y398:Y461" si="28">MAX(0,IFERROR((LEN($T399)-LEN(SUBSTITUTE($T399,"Quality of Works / Criteria of Failings:","")))/LEN("Quality of Works / Criteria of Failings:"),0)-IFERROR((LEN($T399)-LEN(SUBSTITUTE($T399,"Quality of Works / Criteria of Failings:Compliant","")))/LEN("Quality of Works / Criteria of Failings:Compliant"),0))</f>
        <v>0</v>
      </c>
      <c r="Z398" s="1">
        <f t="shared" ref="Z398:Z461" si="29">IFERROR($Y399/MAX(1,(LEN($I399)-LEN(SUBSTITUTE($I399," Ltd","")))/LEN(" Ltd")),0)</f>
        <v>0</v>
      </c>
      <c r="AA398" s="1">
        <f t="shared" ref="AA398:AA461" si="30">IFERROR(IFERROR((LEN($T399)-LEN(SUBSTITUTE($T399,"Quality of Works / Criteria of Failings:","")))/LEN("Quality of Works / Criteria of Failings:"),0)/MAX(1,(LEN($I399)-LEN(SUBSTITUTE($I399," Ltd","")))/LEN(" Ltd")),0)</f>
        <v>0</v>
      </c>
      <c r="AB398" s="1">
        <f t="shared" ref="AB398:AB461" si="31">IFERROR(IFERROR((LEN($T399)-LEN(SUBSTITUTE($T399,"Quality of Works / Criteria of Failings:Compliant","")))/LEN("Quality of Works / Criteria of Failings:Compliant"),0)/MAX(1,(LEN($I399)-LEN(SUBSTITUTE($I399," Ltd","")))/LEN(" Ltd")),0)</f>
        <v>0</v>
      </c>
    </row>
    <row r="399" spans="25:28" ht="15.75" customHeight="1" x14ac:dyDescent="0.2">
      <c r="Y399" s="1">
        <f t="shared" si="28"/>
        <v>0</v>
      </c>
      <c r="Z399" s="1">
        <f t="shared" si="29"/>
        <v>0</v>
      </c>
      <c r="AA399" s="1">
        <f t="shared" si="30"/>
        <v>0</v>
      </c>
      <c r="AB399" s="1">
        <f t="shared" si="31"/>
        <v>0</v>
      </c>
    </row>
    <row r="400" spans="25:28" ht="15.75" customHeight="1" x14ac:dyDescent="0.2">
      <c r="Y400" s="1">
        <f t="shared" si="28"/>
        <v>0</v>
      </c>
      <c r="Z400" s="1">
        <f t="shared" si="29"/>
        <v>0</v>
      </c>
      <c r="AA400" s="1">
        <f t="shared" si="30"/>
        <v>0</v>
      </c>
      <c r="AB400" s="1">
        <f t="shared" si="31"/>
        <v>0</v>
      </c>
    </row>
    <row r="401" spans="25:28" ht="15.75" customHeight="1" x14ac:dyDescent="0.2">
      <c r="Y401" s="1">
        <f t="shared" si="28"/>
        <v>0</v>
      </c>
      <c r="Z401" s="1">
        <f t="shared" si="29"/>
        <v>0</v>
      </c>
      <c r="AA401" s="1">
        <f t="shared" si="30"/>
        <v>0</v>
      </c>
      <c r="AB401" s="1">
        <f t="shared" si="31"/>
        <v>0</v>
      </c>
    </row>
    <row r="402" spans="25:28" ht="15.75" customHeight="1" x14ac:dyDescent="0.2">
      <c r="Y402" s="1">
        <f t="shared" si="28"/>
        <v>0</v>
      </c>
      <c r="Z402" s="1">
        <f t="shared" si="29"/>
        <v>0</v>
      </c>
      <c r="AA402" s="1">
        <f t="shared" si="30"/>
        <v>0</v>
      </c>
      <c r="AB402" s="1">
        <f t="shared" si="31"/>
        <v>0</v>
      </c>
    </row>
    <row r="403" spans="25:28" ht="15.75" customHeight="1" x14ac:dyDescent="0.2">
      <c r="Y403" s="1">
        <f t="shared" si="28"/>
        <v>0</v>
      </c>
      <c r="Z403" s="1">
        <f t="shared" si="29"/>
        <v>0</v>
      </c>
      <c r="AA403" s="1">
        <f t="shared" si="30"/>
        <v>0</v>
      </c>
      <c r="AB403" s="1">
        <f t="shared" si="31"/>
        <v>0</v>
      </c>
    </row>
    <row r="404" spans="25:28" ht="15.75" customHeight="1" x14ac:dyDescent="0.2">
      <c r="Y404" s="1">
        <f t="shared" si="28"/>
        <v>0</v>
      </c>
      <c r="Z404" s="1">
        <f t="shared" si="29"/>
        <v>0</v>
      </c>
      <c r="AA404" s="1">
        <f t="shared" si="30"/>
        <v>0</v>
      </c>
      <c r="AB404" s="1">
        <f t="shared" si="31"/>
        <v>0</v>
      </c>
    </row>
    <row r="405" spans="25:28" ht="15.75" customHeight="1" x14ac:dyDescent="0.2">
      <c r="Y405" s="1">
        <f t="shared" si="28"/>
        <v>0</v>
      </c>
      <c r="Z405" s="1">
        <f t="shared" si="29"/>
        <v>0</v>
      </c>
      <c r="AA405" s="1">
        <f t="shared" si="30"/>
        <v>0</v>
      </c>
      <c r="AB405" s="1">
        <f t="shared" si="31"/>
        <v>0</v>
      </c>
    </row>
    <row r="406" spans="25:28" ht="15.75" customHeight="1" x14ac:dyDescent="0.2">
      <c r="Y406" s="1">
        <f t="shared" si="28"/>
        <v>0</v>
      </c>
      <c r="Z406" s="1">
        <f t="shared" si="29"/>
        <v>0</v>
      </c>
      <c r="AA406" s="1">
        <f t="shared" si="30"/>
        <v>0</v>
      </c>
      <c r="AB406" s="1">
        <f t="shared" si="31"/>
        <v>0</v>
      </c>
    </row>
    <row r="407" spans="25:28" ht="15.75" customHeight="1" x14ac:dyDescent="0.2">
      <c r="Y407" s="1">
        <f t="shared" si="28"/>
        <v>0</v>
      </c>
      <c r="Z407" s="1">
        <f t="shared" si="29"/>
        <v>0</v>
      </c>
      <c r="AA407" s="1">
        <f t="shared" si="30"/>
        <v>0</v>
      </c>
      <c r="AB407" s="1">
        <f t="shared" si="31"/>
        <v>0</v>
      </c>
    </row>
    <row r="408" spans="25:28" ht="15.75" customHeight="1" x14ac:dyDescent="0.2">
      <c r="Y408" s="1">
        <f t="shared" si="28"/>
        <v>0</v>
      </c>
      <c r="Z408" s="1">
        <f t="shared" si="29"/>
        <v>0</v>
      </c>
      <c r="AA408" s="1">
        <f t="shared" si="30"/>
        <v>0</v>
      </c>
      <c r="AB408" s="1">
        <f t="shared" si="31"/>
        <v>0</v>
      </c>
    </row>
    <row r="409" spans="25:28" ht="15.75" customHeight="1" x14ac:dyDescent="0.2">
      <c r="Y409" s="1">
        <f t="shared" si="28"/>
        <v>0</v>
      </c>
      <c r="Z409" s="1">
        <f t="shared" si="29"/>
        <v>0</v>
      </c>
      <c r="AA409" s="1">
        <f t="shared" si="30"/>
        <v>0</v>
      </c>
      <c r="AB409" s="1">
        <f t="shared" si="31"/>
        <v>0</v>
      </c>
    </row>
    <row r="410" spans="25:28" ht="15.75" customHeight="1" x14ac:dyDescent="0.2">
      <c r="Y410" s="1">
        <f t="shared" si="28"/>
        <v>0</v>
      </c>
      <c r="Z410" s="1">
        <f t="shared" si="29"/>
        <v>0</v>
      </c>
      <c r="AA410" s="1">
        <f t="shared" si="30"/>
        <v>0</v>
      </c>
      <c r="AB410" s="1">
        <f t="shared" si="31"/>
        <v>0</v>
      </c>
    </row>
    <row r="411" spans="25:28" ht="15.75" customHeight="1" x14ac:dyDescent="0.2">
      <c r="Y411" s="1">
        <f t="shared" si="28"/>
        <v>0</v>
      </c>
      <c r="Z411" s="1">
        <f t="shared" si="29"/>
        <v>0</v>
      </c>
      <c r="AA411" s="1">
        <f t="shared" si="30"/>
        <v>0</v>
      </c>
      <c r="AB411" s="1">
        <f t="shared" si="31"/>
        <v>0</v>
      </c>
    </row>
    <row r="412" spans="25:28" ht="15.75" customHeight="1" x14ac:dyDescent="0.2">
      <c r="Y412" s="1">
        <f t="shared" si="28"/>
        <v>0</v>
      </c>
      <c r="Z412" s="1">
        <f t="shared" si="29"/>
        <v>0</v>
      </c>
      <c r="AA412" s="1">
        <f t="shared" si="30"/>
        <v>0</v>
      </c>
      <c r="AB412" s="1">
        <f t="shared" si="31"/>
        <v>0</v>
      </c>
    </row>
    <row r="413" spans="25:28" ht="15.75" customHeight="1" x14ac:dyDescent="0.2">
      <c r="Y413" s="1">
        <f t="shared" si="28"/>
        <v>0</v>
      </c>
      <c r="Z413" s="1">
        <f t="shared" si="29"/>
        <v>0</v>
      </c>
      <c r="AA413" s="1">
        <f t="shared" si="30"/>
        <v>0</v>
      </c>
      <c r="AB413" s="1">
        <f t="shared" si="31"/>
        <v>0</v>
      </c>
    </row>
    <row r="414" spans="25:28" ht="15.75" customHeight="1" x14ac:dyDescent="0.2">
      <c r="Y414" s="1">
        <f t="shared" si="28"/>
        <v>0</v>
      </c>
      <c r="Z414" s="1">
        <f t="shared" si="29"/>
        <v>0</v>
      </c>
      <c r="AA414" s="1">
        <f t="shared" si="30"/>
        <v>0</v>
      </c>
      <c r="AB414" s="1">
        <f t="shared" si="31"/>
        <v>0</v>
      </c>
    </row>
    <row r="415" spans="25:28" ht="15.75" customHeight="1" x14ac:dyDescent="0.2">
      <c r="Y415" s="1">
        <f t="shared" si="28"/>
        <v>0</v>
      </c>
      <c r="Z415" s="1">
        <f t="shared" si="29"/>
        <v>0</v>
      </c>
      <c r="AA415" s="1">
        <f t="shared" si="30"/>
        <v>0</v>
      </c>
      <c r="AB415" s="1">
        <f t="shared" si="31"/>
        <v>0</v>
      </c>
    </row>
    <row r="416" spans="25:28" ht="15.75" customHeight="1" x14ac:dyDescent="0.2">
      <c r="Y416" s="1">
        <f t="shared" si="28"/>
        <v>0</v>
      </c>
      <c r="Z416" s="1">
        <f t="shared" si="29"/>
        <v>0</v>
      </c>
      <c r="AA416" s="1">
        <f t="shared" si="30"/>
        <v>0</v>
      </c>
      <c r="AB416" s="1">
        <f t="shared" si="31"/>
        <v>0</v>
      </c>
    </row>
    <row r="417" spans="25:28" ht="15.75" customHeight="1" x14ac:dyDescent="0.2">
      <c r="Y417" s="1">
        <f t="shared" si="28"/>
        <v>0</v>
      </c>
      <c r="Z417" s="1">
        <f t="shared" si="29"/>
        <v>0</v>
      </c>
      <c r="AA417" s="1">
        <f t="shared" si="30"/>
        <v>0</v>
      </c>
      <c r="AB417" s="1">
        <f t="shared" si="31"/>
        <v>0</v>
      </c>
    </row>
    <row r="418" spans="25:28" ht="15.75" customHeight="1" x14ac:dyDescent="0.2">
      <c r="Y418" s="1">
        <f t="shared" si="28"/>
        <v>0</v>
      </c>
      <c r="Z418" s="1">
        <f t="shared" si="29"/>
        <v>0</v>
      </c>
      <c r="AA418" s="1">
        <f t="shared" si="30"/>
        <v>0</v>
      </c>
      <c r="AB418" s="1">
        <f t="shared" si="31"/>
        <v>0</v>
      </c>
    </row>
    <row r="419" spans="25:28" ht="15.75" customHeight="1" x14ac:dyDescent="0.2">
      <c r="Y419" s="1">
        <f t="shared" si="28"/>
        <v>0</v>
      </c>
      <c r="Z419" s="1">
        <f t="shared" si="29"/>
        <v>0</v>
      </c>
      <c r="AA419" s="1">
        <f t="shared" si="30"/>
        <v>0</v>
      </c>
      <c r="AB419" s="1">
        <f t="shared" si="31"/>
        <v>0</v>
      </c>
    </row>
    <row r="420" spans="25:28" ht="15.75" customHeight="1" x14ac:dyDescent="0.2">
      <c r="Y420" s="1">
        <f t="shared" si="28"/>
        <v>0</v>
      </c>
      <c r="Z420" s="1">
        <f t="shared" si="29"/>
        <v>0</v>
      </c>
      <c r="AA420" s="1">
        <f t="shared" si="30"/>
        <v>0</v>
      </c>
      <c r="AB420" s="1">
        <f t="shared" si="31"/>
        <v>0</v>
      </c>
    </row>
    <row r="421" spans="25:28" ht="15.75" customHeight="1" x14ac:dyDescent="0.2">
      <c r="Y421" s="1">
        <f t="shared" si="28"/>
        <v>0</v>
      </c>
      <c r="Z421" s="1">
        <f t="shared" si="29"/>
        <v>0</v>
      </c>
      <c r="AA421" s="1">
        <f t="shared" si="30"/>
        <v>0</v>
      </c>
      <c r="AB421" s="1">
        <f t="shared" si="31"/>
        <v>0</v>
      </c>
    </row>
    <row r="422" spans="25:28" ht="15.75" customHeight="1" x14ac:dyDescent="0.2">
      <c r="Y422" s="1">
        <f t="shared" si="28"/>
        <v>0</v>
      </c>
      <c r="Z422" s="1">
        <f t="shared" si="29"/>
        <v>0</v>
      </c>
      <c r="AA422" s="1">
        <f t="shared" si="30"/>
        <v>0</v>
      </c>
      <c r="AB422" s="1">
        <f t="shared" si="31"/>
        <v>0</v>
      </c>
    </row>
    <row r="423" spans="25:28" ht="15.75" customHeight="1" x14ac:dyDescent="0.2">
      <c r="Y423" s="1">
        <f t="shared" si="28"/>
        <v>0</v>
      </c>
      <c r="Z423" s="1">
        <f t="shared" si="29"/>
        <v>0</v>
      </c>
      <c r="AA423" s="1">
        <f t="shared" si="30"/>
        <v>0</v>
      </c>
      <c r="AB423" s="1">
        <f t="shared" si="31"/>
        <v>0</v>
      </c>
    </row>
    <row r="424" spans="25:28" ht="15.75" customHeight="1" x14ac:dyDescent="0.2">
      <c r="Y424" s="1">
        <f t="shared" si="28"/>
        <v>0</v>
      </c>
      <c r="Z424" s="1">
        <f t="shared" si="29"/>
        <v>0</v>
      </c>
      <c r="AA424" s="1">
        <f t="shared" si="30"/>
        <v>0</v>
      </c>
      <c r="AB424" s="1">
        <f t="shared" si="31"/>
        <v>0</v>
      </c>
    </row>
    <row r="425" spans="25:28" ht="15.75" customHeight="1" x14ac:dyDescent="0.2">
      <c r="Y425" s="1">
        <f t="shared" si="28"/>
        <v>0</v>
      </c>
      <c r="Z425" s="1">
        <f t="shared" si="29"/>
        <v>0</v>
      </c>
      <c r="AA425" s="1">
        <f t="shared" si="30"/>
        <v>0</v>
      </c>
      <c r="AB425" s="1">
        <f t="shared" si="31"/>
        <v>0</v>
      </c>
    </row>
    <row r="426" spans="25:28" ht="15.75" customHeight="1" x14ac:dyDescent="0.2">
      <c r="Y426" s="1">
        <f t="shared" si="28"/>
        <v>0</v>
      </c>
      <c r="Z426" s="1">
        <f t="shared" si="29"/>
        <v>0</v>
      </c>
      <c r="AA426" s="1">
        <f t="shared" si="30"/>
        <v>0</v>
      </c>
      <c r="AB426" s="1">
        <f t="shared" si="31"/>
        <v>0</v>
      </c>
    </row>
    <row r="427" spans="25:28" ht="15.75" customHeight="1" x14ac:dyDescent="0.2">
      <c r="Y427" s="1">
        <f t="shared" si="28"/>
        <v>0</v>
      </c>
      <c r="Z427" s="1">
        <f t="shared" si="29"/>
        <v>0</v>
      </c>
      <c r="AA427" s="1">
        <f t="shared" si="30"/>
        <v>0</v>
      </c>
      <c r="AB427" s="1">
        <f t="shared" si="31"/>
        <v>0</v>
      </c>
    </row>
    <row r="428" spans="25:28" ht="15.75" customHeight="1" x14ac:dyDescent="0.2">
      <c r="Y428" s="1">
        <f t="shared" si="28"/>
        <v>0</v>
      </c>
      <c r="Z428" s="1">
        <f t="shared" si="29"/>
        <v>0</v>
      </c>
      <c r="AA428" s="1">
        <f t="shared" si="30"/>
        <v>0</v>
      </c>
      <c r="AB428" s="1">
        <f t="shared" si="31"/>
        <v>0</v>
      </c>
    </row>
    <row r="429" spans="25:28" ht="15.75" customHeight="1" x14ac:dyDescent="0.2">
      <c r="Y429" s="1">
        <f t="shared" si="28"/>
        <v>0</v>
      </c>
      <c r="Z429" s="1">
        <f t="shared" si="29"/>
        <v>0</v>
      </c>
      <c r="AA429" s="1">
        <f t="shared" si="30"/>
        <v>0</v>
      </c>
      <c r="AB429" s="1">
        <f t="shared" si="31"/>
        <v>0</v>
      </c>
    </row>
    <row r="430" spans="25:28" ht="15.75" customHeight="1" x14ac:dyDescent="0.2">
      <c r="Y430" s="1">
        <f t="shared" si="28"/>
        <v>0</v>
      </c>
      <c r="Z430" s="1">
        <f t="shared" si="29"/>
        <v>0</v>
      </c>
      <c r="AA430" s="1">
        <f t="shared" si="30"/>
        <v>0</v>
      </c>
      <c r="AB430" s="1">
        <f t="shared" si="31"/>
        <v>0</v>
      </c>
    </row>
    <row r="431" spans="25:28" ht="15.75" customHeight="1" x14ac:dyDescent="0.2">
      <c r="Y431" s="1">
        <f t="shared" si="28"/>
        <v>0</v>
      </c>
      <c r="Z431" s="1">
        <f t="shared" si="29"/>
        <v>0</v>
      </c>
      <c r="AA431" s="1">
        <f t="shared" si="30"/>
        <v>0</v>
      </c>
      <c r="AB431" s="1">
        <f t="shared" si="31"/>
        <v>0</v>
      </c>
    </row>
    <row r="432" spans="25:28" ht="15.75" customHeight="1" x14ac:dyDescent="0.2">
      <c r="Y432" s="1">
        <f t="shared" si="28"/>
        <v>0</v>
      </c>
      <c r="Z432" s="1">
        <f t="shared" si="29"/>
        <v>0</v>
      </c>
      <c r="AA432" s="1">
        <f t="shared" si="30"/>
        <v>0</v>
      </c>
      <c r="AB432" s="1">
        <f t="shared" si="31"/>
        <v>0</v>
      </c>
    </row>
    <row r="433" spans="25:28" ht="15.75" customHeight="1" x14ac:dyDescent="0.2">
      <c r="Y433" s="1">
        <f t="shared" si="28"/>
        <v>0</v>
      </c>
      <c r="Z433" s="1">
        <f t="shared" si="29"/>
        <v>0</v>
      </c>
      <c r="AA433" s="1">
        <f t="shared" si="30"/>
        <v>0</v>
      </c>
      <c r="AB433" s="1">
        <f t="shared" si="31"/>
        <v>0</v>
      </c>
    </row>
    <row r="434" spans="25:28" ht="15.75" customHeight="1" x14ac:dyDescent="0.2">
      <c r="Y434" s="1">
        <f t="shared" si="28"/>
        <v>0</v>
      </c>
      <c r="Z434" s="1">
        <f t="shared" si="29"/>
        <v>0</v>
      </c>
      <c r="AA434" s="1">
        <f t="shared" si="30"/>
        <v>0</v>
      </c>
      <c r="AB434" s="1">
        <f t="shared" si="31"/>
        <v>0</v>
      </c>
    </row>
    <row r="435" spans="25:28" ht="15.75" customHeight="1" x14ac:dyDescent="0.2">
      <c r="Y435" s="1">
        <f t="shared" si="28"/>
        <v>0</v>
      </c>
      <c r="Z435" s="1">
        <f t="shared" si="29"/>
        <v>0</v>
      </c>
      <c r="AA435" s="1">
        <f t="shared" si="30"/>
        <v>0</v>
      </c>
      <c r="AB435" s="1">
        <f t="shared" si="31"/>
        <v>0</v>
      </c>
    </row>
    <row r="436" spans="25:28" ht="15.75" customHeight="1" x14ac:dyDescent="0.2">
      <c r="Y436" s="1">
        <f t="shared" si="28"/>
        <v>0</v>
      </c>
      <c r="Z436" s="1">
        <f t="shared" si="29"/>
        <v>0</v>
      </c>
      <c r="AA436" s="1">
        <f t="shared" si="30"/>
        <v>0</v>
      </c>
      <c r="AB436" s="1">
        <f t="shared" si="31"/>
        <v>0</v>
      </c>
    </row>
    <row r="437" spans="25:28" ht="15.75" customHeight="1" x14ac:dyDescent="0.2">
      <c r="Y437" s="1">
        <f t="shared" si="28"/>
        <v>0</v>
      </c>
      <c r="Z437" s="1">
        <f t="shared" si="29"/>
        <v>0</v>
      </c>
      <c r="AA437" s="1">
        <f t="shared" si="30"/>
        <v>0</v>
      </c>
      <c r="AB437" s="1">
        <f t="shared" si="31"/>
        <v>0</v>
      </c>
    </row>
    <row r="438" spans="25:28" ht="15.75" customHeight="1" x14ac:dyDescent="0.2">
      <c r="Y438" s="1">
        <f t="shared" si="28"/>
        <v>0</v>
      </c>
      <c r="Z438" s="1">
        <f t="shared" si="29"/>
        <v>0</v>
      </c>
      <c r="AA438" s="1">
        <f t="shared" si="30"/>
        <v>0</v>
      </c>
      <c r="AB438" s="1">
        <f t="shared" si="31"/>
        <v>0</v>
      </c>
    </row>
    <row r="439" spans="25:28" ht="15.75" customHeight="1" x14ac:dyDescent="0.2">
      <c r="Y439" s="1">
        <f t="shared" si="28"/>
        <v>0</v>
      </c>
      <c r="Z439" s="1">
        <f t="shared" si="29"/>
        <v>0</v>
      </c>
      <c r="AA439" s="1">
        <f t="shared" si="30"/>
        <v>0</v>
      </c>
      <c r="AB439" s="1">
        <f t="shared" si="31"/>
        <v>0</v>
      </c>
    </row>
    <row r="440" spans="25:28" ht="15.75" customHeight="1" x14ac:dyDescent="0.2">
      <c r="Y440" s="1">
        <f t="shared" si="28"/>
        <v>0</v>
      </c>
      <c r="Z440" s="1">
        <f t="shared" si="29"/>
        <v>0</v>
      </c>
      <c r="AA440" s="1">
        <f t="shared" si="30"/>
        <v>0</v>
      </c>
      <c r="AB440" s="1">
        <f t="shared" si="31"/>
        <v>0</v>
      </c>
    </row>
    <row r="441" spans="25:28" ht="15.75" customHeight="1" x14ac:dyDescent="0.2">
      <c r="Y441" s="1">
        <f t="shared" si="28"/>
        <v>0</v>
      </c>
      <c r="Z441" s="1">
        <f t="shared" si="29"/>
        <v>0</v>
      </c>
      <c r="AA441" s="1">
        <f t="shared" si="30"/>
        <v>0</v>
      </c>
      <c r="AB441" s="1">
        <f t="shared" si="31"/>
        <v>0</v>
      </c>
    </row>
    <row r="442" spans="25:28" ht="15.75" customHeight="1" x14ac:dyDescent="0.2">
      <c r="Y442" s="1">
        <f t="shared" si="28"/>
        <v>0</v>
      </c>
      <c r="Z442" s="1">
        <f t="shared" si="29"/>
        <v>0</v>
      </c>
      <c r="AA442" s="1">
        <f t="shared" si="30"/>
        <v>0</v>
      </c>
      <c r="AB442" s="1">
        <f t="shared" si="31"/>
        <v>0</v>
      </c>
    </row>
    <row r="443" spans="25:28" ht="15.75" customHeight="1" x14ac:dyDescent="0.2">
      <c r="Y443" s="1">
        <f t="shared" si="28"/>
        <v>0</v>
      </c>
      <c r="Z443" s="1">
        <f t="shared" si="29"/>
        <v>0</v>
      </c>
      <c r="AA443" s="1">
        <f t="shared" si="30"/>
        <v>0</v>
      </c>
      <c r="AB443" s="1">
        <f t="shared" si="31"/>
        <v>0</v>
      </c>
    </row>
    <row r="444" spans="25:28" ht="15.75" customHeight="1" x14ac:dyDescent="0.2">
      <c r="Y444" s="1">
        <f t="shared" si="28"/>
        <v>0</v>
      </c>
      <c r="Z444" s="1">
        <f t="shared" si="29"/>
        <v>0</v>
      </c>
      <c r="AA444" s="1">
        <f t="shared" si="30"/>
        <v>0</v>
      </c>
      <c r="AB444" s="1">
        <f t="shared" si="31"/>
        <v>0</v>
      </c>
    </row>
    <row r="445" spans="25:28" ht="15.75" customHeight="1" x14ac:dyDescent="0.2">
      <c r="Y445" s="1">
        <f t="shared" si="28"/>
        <v>0</v>
      </c>
      <c r="Z445" s="1">
        <f t="shared" si="29"/>
        <v>0</v>
      </c>
      <c r="AA445" s="1">
        <f t="shared" si="30"/>
        <v>0</v>
      </c>
      <c r="AB445" s="1">
        <f t="shared" si="31"/>
        <v>0</v>
      </c>
    </row>
    <row r="446" spans="25:28" ht="15.75" customHeight="1" x14ac:dyDescent="0.2">
      <c r="Y446" s="1">
        <f t="shared" si="28"/>
        <v>0</v>
      </c>
      <c r="Z446" s="1">
        <f t="shared" si="29"/>
        <v>0</v>
      </c>
      <c r="AA446" s="1">
        <f t="shared" si="30"/>
        <v>0</v>
      </c>
      <c r="AB446" s="1">
        <f t="shared" si="31"/>
        <v>0</v>
      </c>
    </row>
    <row r="447" spans="25:28" ht="15.75" customHeight="1" x14ac:dyDescent="0.2">
      <c r="Y447" s="1">
        <f t="shared" si="28"/>
        <v>0</v>
      </c>
      <c r="Z447" s="1">
        <f t="shared" si="29"/>
        <v>0</v>
      </c>
      <c r="AA447" s="1">
        <f t="shared" si="30"/>
        <v>0</v>
      </c>
      <c r="AB447" s="1">
        <f t="shared" si="31"/>
        <v>0</v>
      </c>
    </row>
    <row r="448" spans="25:28" ht="15.75" customHeight="1" x14ac:dyDescent="0.2">
      <c r="Y448" s="1">
        <f t="shared" si="28"/>
        <v>0</v>
      </c>
      <c r="Z448" s="1">
        <f t="shared" si="29"/>
        <v>0</v>
      </c>
      <c r="AA448" s="1">
        <f t="shared" si="30"/>
        <v>0</v>
      </c>
      <c r="AB448" s="1">
        <f t="shared" si="31"/>
        <v>0</v>
      </c>
    </row>
    <row r="449" spans="25:28" ht="15.75" customHeight="1" x14ac:dyDescent="0.2">
      <c r="Y449" s="1">
        <f t="shared" si="28"/>
        <v>0</v>
      </c>
      <c r="Z449" s="1">
        <f t="shared" si="29"/>
        <v>0</v>
      </c>
      <c r="AA449" s="1">
        <f t="shared" si="30"/>
        <v>0</v>
      </c>
      <c r="AB449" s="1">
        <f t="shared" si="31"/>
        <v>0</v>
      </c>
    </row>
    <row r="450" spans="25:28" ht="15.75" customHeight="1" x14ac:dyDescent="0.2">
      <c r="Y450" s="1">
        <f t="shared" si="28"/>
        <v>0</v>
      </c>
      <c r="Z450" s="1">
        <f t="shared" si="29"/>
        <v>0</v>
      </c>
      <c r="AA450" s="1">
        <f t="shared" si="30"/>
        <v>0</v>
      </c>
      <c r="AB450" s="1">
        <f t="shared" si="31"/>
        <v>0</v>
      </c>
    </row>
    <row r="451" spans="25:28" ht="15.75" customHeight="1" x14ac:dyDescent="0.2">
      <c r="Y451" s="1">
        <f t="shared" si="28"/>
        <v>0</v>
      </c>
      <c r="Z451" s="1">
        <f t="shared" si="29"/>
        <v>0</v>
      </c>
      <c r="AA451" s="1">
        <f t="shared" si="30"/>
        <v>0</v>
      </c>
      <c r="AB451" s="1">
        <f t="shared" si="31"/>
        <v>0</v>
      </c>
    </row>
    <row r="452" spans="25:28" ht="15.75" customHeight="1" x14ac:dyDescent="0.2">
      <c r="Y452" s="1">
        <f t="shared" si="28"/>
        <v>0</v>
      </c>
      <c r="Z452" s="1">
        <f t="shared" si="29"/>
        <v>0</v>
      </c>
      <c r="AA452" s="1">
        <f t="shared" si="30"/>
        <v>0</v>
      </c>
      <c r="AB452" s="1">
        <f t="shared" si="31"/>
        <v>0</v>
      </c>
    </row>
    <row r="453" spans="25:28" ht="15.75" customHeight="1" x14ac:dyDescent="0.2">
      <c r="Y453" s="1">
        <f t="shared" si="28"/>
        <v>0</v>
      </c>
      <c r="Z453" s="1">
        <f t="shared" si="29"/>
        <v>0</v>
      </c>
      <c r="AA453" s="1">
        <f t="shared" si="30"/>
        <v>0</v>
      </c>
      <c r="AB453" s="1">
        <f t="shared" si="31"/>
        <v>0</v>
      </c>
    </row>
    <row r="454" spans="25:28" ht="15.75" customHeight="1" x14ac:dyDescent="0.2">
      <c r="Y454" s="1">
        <f t="shared" si="28"/>
        <v>0</v>
      </c>
      <c r="Z454" s="1">
        <f t="shared" si="29"/>
        <v>0</v>
      </c>
      <c r="AA454" s="1">
        <f t="shared" si="30"/>
        <v>0</v>
      </c>
      <c r="AB454" s="1">
        <f t="shared" si="31"/>
        <v>0</v>
      </c>
    </row>
    <row r="455" spans="25:28" ht="15.75" customHeight="1" x14ac:dyDescent="0.2">
      <c r="Y455" s="1">
        <f t="shared" si="28"/>
        <v>0</v>
      </c>
      <c r="Z455" s="1">
        <f t="shared" si="29"/>
        <v>0</v>
      </c>
      <c r="AA455" s="1">
        <f t="shared" si="30"/>
        <v>0</v>
      </c>
      <c r="AB455" s="1">
        <f t="shared" si="31"/>
        <v>0</v>
      </c>
    </row>
    <row r="456" spans="25:28" ht="15.75" customHeight="1" x14ac:dyDescent="0.2">
      <c r="Y456" s="1">
        <f t="shared" si="28"/>
        <v>0</v>
      </c>
      <c r="Z456" s="1">
        <f t="shared" si="29"/>
        <v>0</v>
      </c>
      <c r="AA456" s="1">
        <f t="shared" si="30"/>
        <v>0</v>
      </c>
      <c r="AB456" s="1">
        <f t="shared" si="31"/>
        <v>0</v>
      </c>
    </row>
    <row r="457" spans="25:28" ht="15.75" customHeight="1" x14ac:dyDescent="0.2">
      <c r="Y457" s="1">
        <f t="shared" si="28"/>
        <v>0</v>
      </c>
      <c r="Z457" s="1">
        <f t="shared" si="29"/>
        <v>0</v>
      </c>
      <c r="AA457" s="1">
        <f t="shared" si="30"/>
        <v>0</v>
      </c>
      <c r="AB457" s="1">
        <f t="shared" si="31"/>
        <v>0</v>
      </c>
    </row>
    <row r="458" spans="25:28" ht="15.75" customHeight="1" x14ac:dyDescent="0.2">
      <c r="Y458" s="1">
        <f t="shared" si="28"/>
        <v>0</v>
      </c>
      <c r="Z458" s="1">
        <f t="shared" si="29"/>
        <v>0</v>
      </c>
      <c r="AA458" s="1">
        <f t="shared" si="30"/>
        <v>0</v>
      </c>
      <c r="AB458" s="1">
        <f t="shared" si="31"/>
        <v>0</v>
      </c>
    </row>
    <row r="459" spans="25:28" ht="15.75" customHeight="1" x14ac:dyDescent="0.2">
      <c r="Y459" s="1">
        <f t="shared" si="28"/>
        <v>0</v>
      </c>
      <c r="Z459" s="1">
        <f t="shared" si="29"/>
        <v>0</v>
      </c>
      <c r="AA459" s="1">
        <f t="shared" si="30"/>
        <v>0</v>
      </c>
      <c r="AB459" s="1">
        <f t="shared" si="31"/>
        <v>0</v>
      </c>
    </row>
    <row r="460" spans="25:28" ht="15.75" customHeight="1" x14ac:dyDescent="0.2">
      <c r="Y460" s="1">
        <f t="shared" si="28"/>
        <v>0</v>
      </c>
      <c r="Z460" s="1">
        <f t="shared" si="29"/>
        <v>0</v>
      </c>
      <c r="AA460" s="1">
        <f t="shared" si="30"/>
        <v>0</v>
      </c>
      <c r="AB460" s="1">
        <f t="shared" si="31"/>
        <v>0</v>
      </c>
    </row>
    <row r="461" spans="25:28" ht="15.75" customHeight="1" x14ac:dyDescent="0.2">
      <c r="Y461" s="1">
        <f t="shared" si="28"/>
        <v>0</v>
      </c>
      <c r="Z461" s="1">
        <f t="shared" si="29"/>
        <v>0</v>
      </c>
      <c r="AA461" s="1">
        <f t="shared" si="30"/>
        <v>0</v>
      </c>
      <c r="AB461" s="1">
        <f t="shared" si="31"/>
        <v>0</v>
      </c>
    </row>
    <row r="462" spans="25:28" ht="15.75" customHeight="1" x14ac:dyDescent="0.2">
      <c r="Y462" s="1">
        <f t="shared" ref="Y462:Y525" si="32">MAX(0,IFERROR((LEN($T463)-LEN(SUBSTITUTE($T463,"Quality of Works / Criteria of Failings:","")))/LEN("Quality of Works / Criteria of Failings:"),0)-IFERROR((LEN($T463)-LEN(SUBSTITUTE($T463,"Quality of Works / Criteria of Failings:Compliant","")))/LEN("Quality of Works / Criteria of Failings:Compliant"),0))</f>
        <v>0</v>
      </c>
      <c r="Z462" s="1">
        <f t="shared" ref="Z462:Z525" si="33">IFERROR($Y463/MAX(1,(LEN($I463)-LEN(SUBSTITUTE($I463," Ltd","")))/LEN(" Ltd")),0)</f>
        <v>0</v>
      </c>
      <c r="AA462" s="1">
        <f t="shared" ref="AA462:AA525" si="34">IFERROR(IFERROR((LEN($T463)-LEN(SUBSTITUTE($T463,"Quality of Works / Criteria of Failings:","")))/LEN("Quality of Works / Criteria of Failings:"),0)/MAX(1,(LEN($I463)-LEN(SUBSTITUTE($I463," Ltd","")))/LEN(" Ltd")),0)</f>
        <v>0</v>
      </c>
      <c r="AB462" s="1">
        <f t="shared" ref="AB462:AB525" si="35">IFERROR(IFERROR((LEN($T463)-LEN(SUBSTITUTE($T463,"Quality of Works / Criteria of Failings:Compliant","")))/LEN("Quality of Works / Criteria of Failings:Compliant"),0)/MAX(1,(LEN($I463)-LEN(SUBSTITUTE($I463," Ltd","")))/LEN(" Ltd")),0)</f>
        <v>0</v>
      </c>
    </row>
    <row r="463" spans="25:28" ht="15.75" customHeight="1" x14ac:dyDescent="0.2">
      <c r="Y463" s="1">
        <f t="shared" si="32"/>
        <v>0</v>
      </c>
      <c r="Z463" s="1">
        <f t="shared" si="33"/>
        <v>0</v>
      </c>
      <c r="AA463" s="1">
        <f t="shared" si="34"/>
        <v>0</v>
      </c>
      <c r="AB463" s="1">
        <f t="shared" si="35"/>
        <v>0</v>
      </c>
    </row>
    <row r="464" spans="25:28" ht="15.75" customHeight="1" x14ac:dyDescent="0.2">
      <c r="Y464" s="1">
        <f t="shared" si="32"/>
        <v>0</v>
      </c>
      <c r="Z464" s="1">
        <f t="shared" si="33"/>
        <v>0</v>
      </c>
      <c r="AA464" s="1">
        <f t="shared" si="34"/>
        <v>0</v>
      </c>
      <c r="AB464" s="1">
        <f t="shared" si="35"/>
        <v>0</v>
      </c>
    </row>
    <row r="465" spans="25:28" ht="15.75" customHeight="1" x14ac:dyDescent="0.2">
      <c r="Y465" s="1">
        <f t="shared" si="32"/>
        <v>0</v>
      </c>
      <c r="Z465" s="1">
        <f t="shared" si="33"/>
        <v>0</v>
      </c>
      <c r="AA465" s="1">
        <f t="shared" si="34"/>
        <v>0</v>
      </c>
      <c r="AB465" s="1">
        <f t="shared" si="35"/>
        <v>0</v>
      </c>
    </row>
    <row r="466" spans="25:28" ht="15.75" customHeight="1" x14ac:dyDescent="0.2">
      <c r="Y466" s="1">
        <f t="shared" si="32"/>
        <v>0</v>
      </c>
      <c r="Z466" s="1">
        <f t="shared" si="33"/>
        <v>0</v>
      </c>
      <c r="AA466" s="1">
        <f t="shared" si="34"/>
        <v>0</v>
      </c>
      <c r="AB466" s="1">
        <f t="shared" si="35"/>
        <v>0</v>
      </c>
    </row>
    <row r="467" spans="25:28" ht="15.75" customHeight="1" x14ac:dyDescent="0.2">
      <c r="Y467" s="1">
        <f t="shared" si="32"/>
        <v>0</v>
      </c>
      <c r="Z467" s="1">
        <f t="shared" si="33"/>
        <v>0</v>
      </c>
      <c r="AA467" s="1">
        <f t="shared" si="34"/>
        <v>0</v>
      </c>
      <c r="AB467" s="1">
        <f t="shared" si="35"/>
        <v>0</v>
      </c>
    </row>
    <row r="468" spans="25:28" ht="15.75" customHeight="1" x14ac:dyDescent="0.2">
      <c r="Y468" s="1">
        <f t="shared" si="32"/>
        <v>0</v>
      </c>
      <c r="Z468" s="1">
        <f t="shared" si="33"/>
        <v>0</v>
      </c>
      <c r="AA468" s="1">
        <f t="shared" si="34"/>
        <v>0</v>
      </c>
      <c r="AB468" s="1">
        <f t="shared" si="35"/>
        <v>0</v>
      </c>
    </row>
    <row r="469" spans="25:28" ht="15.75" customHeight="1" x14ac:dyDescent="0.2">
      <c r="Y469" s="1">
        <f t="shared" si="32"/>
        <v>0</v>
      </c>
      <c r="Z469" s="1">
        <f t="shared" si="33"/>
        <v>0</v>
      </c>
      <c r="AA469" s="1">
        <f t="shared" si="34"/>
        <v>0</v>
      </c>
      <c r="AB469" s="1">
        <f t="shared" si="35"/>
        <v>0</v>
      </c>
    </row>
    <row r="470" spans="25:28" ht="15.75" customHeight="1" x14ac:dyDescent="0.2">
      <c r="Y470" s="1">
        <f t="shared" si="32"/>
        <v>0</v>
      </c>
      <c r="Z470" s="1">
        <f t="shared" si="33"/>
        <v>0</v>
      </c>
      <c r="AA470" s="1">
        <f t="shared" si="34"/>
        <v>0</v>
      </c>
      <c r="AB470" s="1">
        <f t="shared" si="35"/>
        <v>0</v>
      </c>
    </row>
    <row r="471" spans="25:28" ht="15.75" customHeight="1" x14ac:dyDescent="0.2">
      <c r="Y471" s="1">
        <f t="shared" si="32"/>
        <v>0</v>
      </c>
      <c r="Z471" s="1">
        <f t="shared" si="33"/>
        <v>0</v>
      </c>
      <c r="AA471" s="1">
        <f t="shared" si="34"/>
        <v>0</v>
      </c>
      <c r="AB471" s="1">
        <f t="shared" si="35"/>
        <v>0</v>
      </c>
    </row>
    <row r="472" spans="25:28" ht="15.75" customHeight="1" x14ac:dyDescent="0.2">
      <c r="Y472" s="1">
        <f t="shared" si="32"/>
        <v>0</v>
      </c>
      <c r="Z472" s="1">
        <f t="shared" si="33"/>
        <v>0</v>
      </c>
      <c r="AA472" s="1">
        <f t="shared" si="34"/>
        <v>0</v>
      </c>
      <c r="AB472" s="1">
        <f t="shared" si="35"/>
        <v>0</v>
      </c>
    </row>
    <row r="473" spans="25:28" ht="15.75" customHeight="1" x14ac:dyDescent="0.2">
      <c r="Y473" s="1">
        <f t="shared" si="32"/>
        <v>0</v>
      </c>
      <c r="Z473" s="1">
        <f t="shared" si="33"/>
        <v>0</v>
      </c>
      <c r="AA473" s="1">
        <f t="shared" si="34"/>
        <v>0</v>
      </c>
      <c r="AB473" s="1">
        <f t="shared" si="35"/>
        <v>0</v>
      </c>
    </row>
    <row r="474" spans="25:28" ht="15.75" customHeight="1" x14ac:dyDescent="0.2">
      <c r="Y474" s="1">
        <f t="shared" si="32"/>
        <v>0</v>
      </c>
      <c r="Z474" s="1">
        <f t="shared" si="33"/>
        <v>0</v>
      </c>
      <c r="AA474" s="1">
        <f t="shared" si="34"/>
        <v>0</v>
      </c>
      <c r="AB474" s="1">
        <f t="shared" si="35"/>
        <v>0</v>
      </c>
    </row>
    <row r="475" spans="25:28" ht="15.75" customHeight="1" x14ac:dyDescent="0.2">
      <c r="Y475" s="1">
        <f t="shared" si="32"/>
        <v>0</v>
      </c>
      <c r="Z475" s="1">
        <f t="shared" si="33"/>
        <v>0</v>
      </c>
      <c r="AA475" s="1">
        <f t="shared" si="34"/>
        <v>0</v>
      </c>
      <c r="AB475" s="1">
        <f t="shared" si="35"/>
        <v>0</v>
      </c>
    </row>
    <row r="476" spans="25:28" ht="15.75" customHeight="1" x14ac:dyDescent="0.2">
      <c r="Y476" s="1">
        <f t="shared" si="32"/>
        <v>0</v>
      </c>
      <c r="Z476" s="1">
        <f t="shared" si="33"/>
        <v>0</v>
      </c>
      <c r="AA476" s="1">
        <f t="shared" si="34"/>
        <v>0</v>
      </c>
      <c r="AB476" s="1">
        <f t="shared" si="35"/>
        <v>0</v>
      </c>
    </row>
    <row r="477" spans="25:28" ht="15.75" customHeight="1" x14ac:dyDescent="0.2">
      <c r="Y477" s="1">
        <f t="shared" si="32"/>
        <v>0</v>
      </c>
      <c r="Z477" s="1">
        <f t="shared" si="33"/>
        <v>0</v>
      </c>
      <c r="AA477" s="1">
        <f t="shared" si="34"/>
        <v>0</v>
      </c>
      <c r="AB477" s="1">
        <f t="shared" si="35"/>
        <v>0</v>
      </c>
    </row>
    <row r="478" spans="25:28" ht="15.75" customHeight="1" x14ac:dyDescent="0.2">
      <c r="Y478" s="1">
        <f t="shared" si="32"/>
        <v>0</v>
      </c>
      <c r="Z478" s="1">
        <f t="shared" si="33"/>
        <v>0</v>
      </c>
      <c r="AA478" s="1">
        <f t="shared" si="34"/>
        <v>0</v>
      </c>
      <c r="AB478" s="1">
        <f t="shared" si="35"/>
        <v>0</v>
      </c>
    </row>
    <row r="479" spans="25:28" ht="15.75" customHeight="1" x14ac:dyDescent="0.2">
      <c r="Y479" s="1">
        <f t="shared" si="32"/>
        <v>0</v>
      </c>
      <c r="Z479" s="1">
        <f t="shared" si="33"/>
        <v>0</v>
      </c>
      <c r="AA479" s="1">
        <f t="shared" si="34"/>
        <v>0</v>
      </c>
      <c r="AB479" s="1">
        <f t="shared" si="35"/>
        <v>0</v>
      </c>
    </row>
    <row r="480" spans="25:28" ht="15.75" customHeight="1" x14ac:dyDescent="0.2">
      <c r="Y480" s="1">
        <f t="shared" si="32"/>
        <v>0</v>
      </c>
      <c r="Z480" s="1">
        <f t="shared" si="33"/>
        <v>0</v>
      </c>
      <c r="AA480" s="1">
        <f t="shared" si="34"/>
        <v>0</v>
      </c>
      <c r="AB480" s="1">
        <f t="shared" si="35"/>
        <v>0</v>
      </c>
    </row>
    <row r="481" spans="25:28" ht="15.75" customHeight="1" x14ac:dyDescent="0.2">
      <c r="Y481" s="1">
        <f t="shared" si="32"/>
        <v>0</v>
      </c>
      <c r="Z481" s="1">
        <f t="shared" si="33"/>
        <v>0</v>
      </c>
      <c r="AA481" s="1">
        <f t="shared" si="34"/>
        <v>0</v>
      </c>
      <c r="AB481" s="1">
        <f t="shared" si="35"/>
        <v>0</v>
      </c>
    </row>
    <row r="482" spans="25:28" ht="15.75" customHeight="1" x14ac:dyDescent="0.2">
      <c r="Y482" s="1">
        <f t="shared" si="32"/>
        <v>0</v>
      </c>
      <c r="Z482" s="1">
        <f t="shared" si="33"/>
        <v>0</v>
      </c>
      <c r="AA482" s="1">
        <f t="shared" si="34"/>
        <v>0</v>
      </c>
      <c r="AB482" s="1">
        <f t="shared" si="35"/>
        <v>0</v>
      </c>
    </row>
    <row r="483" spans="25:28" ht="15.75" customHeight="1" x14ac:dyDescent="0.2">
      <c r="Y483" s="1">
        <f t="shared" si="32"/>
        <v>0</v>
      </c>
      <c r="Z483" s="1">
        <f t="shared" si="33"/>
        <v>0</v>
      </c>
      <c r="AA483" s="1">
        <f t="shared" si="34"/>
        <v>0</v>
      </c>
      <c r="AB483" s="1">
        <f t="shared" si="35"/>
        <v>0</v>
      </c>
    </row>
    <row r="484" spans="25:28" ht="15.75" customHeight="1" x14ac:dyDescent="0.2">
      <c r="Y484" s="1">
        <f t="shared" si="32"/>
        <v>0</v>
      </c>
      <c r="Z484" s="1">
        <f t="shared" si="33"/>
        <v>0</v>
      </c>
      <c r="AA484" s="1">
        <f t="shared" si="34"/>
        <v>0</v>
      </c>
      <c r="AB484" s="1">
        <f t="shared" si="35"/>
        <v>0</v>
      </c>
    </row>
    <row r="485" spans="25:28" ht="15.75" customHeight="1" x14ac:dyDescent="0.2">
      <c r="Y485" s="1">
        <f t="shared" si="32"/>
        <v>0</v>
      </c>
      <c r="Z485" s="1">
        <f t="shared" si="33"/>
        <v>0</v>
      </c>
      <c r="AA485" s="1">
        <f t="shared" si="34"/>
        <v>0</v>
      </c>
      <c r="AB485" s="1">
        <f t="shared" si="35"/>
        <v>0</v>
      </c>
    </row>
    <row r="486" spans="25:28" ht="15.75" customHeight="1" x14ac:dyDescent="0.2">
      <c r="Y486" s="1">
        <f t="shared" si="32"/>
        <v>0</v>
      </c>
      <c r="Z486" s="1">
        <f t="shared" si="33"/>
        <v>0</v>
      </c>
      <c r="AA486" s="1">
        <f t="shared" si="34"/>
        <v>0</v>
      </c>
      <c r="AB486" s="1">
        <f t="shared" si="35"/>
        <v>0</v>
      </c>
    </row>
    <row r="487" spans="25:28" ht="15.75" customHeight="1" x14ac:dyDescent="0.2">
      <c r="Y487" s="1">
        <f t="shared" si="32"/>
        <v>0</v>
      </c>
      <c r="Z487" s="1">
        <f t="shared" si="33"/>
        <v>0</v>
      </c>
      <c r="AA487" s="1">
        <f t="shared" si="34"/>
        <v>0</v>
      </c>
      <c r="AB487" s="1">
        <f t="shared" si="35"/>
        <v>0</v>
      </c>
    </row>
    <row r="488" spans="25:28" ht="15.75" customHeight="1" x14ac:dyDescent="0.2">
      <c r="Y488" s="1">
        <f t="shared" si="32"/>
        <v>0</v>
      </c>
      <c r="Z488" s="1">
        <f t="shared" si="33"/>
        <v>0</v>
      </c>
      <c r="AA488" s="1">
        <f t="shared" si="34"/>
        <v>0</v>
      </c>
      <c r="AB488" s="1">
        <f t="shared" si="35"/>
        <v>0</v>
      </c>
    </row>
    <row r="489" spans="25:28" ht="15.75" customHeight="1" x14ac:dyDescent="0.2">
      <c r="Y489" s="1">
        <f t="shared" si="32"/>
        <v>0</v>
      </c>
      <c r="Z489" s="1">
        <f t="shared" si="33"/>
        <v>0</v>
      </c>
      <c r="AA489" s="1">
        <f t="shared" si="34"/>
        <v>0</v>
      </c>
      <c r="AB489" s="1">
        <f t="shared" si="35"/>
        <v>0</v>
      </c>
    </row>
    <row r="490" spans="25:28" ht="15.75" customHeight="1" x14ac:dyDescent="0.2">
      <c r="Y490" s="1">
        <f t="shared" si="32"/>
        <v>0</v>
      </c>
      <c r="Z490" s="1">
        <f t="shared" si="33"/>
        <v>0</v>
      </c>
      <c r="AA490" s="1">
        <f t="shared" si="34"/>
        <v>0</v>
      </c>
      <c r="AB490" s="1">
        <f t="shared" si="35"/>
        <v>0</v>
      </c>
    </row>
    <row r="491" spans="25:28" ht="15.75" customHeight="1" x14ac:dyDescent="0.2">
      <c r="Y491" s="1">
        <f t="shared" si="32"/>
        <v>0</v>
      </c>
      <c r="Z491" s="1">
        <f t="shared" si="33"/>
        <v>0</v>
      </c>
      <c r="AA491" s="1">
        <f t="shared" si="34"/>
        <v>0</v>
      </c>
      <c r="AB491" s="1">
        <f t="shared" si="35"/>
        <v>0</v>
      </c>
    </row>
    <row r="492" spans="25:28" ht="15.75" customHeight="1" x14ac:dyDescent="0.2">
      <c r="Y492" s="1">
        <f t="shared" si="32"/>
        <v>0</v>
      </c>
      <c r="Z492" s="1">
        <f t="shared" si="33"/>
        <v>0</v>
      </c>
      <c r="AA492" s="1">
        <f t="shared" si="34"/>
        <v>0</v>
      </c>
      <c r="AB492" s="1">
        <f t="shared" si="35"/>
        <v>0</v>
      </c>
    </row>
    <row r="493" spans="25:28" ht="15.75" customHeight="1" x14ac:dyDescent="0.2">
      <c r="Y493" s="1">
        <f t="shared" si="32"/>
        <v>0</v>
      </c>
      <c r="Z493" s="1">
        <f t="shared" si="33"/>
        <v>0</v>
      </c>
      <c r="AA493" s="1">
        <f t="shared" si="34"/>
        <v>0</v>
      </c>
      <c r="AB493" s="1">
        <f t="shared" si="35"/>
        <v>0</v>
      </c>
    </row>
    <row r="494" spans="25:28" ht="15.75" customHeight="1" x14ac:dyDescent="0.2">
      <c r="Y494" s="1">
        <f t="shared" si="32"/>
        <v>0</v>
      </c>
      <c r="Z494" s="1">
        <f t="shared" si="33"/>
        <v>0</v>
      </c>
      <c r="AA494" s="1">
        <f t="shared" si="34"/>
        <v>0</v>
      </c>
      <c r="AB494" s="1">
        <f t="shared" si="35"/>
        <v>0</v>
      </c>
    </row>
    <row r="495" spans="25:28" ht="15.75" customHeight="1" x14ac:dyDescent="0.2">
      <c r="Y495" s="1">
        <f t="shared" si="32"/>
        <v>0</v>
      </c>
      <c r="Z495" s="1">
        <f t="shared" si="33"/>
        <v>0</v>
      </c>
      <c r="AA495" s="1">
        <f t="shared" si="34"/>
        <v>0</v>
      </c>
      <c r="AB495" s="1">
        <f t="shared" si="35"/>
        <v>0</v>
      </c>
    </row>
    <row r="496" spans="25:28" ht="15.75" customHeight="1" x14ac:dyDescent="0.2">
      <c r="Y496" s="1">
        <f t="shared" si="32"/>
        <v>0</v>
      </c>
      <c r="Z496" s="1">
        <f t="shared" si="33"/>
        <v>0</v>
      </c>
      <c r="AA496" s="1">
        <f t="shared" si="34"/>
        <v>0</v>
      </c>
      <c r="AB496" s="1">
        <f t="shared" si="35"/>
        <v>0</v>
      </c>
    </row>
    <row r="497" spans="25:28" ht="15.75" customHeight="1" x14ac:dyDescent="0.2">
      <c r="Y497" s="1">
        <f t="shared" si="32"/>
        <v>0</v>
      </c>
      <c r="Z497" s="1">
        <f t="shared" si="33"/>
        <v>0</v>
      </c>
      <c r="AA497" s="1">
        <f t="shared" si="34"/>
        <v>0</v>
      </c>
      <c r="AB497" s="1">
        <f t="shared" si="35"/>
        <v>0</v>
      </c>
    </row>
    <row r="498" spans="25:28" ht="15.75" customHeight="1" x14ac:dyDescent="0.2">
      <c r="Y498" s="1">
        <f t="shared" si="32"/>
        <v>0</v>
      </c>
      <c r="Z498" s="1">
        <f t="shared" si="33"/>
        <v>0</v>
      </c>
      <c r="AA498" s="1">
        <f t="shared" si="34"/>
        <v>0</v>
      </c>
      <c r="AB498" s="1">
        <f t="shared" si="35"/>
        <v>0</v>
      </c>
    </row>
    <row r="499" spans="25:28" ht="15.75" customHeight="1" x14ac:dyDescent="0.2">
      <c r="Y499" s="1">
        <f t="shared" si="32"/>
        <v>0</v>
      </c>
      <c r="Z499" s="1">
        <f t="shared" si="33"/>
        <v>0</v>
      </c>
      <c r="AA499" s="1">
        <f t="shared" si="34"/>
        <v>0</v>
      </c>
      <c r="AB499" s="1">
        <f t="shared" si="35"/>
        <v>0</v>
      </c>
    </row>
    <row r="500" spans="25:28" ht="15.75" customHeight="1" x14ac:dyDescent="0.2">
      <c r="Y500" s="1">
        <f t="shared" si="32"/>
        <v>0</v>
      </c>
      <c r="Z500" s="1">
        <f t="shared" si="33"/>
        <v>0</v>
      </c>
      <c r="AA500" s="1">
        <f t="shared" si="34"/>
        <v>0</v>
      </c>
      <c r="AB500" s="1">
        <f t="shared" si="35"/>
        <v>0</v>
      </c>
    </row>
    <row r="501" spans="25:28" ht="15.75" customHeight="1" x14ac:dyDescent="0.2">
      <c r="Y501" s="1">
        <f t="shared" si="32"/>
        <v>0</v>
      </c>
      <c r="Z501" s="1">
        <f t="shared" si="33"/>
        <v>0</v>
      </c>
      <c r="AA501" s="1">
        <f t="shared" si="34"/>
        <v>0</v>
      </c>
      <c r="AB501" s="1">
        <f t="shared" si="35"/>
        <v>0</v>
      </c>
    </row>
    <row r="502" spans="25:28" ht="15.75" customHeight="1" x14ac:dyDescent="0.2">
      <c r="Y502" s="1">
        <f t="shared" si="32"/>
        <v>0</v>
      </c>
      <c r="Z502" s="1">
        <f t="shared" si="33"/>
        <v>0</v>
      </c>
      <c r="AA502" s="1">
        <f t="shared" si="34"/>
        <v>0</v>
      </c>
      <c r="AB502" s="1">
        <f t="shared" si="35"/>
        <v>0</v>
      </c>
    </row>
    <row r="503" spans="25:28" ht="15.75" customHeight="1" x14ac:dyDescent="0.2">
      <c r="Y503" s="1">
        <f t="shared" si="32"/>
        <v>0</v>
      </c>
      <c r="Z503" s="1">
        <f t="shared" si="33"/>
        <v>0</v>
      </c>
      <c r="AA503" s="1">
        <f t="shared" si="34"/>
        <v>0</v>
      </c>
      <c r="AB503" s="1">
        <f t="shared" si="35"/>
        <v>0</v>
      </c>
    </row>
    <row r="504" spans="25:28" ht="15.75" customHeight="1" x14ac:dyDescent="0.2">
      <c r="Y504" s="1">
        <f t="shared" si="32"/>
        <v>0</v>
      </c>
      <c r="Z504" s="1">
        <f t="shared" si="33"/>
        <v>0</v>
      </c>
      <c r="AA504" s="1">
        <f t="shared" si="34"/>
        <v>0</v>
      </c>
      <c r="AB504" s="1">
        <f t="shared" si="35"/>
        <v>0</v>
      </c>
    </row>
    <row r="505" spans="25:28" ht="15.75" customHeight="1" x14ac:dyDescent="0.2">
      <c r="Y505" s="1">
        <f t="shared" si="32"/>
        <v>0</v>
      </c>
      <c r="Z505" s="1">
        <f t="shared" si="33"/>
        <v>0</v>
      </c>
      <c r="AA505" s="1">
        <f t="shared" si="34"/>
        <v>0</v>
      </c>
      <c r="AB505" s="1">
        <f t="shared" si="35"/>
        <v>0</v>
      </c>
    </row>
    <row r="506" spans="25:28" ht="15.75" customHeight="1" x14ac:dyDescent="0.2">
      <c r="Y506" s="1">
        <f t="shared" si="32"/>
        <v>0</v>
      </c>
      <c r="Z506" s="1">
        <f t="shared" si="33"/>
        <v>0</v>
      </c>
      <c r="AA506" s="1">
        <f t="shared" si="34"/>
        <v>0</v>
      </c>
      <c r="AB506" s="1">
        <f t="shared" si="35"/>
        <v>0</v>
      </c>
    </row>
    <row r="507" spans="25:28" ht="15.75" customHeight="1" x14ac:dyDescent="0.2">
      <c r="Y507" s="1">
        <f t="shared" si="32"/>
        <v>0</v>
      </c>
      <c r="Z507" s="1">
        <f t="shared" si="33"/>
        <v>0</v>
      </c>
      <c r="AA507" s="1">
        <f t="shared" si="34"/>
        <v>0</v>
      </c>
      <c r="AB507" s="1">
        <f t="shared" si="35"/>
        <v>0</v>
      </c>
    </row>
    <row r="508" spans="25:28" ht="15.75" customHeight="1" x14ac:dyDescent="0.2">
      <c r="Y508" s="1">
        <f t="shared" si="32"/>
        <v>0</v>
      </c>
      <c r="Z508" s="1">
        <f t="shared" si="33"/>
        <v>0</v>
      </c>
      <c r="AA508" s="1">
        <f t="shared" si="34"/>
        <v>0</v>
      </c>
      <c r="AB508" s="1">
        <f t="shared" si="35"/>
        <v>0</v>
      </c>
    </row>
    <row r="509" spans="25:28" ht="15.75" customHeight="1" x14ac:dyDescent="0.2">
      <c r="Y509" s="1">
        <f t="shared" si="32"/>
        <v>0</v>
      </c>
      <c r="Z509" s="1">
        <f t="shared" si="33"/>
        <v>0</v>
      </c>
      <c r="AA509" s="1">
        <f t="shared" si="34"/>
        <v>0</v>
      </c>
      <c r="AB509" s="1">
        <f t="shared" si="35"/>
        <v>0</v>
      </c>
    </row>
    <row r="510" spans="25:28" ht="15.75" customHeight="1" x14ac:dyDescent="0.2">
      <c r="Y510" s="1">
        <f t="shared" si="32"/>
        <v>0</v>
      </c>
      <c r="Z510" s="1">
        <f t="shared" si="33"/>
        <v>0</v>
      </c>
      <c r="AA510" s="1">
        <f t="shared" si="34"/>
        <v>0</v>
      </c>
      <c r="AB510" s="1">
        <f t="shared" si="35"/>
        <v>0</v>
      </c>
    </row>
    <row r="511" spans="25:28" ht="15.75" customHeight="1" x14ac:dyDescent="0.2">
      <c r="Y511" s="1">
        <f t="shared" si="32"/>
        <v>0</v>
      </c>
      <c r="Z511" s="1">
        <f t="shared" si="33"/>
        <v>0</v>
      </c>
      <c r="AA511" s="1">
        <f t="shared" si="34"/>
        <v>0</v>
      </c>
      <c r="AB511" s="1">
        <f t="shared" si="35"/>
        <v>0</v>
      </c>
    </row>
    <row r="512" spans="25:28" ht="15.75" customHeight="1" x14ac:dyDescent="0.2">
      <c r="Y512" s="1">
        <f t="shared" si="32"/>
        <v>0</v>
      </c>
      <c r="Z512" s="1">
        <f t="shared" si="33"/>
        <v>0</v>
      </c>
      <c r="AA512" s="1">
        <f t="shared" si="34"/>
        <v>0</v>
      </c>
      <c r="AB512" s="1">
        <f t="shared" si="35"/>
        <v>0</v>
      </c>
    </row>
    <row r="513" spans="25:28" ht="15.75" customHeight="1" x14ac:dyDescent="0.2">
      <c r="Y513" s="1">
        <f t="shared" si="32"/>
        <v>0</v>
      </c>
      <c r="Z513" s="1">
        <f t="shared" si="33"/>
        <v>0</v>
      </c>
      <c r="AA513" s="1">
        <f t="shared" si="34"/>
        <v>0</v>
      </c>
      <c r="AB513" s="1">
        <f t="shared" si="35"/>
        <v>0</v>
      </c>
    </row>
    <row r="514" spans="25:28" ht="15.75" customHeight="1" x14ac:dyDescent="0.2">
      <c r="Y514" s="1">
        <f t="shared" si="32"/>
        <v>0</v>
      </c>
      <c r="Z514" s="1">
        <f t="shared" si="33"/>
        <v>0</v>
      </c>
      <c r="AA514" s="1">
        <f t="shared" si="34"/>
        <v>0</v>
      </c>
      <c r="AB514" s="1">
        <f t="shared" si="35"/>
        <v>0</v>
      </c>
    </row>
    <row r="515" spans="25:28" ht="15.75" customHeight="1" x14ac:dyDescent="0.2">
      <c r="Y515" s="1">
        <f t="shared" si="32"/>
        <v>0</v>
      </c>
      <c r="Z515" s="1">
        <f t="shared" si="33"/>
        <v>0</v>
      </c>
      <c r="AA515" s="1">
        <f t="shared" si="34"/>
        <v>0</v>
      </c>
      <c r="AB515" s="1">
        <f t="shared" si="35"/>
        <v>0</v>
      </c>
    </row>
    <row r="516" spans="25:28" ht="15.75" customHeight="1" x14ac:dyDescent="0.2">
      <c r="Y516" s="1">
        <f t="shared" si="32"/>
        <v>0</v>
      </c>
      <c r="Z516" s="1">
        <f t="shared" si="33"/>
        <v>0</v>
      </c>
      <c r="AA516" s="1">
        <f t="shared" si="34"/>
        <v>0</v>
      </c>
      <c r="AB516" s="1">
        <f t="shared" si="35"/>
        <v>0</v>
      </c>
    </row>
    <row r="517" spans="25:28" ht="15.75" customHeight="1" x14ac:dyDescent="0.2">
      <c r="Y517" s="1">
        <f t="shared" si="32"/>
        <v>0</v>
      </c>
      <c r="Z517" s="1">
        <f t="shared" si="33"/>
        <v>0</v>
      </c>
      <c r="AA517" s="1">
        <f t="shared" si="34"/>
        <v>0</v>
      </c>
      <c r="AB517" s="1">
        <f t="shared" si="35"/>
        <v>0</v>
      </c>
    </row>
    <row r="518" spans="25:28" ht="15.75" customHeight="1" x14ac:dyDescent="0.2">
      <c r="Y518" s="1">
        <f t="shared" si="32"/>
        <v>0</v>
      </c>
      <c r="Z518" s="1">
        <f t="shared" si="33"/>
        <v>0</v>
      </c>
      <c r="AA518" s="1">
        <f t="shared" si="34"/>
        <v>0</v>
      </c>
      <c r="AB518" s="1">
        <f t="shared" si="35"/>
        <v>0</v>
      </c>
    </row>
    <row r="519" spans="25:28" ht="15.75" customHeight="1" x14ac:dyDescent="0.2">
      <c r="Y519" s="1">
        <f t="shared" si="32"/>
        <v>0</v>
      </c>
      <c r="Z519" s="1">
        <f t="shared" si="33"/>
        <v>0</v>
      </c>
      <c r="AA519" s="1">
        <f t="shared" si="34"/>
        <v>0</v>
      </c>
      <c r="AB519" s="1">
        <f t="shared" si="35"/>
        <v>0</v>
      </c>
    </row>
    <row r="520" spans="25:28" ht="15.75" customHeight="1" x14ac:dyDescent="0.2">
      <c r="Y520" s="1">
        <f t="shared" si="32"/>
        <v>0</v>
      </c>
      <c r="Z520" s="1">
        <f t="shared" si="33"/>
        <v>0</v>
      </c>
      <c r="AA520" s="1">
        <f t="shared" si="34"/>
        <v>0</v>
      </c>
      <c r="AB520" s="1">
        <f t="shared" si="35"/>
        <v>0</v>
      </c>
    </row>
    <row r="521" spans="25:28" ht="15.75" customHeight="1" x14ac:dyDescent="0.2">
      <c r="Y521" s="1">
        <f t="shared" si="32"/>
        <v>0</v>
      </c>
      <c r="Z521" s="1">
        <f t="shared" si="33"/>
        <v>0</v>
      </c>
      <c r="AA521" s="1">
        <f t="shared" si="34"/>
        <v>0</v>
      </c>
      <c r="AB521" s="1">
        <f t="shared" si="35"/>
        <v>0</v>
      </c>
    </row>
    <row r="522" spans="25:28" ht="15.75" customHeight="1" x14ac:dyDescent="0.2">
      <c r="Y522" s="1">
        <f t="shared" si="32"/>
        <v>0</v>
      </c>
      <c r="Z522" s="1">
        <f t="shared" si="33"/>
        <v>0</v>
      </c>
      <c r="AA522" s="1">
        <f t="shared" si="34"/>
        <v>0</v>
      </c>
      <c r="AB522" s="1">
        <f t="shared" si="35"/>
        <v>0</v>
      </c>
    </row>
    <row r="523" spans="25:28" ht="15.75" customHeight="1" x14ac:dyDescent="0.2">
      <c r="Y523" s="1">
        <f t="shared" si="32"/>
        <v>0</v>
      </c>
      <c r="Z523" s="1">
        <f t="shared" si="33"/>
        <v>0</v>
      </c>
      <c r="AA523" s="1">
        <f t="shared" si="34"/>
        <v>0</v>
      </c>
      <c r="AB523" s="1">
        <f t="shared" si="35"/>
        <v>0</v>
      </c>
    </row>
    <row r="524" spans="25:28" ht="15.75" customHeight="1" x14ac:dyDescent="0.2">
      <c r="Y524" s="1">
        <f t="shared" si="32"/>
        <v>0</v>
      </c>
      <c r="Z524" s="1">
        <f t="shared" si="33"/>
        <v>0</v>
      </c>
      <c r="AA524" s="1">
        <f t="shared" si="34"/>
        <v>0</v>
      </c>
      <c r="AB524" s="1">
        <f t="shared" si="35"/>
        <v>0</v>
      </c>
    </row>
    <row r="525" spans="25:28" ht="15.75" customHeight="1" x14ac:dyDescent="0.2">
      <c r="Y525" s="1">
        <f t="shared" si="32"/>
        <v>0</v>
      </c>
      <c r="Z525" s="1">
        <f t="shared" si="33"/>
        <v>0</v>
      </c>
      <c r="AA525" s="1">
        <f t="shared" si="34"/>
        <v>0</v>
      </c>
      <c r="AB525" s="1">
        <f t="shared" si="35"/>
        <v>0</v>
      </c>
    </row>
    <row r="526" spans="25:28" ht="15.75" customHeight="1" x14ac:dyDescent="0.2">
      <c r="Y526" s="1">
        <f t="shared" ref="Y526:Y589" si="36">MAX(0,IFERROR((LEN($T527)-LEN(SUBSTITUTE($T527,"Quality of Works / Criteria of Failings:","")))/LEN("Quality of Works / Criteria of Failings:"),0)-IFERROR((LEN($T527)-LEN(SUBSTITUTE($T527,"Quality of Works / Criteria of Failings:Compliant","")))/LEN("Quality of Works / Criteria of Failings:Compliant"),0))</f>
        <v>0</v>
      </c>
      <c r="Z526" s="1">
        <f t="shared" ref="Z526:Z589" si="37">IFERROR($Y527/MAX(1,(LEN($I527)-LEN(SUBSTITUTE($I527," Ltd","")))/LEN(" Ltd")),0)</f>
        <v>0</v>
      </c>
      <c r="AA526" s="1">
        <f t="shared" ref="AA526:AA589" si="38">IFERROR(IFERROR((LEN($T527)-LEN(SUBSTITUTE($T527,"Quality of Works / Criteria of Failings:","")))/LEN("Quality of Works / Criteria of Failings:"),0)/MAX(1,(LEN($I527)-LEN(SUBSTITUTE($I527," Ltd","")))/LEN(" Ltd")),0)</f>
        <v>0</v>
      </c>
      <c r="AB526" s="1">
        <f t="shared" ref="AB526:AB589" si="39">IFERROR(IFERROR((LEN($T527)-LEN(SUBSTITUTE($T527,"Quality of Works / Criteria of Failings:Compliant","")))/LEN("Quality of Works / Criteria of Failings:Compliant"),0)/MAX(1,(LEN($I527)-LEN(SUBSTITUTE($I527," Ltd","")))/LEN(" Ltd")),0)</f>
        <v>0</v>
      </c>
    </row>
    <row r="527" spans="25:28" ht="15.75" customHeight="1" x14ac:dyDescent="0.2">
      <c r="Y527" s="1">
        <f t="shared" si="36"/>
        <v>0</v>
      </c>
      <c r="Z527" s="1">
        <f t="shared" si="37"/>
        <v>0</v>
      </c>
      <c r="AA527" s="1">
        <f t="shared" si="38"/>
        <v>0</v>
      </c>
      <c r="AB527" s="1">
        <f t="shared" si="39"/>
        <v>0</v>
      </c>
    </row>
    <row r="528" spans="25:28" ht="15.75" customHeight="1" x14ac:dyDescent="0.2">
      <c r="Y528" s="1">
        <f t="shared" si="36"/>
        <v>0</v>
      </c>
      <c r="Z528" s="1">
        <f t="shared" si="37"/>
        <v>0</v>
      </c>
      <c r="AA528" s="1">
        <f t="shared" si="38"/>
        <v>0</v>
      </c>
      <c r="AB528" s="1">
        <f t="shared" si="39"/>
        <v>0</v>
      </c>
    </row>
    <row r="529" spans="25:28" ht="15.75" customHeight="1" x14ac:dyDescent="0.2">
      <c r="Y529" s="1">
        <f t="shared" si="36"/>
        <v>0</v>
      </c>
      <c r="Z529" s="1">
        <f t="shared" si="37"/>
        <v>0</v>
      </c>
      <c r="AA529" s="1">
        <f t="shared" si="38"/>
        <v>0</v>
      </c>
      <c r="AB529" s="1">
        <f t="shared" si="39"/>
        <v>0</v>
      </c>
    </row>
    <row r="530" spans="25:28" ht="15.75" customHeight="1" x14ac:dyDescent="0.2">
      <c r="Y530" s="1">
        <f t="shared" si="36"/>
        <v>0</v>
      </c>
      <c r="Z530" s="1">
        <f t="shared" si="37"/>
        <v>0</v>
      </c>
      <c r="AA530" s="1">
        <f t="shared" si="38"/>
        <v>0</v>
      </c>
      <c r="AB530" s="1">
        <f t="shared" si="39"/>
        <v>0</v>
      </c>
    </row>
    <row r="531" spans="25:28" ht="15.75" customHeight="1" x14ac:dyDescent="0.2">
      <c r="Y531" s="1">
        <f t="shared" si="36"/>
        <v>0</v>
      </c>
      <c r="Z531" s="1">
        <f t="shared" si="37"/>
        <v>0</v>
      </c>
      <c r="AA531" s="1">
        <f t="shared" si="38"/>
        <v>0</v>
      </c>
      <c r="AB531" s="1">
        <f t="shared" si="39"/>
        <v>0</v>
      </c>
    </row>
    <row r="532" spans="25:28" ht="15.75" customHeight="1" x14ac:dyDescent="0.2">
      <c r="Y532" s="1">
        <f t="shared" si="36"/>
        <v>0</v>
      </c>
      <c r="Z532" s="1">
        <f t="shared" si="37"/>
        <v>0</v>
      </c>
      <c r="AA532" s="1">
        <f t="shared" si="38"/>
        <v>0</v>
      </c>
      <c r="AB532" s="1">
        <f t="shared" si="39"/>
        <v>0</v>
      </c>
    </row>
    <row r="533" spans="25:28" ht="15.75" customHeight="1" x14ac:dyDescent="0.2">
      <c r="Y533" s="1">
        <f t="shared" si="36"/>
        <v>0</v>
      </c>
      <c r="Z533" s="1">
        <f t="shared" si="37"/>
        <v>0</v>
      </c>
      <c r="AA533" s="1">
        <f t="shared" si="38"/>
        <v>0</v>
      </c>
      <c r="AB533" s="1">
        <f t="shared" si="39"/>
        <v>0</v>
      </c>
    </row>
    <row r="534" spans="25:28" ht="15.75" customHeight="1" x14ac:dyDescent="0.2">
      <c r="Y534" s="1">
        <f t="shared" si="36"/>
        <v>0</v>
      </c>
      <c r="Z534" s="1">
        <f t="shared" si="37"/>
        <v>0</v>
      </c>
      <c r="AA534" s="1">
        <f t="shared" si="38"/>
        <v>0</v>
      </c>
      <c r="AB534" s="1">
        <f t="shared" si="39"/>
        <v>0</v>
      </c>
    </row>
    <row r="535" spans="25:28" ht="15.75" customHeight="1" x14ac:dyDescent="0.2">
      <c r="Y535" s="1">
        <f t="shared" si="36"/>
        <v>0</v>
      </c>
      <c r="Z535" s="1">
        <f t="shared" si="37"/>
        <v>0</v>
      </c>
      <c r="AA535" s="1">
        <f t="shared" si="38"/>
        <v>0</v>
      </c>
      <c r="AB535" s="1">
        <f t="shared" si="39"/>
        <v>0</v>
      </c>
    </row>
    <row r="536" spans="25:28" ht="15.75" customHeight="1" x14ac:dyDescent="0.2">
      <c r="Y536" s="1">
        <f t="shared" si="36"/>
        <v>0</v>
      </c>
      <c r="Z536" s="1">
        <f t="shared" si="37"/>
        <v>0</v>
      </c>
      <c r="AA536" s="1">
        <f t="shared" si="38"/>
        <v>0</v>
      </c>
      <c r="AB536" s="1">
        <f t="shared" si="39"/>
        <v>0</v>
      </c>
    </row>
    <row r="537" spans="25:28" ht="15.75" customHeight="1" x14ac:dyDescent="0.2">
      <c r="Y537" s="1">
        <f t="shared" si="36"/>
        <v>0</v>
      </c>
      <c r="Z537" s="1">
        <f t="shared" si="37"/>
        <v>0</v>
      </c>
      <c r="AA537" s="1">
        <f t="shared" si="38"/>
        <v>0</v>
      </c>
      <c r="AB537" s="1">
        <f t="shared" si="39"/>
        <v>0</v>
      </c>
    </row>
    <row r="538" spans="25:28" ht="15.75" customHeight="1" x14ac:dyDescent="0.2">
      <c r="Y538" s="1">
        <f t="shared" si="36"/>
        <v>0</v>
      </c>
      <c r="Z538" s="1">
        <f t="shared" si="37"/>
        <v>0</v>
      </c>
      <c r="AA538" s="1">
        <f t="shared" si="38"/>
        <v>0</v>
      </c>
      <c r="AB538" s="1">
        <f t="shared" si="39"/>
        <v>0</v>
      </c>
    </row>
    <row r="539" spans="25:28" ht="15.75" customHeight="1" x14ac:dyDescent="0.2">
      <c r="Y539" s="1">
        <f t="shared" si="36"/>
        <v>0</v>
      </c>
      <c r="Z539" s="1">
        <f t="shared" si="37"/>
        <v>0</v>
      </c>
      <c r="AA539" s="1">
        <f t="shared" si="38"/>
        <v>0</v>
      </c>
      <c r="AB539" s="1">
        <f t="shared" si="39"/>
        <v>0</v>
      </c>
    </row>
    <row r="540" spans="25:28" ht="15.75" customHeight="1" x14ac:dyDescent="0.2">
      <c r="Y540" s="1">
        <f t="shared" si="36"/>
        <v>0</v>
      </c>
      <c r="Z540" s="1">
        <f t="shared" si="37"/>
        <v>0</v>
      </c>
      <c r="AA540" s="1">
        <f t="shared" si="38"/>
        <v>0</v>
      </c>
      <c r="AB540" s="1">
        <f t="shared" si="39"/>
        <v>0</v>
      </c>
    </row>
    <row r="541" spans="25:28" ht="15.75" customHeight="1" x14ac:dyDescent="0.2">
      <c r="Y541" s="1">
        <f t="shared" si="36"/>
        <v>0</v>
      </c>
      <c r="Z541" s="1">
        <f t="shared" si="37"/>
        <v>0</v>
      </c>
      <c r="AA541" s="1">
        <f t="shared" si="38"/>
        <v>0</v>
      </c>
      <c r="AB541" s="1">
        <f t="shared" si="39"/>
        <v>0</v>
      </c>
    </row>
    <row r="542" spans="25:28" ht="15.75" customHeight="1" x14ac:dyDescent="0.2">
      <c r="Y542" s="1">
        <f t="shared" si="36"/>
        <v>0</v>
      </c>
      <c r="Z542" s="1">
        <f t="shared" si="37"/>
        <v>0</v>
      </c>
      <c r="AA542" s="1">
        <f t="shared" si="38"/>
        <v>0</v>
      </c>
      <c r="AB542" s="1">
        <f t="shared" si="39"/>
        <v>0</v>
      </c>
    </row>
    <row r="543" spans="25:28" ht="15.75" customHeight="1" x14ac:dyDescent="0.2">
      <c r="Y543" s="1">
        <f t="shared" si="36"/>
        <v>0</v>
      </c>
      <c r="Z543" s="1">
        <f t="shared" si="37"/>
        <v>0</v>
      </c>
      <c r="AA543" s="1">
        <f t="shared" si="38"/>
        <v>0</v>
      </c>
      <c r="AB543" s="1">
        <f t="shared" si="39"/>
        <v>0</v>
      </c>
    </row>
    <row r="544" spans="25:28" ht="15.75" customHeight="1" x14ac:dyDescent="0.2">
      <c r="Y544" s="1">
        <f t="shared" si="36"/>
        <v>0</v>
      </c>
      <c r="Z544" s="1">
        <f t="shared" si="37"/>
        <v>0</v>
      </c>
      <c r="AA544" s="1">
        <f t="shared" si="38"/>
        <v>0</v>
      </c>
      <c r="AB544" s="1">
        <f t="shared" si="39"/>
        <v>0</v>
      </c>
    </row>
    <row r="545" spans="25:28" ht="15.75" customHeight="1" x14ac:dyDescent="0.2">
      <c r="Y545" s="1">
        <f t="shared" si="36"/>
        <v>0</v>
      </c>
      <c r="Z545" s="1">
        <f t="shared" si="37"/>
        <v>0</v>
      </c>
      <c r="AA545" s="1">
        <f t="shared" si="38"/>
        <v>0</v>
      </c>
      <c r="AB545" s="1">
        <f t="shared" si="39"/>
        <v>0</v>
      </c>
    </row>
    <row r="546" spans="25:28" ht="15.75" customHeight="1" x14ac:dyDescent="0.2">
      <c r="Y546" s="1">
        <f t="shared" si="36"/>
        <v>0</v>
      </c>
      <c r="Z546" s="1">
        <f t="shared" si="37"/>
        <v>0</v>
      </c>
      <c r="AA546" s="1">
        <f t="shared" si="38"/>
        <v>0</v>
      </c>
      <c r="AB546" s="1">
        <f t="shared" si="39"/>
        <v>0</v>
      </c>
    </row>
    <row r="547" spans="25:28" ht="15.75" customHeight="1" x14ac:dyDescent="0.2">
      <c r="Y547" s="1">
        <f t="shared" si="36"/>
        <v>0</v>
      </c>
      <c r="Z547" s="1">
        <f t="shared" si="37"/>
        <v>0</v>
      </c>
      <c r="AA547" s="1">
        <f t="shared" si="38"/>
        <v>0</v>
      </c>
      <c r="AB547" s="1">
        <f t="shared" si="39"/>
        <v>0</v>
      </c>
    </row>
    <row r="548" spans="25:28" ht="15.75" customHeight="1" x14ac:dyDescent="0.2">
      <c r="Y548" s="1">
        <f t="shared" si="36"/>
        <v>0</v>
      </c>
      <c r="Z548" s="1">
        <f t="shared" si="37"/>
        <v>0</v>
      </c>
      <c r="AA548" s="1">
        <f t="shared" si="38"/>
        <v>0</v>
      </c>
      <c r="AB548" s="1">
        <f t="shared" si="39"/>
        <v>0</v>
      </c>
    </row>
    <row r="549" spans="25:28" ht="15.75" customHeight="1" x14ac:dyDescent="0.2">
      <c r="Y549" s="1">
        <f t="shared" si="36"/>
        <v>0</v>
      </c>
      <c r="Z549" s="1">
        <f t="shared" si="37"/>
        <v>0</v>
      </c>
      <c r="AA549" s="1">
        <f t="shared" si="38"/>
        <v>0</v>
      </c>
      <c r="AB549" s="1">
        <f t="shared" si="39"/>
        <v>0</v>
      </c>
    </row>
    <row r="550" spans="25:28" ht="15.75" customHeight="1" x14ac:dyDescent="0.2">
      <c r="Y550" s="1">
        <f t="shared" si="36"/>
        <v>0</v>
      </c>
      <c r="Z550" s="1">
        <f t="shared" si="37"/>
        <v>0</v>
      </c>
      <c r="AA550" s="1">
        <f t="shared" si="38"/>
        <v>0</v>
      </c>
      <c r="AB550" s="1">
        <f t="shared" si="39"/>
        <v>0</v>
      </c>
    </row>
    <row r="551" spans="25:28" ht="15.75" customHeight="1" x14ac:dyDescent="0.2">
      <c r="Y551" s="1">
        <f t="shared" si="36"/>
        <v>0</v>
      </c>
      <c r="Z551" s="1">
        <f t="shared" si="37"/>
        <v>0</v>
      </c>
      <c r="AA551" s="1">
        <f t="shared" si="38"/>
        <v>0</v>
      </c>
      <c r="AB551" s="1">
        <f t="shared" si="39"/>
        <v>0</v>
      </c>
    </row>
    <row r="552" spans="25:28" ht="15.75" customHeight="1" x14ac:dyDescent="0.2">
      <c r="Y552" s="1">
        <f t="shared" si="36"/>
        <v>0</v>
      </c>
      <c r="Z552" s="1">
        <f t="shared" si="37"/>
        <v>0</v>
      </c>
      <c r="AA552" s="1">
        <f t="shared" si="38"/>
        <v>0</v>
      </c>
      <c r="AB552" s="1">
        <f t="shared" si="39"/>
        <v>0</v>
      </c>
    </row>
    <row r="553" spans="25:28" ht="15.75" customHeight="1" x14ac:dyDescent="0.2">
      <c r="Y553" s="1">
        <f t="shared" si="36"/>
        <v>0</v>
      </c>
      <c r="Z553" s="1">
        <f t="shared" si="37"/>
        <v>0</v>
      </c>
      <c r="AA553" s="1">
        <f t="shared" si="38"/>
        <v>0</v>
      </c>
      <c r="AB553" s="1">
        <f t="shared" si="39"/>
        <v>0</v>
      </c>
    </row>
    <row r="554" spans="25:28" ht="15.75" customHeight="1" x14ac:dyDescent="0.2">
      <c r="Y554" s="1">
        <f t="shared" si="36"/>
        <v>0</v>
      </c>
      <c r="Z554" s="1">
        <f t="shared" si="37"/>
        <v>0</v>
      </c>
      <c r="AA554" s="1">
        <f t="shared" si="38"/>
        <v>0</v>
      </c>
      <c r="AB554" s="1">
        <f t="shared" si="39"/>
        <v>0</v>
      </c>
    </row>
    <row r="555" spans="25:28" ht="15.75" customHeight="1" x14ac:dyDescent="0.2">
      <c r="Y555" s="1">
        <f t="shared" si="36"/>
        <v>0</v>
      </c>
      <c r="Z555" s="1">
        <f t="shared" si="37"/>
        <v>0</v>
      </c>
      <c r="AA555" s="1">
        <f t="shared" si="38"/>
        <v>0</v>
      </c>
      <c r="AB555" s="1">
        <f t="shared" si="39"/>
        <v>0</v>
      </c>
    </row>
    <row r="556" spans="25:28" ht="15.75" customHeight="1" x14ac:dyDescent="0.2">
      <c r="Y556" s="1">
        <f t="shared" si="36"/>
        <v>0</v>
      </c>
      <c r="Z556" s="1">
        <f t="shared" si="37"/>
        <v>0</v>
      </c>
      <c r="AA556" s="1">
        <f t="shared" si="38"/>
        <v>0</v>
      </c>
      <c r="AB556" s="1">
        <f t="shared" si="39"/>
        <v>0</v>
      </c>
    </row>
    <row r="557" spans="25:28" ht="15.75" customHeight="1" x14ac:dyDescent="0.2">
      <c r="Y557" s="1">
        <f t="shared" si="36"/>
        <v>0</v>
      </c>
      <c r="Z557" s="1">
        <f t="shared" si="37"/>
        <v>0</v>
      </c>
      <c r="AA557" s="1">
        <f t="shared" si="38"/>
        <v>0</v>
      </c>
      <c r="AB557" s="1">
        <f t="shared" si="39"/>
        <v>0</v>
      </c>
    </row>
    <row r="558" spans="25:28" ht="15.75" customHeight="1" x14ac:dyDescent="0.2">
      <c r="Y558" s="1">
        <f t="shared" si="36"/>
        <v>0</v>
      </c>
      <c r="Z558" s="1">
        <f t="shared" si="37"/>
        <v>0</v>
      </c>
      <c r="AA558" s="1">
        <f t="shared" si="38"/>
        <v>0</v>
      </c>
      <c r="AB558" s="1">
        <f t="shared" si="39"/>
        <v>0</v>
      </c>
    </row>
    <row r="559" spans="25:28" ht="15.75" customHeight="1" x14ac:dyDescent="0.2">
      <c r="Y559" s="1">
        <f t="shared" si="36"/>
        <v>0</v>
      </c>
      <c r="Z559" s="1">
        <f t="shared" si="37"/>
        <v>0</v>
      </c>
      <c r="AA559" s="1">
        <f t="shared" si="38"/>
        <v>0</v>
      </c>
      <c r="AB559" s="1">
        <f t="shared" si="39"/>
        <v>0</v>
      </c>
    </row>
    <row r="560" spans="25:28" ht="15.75" customHeight="1" x14ac:dyDescent="0.2">
      <c r="Y560" s="1">
        <f t="shared" si="36"/>
        <v>0</v>
      </c>
      <c r="Z560" s="1">
        <f t="shared" si="37"/>
        <v>0</v>
      </c>
      <c r="AA560" s="1">
        <f t="shared" si="38"/>
        <v>0</v>
      </c>
      <c r="AB560" s="1">
        <f t="shared" si="39"/>
        <v>0</v>
      </c>
    </row>
    <row r="561" spans="25:28" ht="15.75" customHeight="1" x14ac:dyDescent="0.2">
      <c r="Y561" s="1">
        <f t="shared" si="36"/>
        <v>0</v>
      </c>
      <c r="Z561" s="1">
        <f t="shared" si="37"/>
        <v>0</v>
      </c>
      <c r="AA561" s="1">
        <f t="shared" si="38"/>
        <v>0</v>
      </c>
      <c r="AB561" s="1">
        <f t="shared" si="39"/>
        <v>0</v>
      </c>
    </row>
    <row r="562" spans="25:28" ht="15.75" customHeight="1" x14ac:dyDescent="0.2">
      <c r="Y562" s="1">
        <f t="shared" si="36"/>
        <v>0</v>
      </c>
      <c r="Z562" s="1">
        <f t="shared" si="37"/>
        <v>0</v>
      </c>
      <c r="AA562" s="1">
        <f t="shared" si="38"/>
        <v>0</v>
      </c>
      <c r="AB562" s="1">
        <f t="shared" si="39"/>
        <v>0</v>
      </c>
    </row>
    <row r="563" spans="25:28" ht="15.75" customHeight="1" x14ac:dyDescent="0.2">
      <c r="Y563" s="1">
        <f t="shared" si="36"/>
        <v>0</v>
      </c>
      <c r="Z563" s="1">
        <f t="shared" si="37"/>
        <v>0</v>
      </c>
      <c r="AA563" s="1">
        <f t="shared" si="38"/>
        <v>0</v>
      </c>
      <c r="AB563" s="1">
        <f t="shared" si="39"/>
        <v>0</v>
      </c>
    </row>
    <row r="564" spans="25:28" ht="15.75" customHeight="1" x14ac:dyDescent="0.2">
      <c r="Y564" s="1">
        <f t="shared" si="36"/>
        <v>0</v>
      </c>
      <c r="Z564" s="1">
        <f t="shared" si="37"/>
        <v>0</v>
      </c>
      <c r="AA564" s="1">
        <f t="shared" si="38"/>
        <v>0</v>
      </c>
      <c r="AB564" s="1">
        <f t="shared" si="39"/>
        <v>0</v>
      </c>
    </row>
    <row r="565" spans="25:28" ht="15.75" customHeight="1" x14ac:dyDescent="0.2">
      <c r="Y565" s="1">
        <f t="shared" si="36"/>
        <v>0</v>
      </c>
      <c r="Z565" s="1">
        <f t="shared" si="37"/>
        <v>0</v>
      </c>
      <c r="AA565" s="1">
        <f t="shared" si="38"/>
        <v>0</v>
      </c>
      <c r="AB565" s="1">
        <f t="shared" si="39"/>
        <v>0</v>
      </c>
    </row>
    <row r="566" spans="25:28" ht="15.75" customHeight="1" x14ac:dyDescent="0.2">
      <c r="Y566" s="1">
        <f t="shared" si="36"/>
        <v>0</v>
      </c>
      <c r="Z566" s="1">
        <f t="shared" si="37"/>
        <v>0</v>
      </c>
      <c r="AA566" s="1">
        <f t="shared" si="38"/>
        <v>0</v>
      </c>
      <c r="AB566" s="1">
        <f t="shared" si="39"/>
        <v>0</v>
      </c>
    </row>
    <row r="567" spans="25:28" ht="15.75" customHeight="1" x14ac:dyDescent="0.2">
      <c r="Y567" s="1">
        <f t="shared" si="36"/>
        <v>0</v>
      </c>
      <c r="Z567" s="1">
        <f t="shared" si="37"/>
        <v>0</v>
      </c>
      <c r="AA567" s="1">
        <f t="shared" si="38"/>
        <v>0</v>
      </c>
      <c r="AB567" s="1">
        <f t="shared" si="39"/>
        <v>0</v>
      </c>
    </row>
    <row r="568" spans="25:28" ht="15.75" customHeight="1" x14ac:dyDescent="0.2">
      <c r="Y568" s="1">
        <f t="shared" si="36"/>
        <v>0</v>
      </c>
      <c r="Z568" s="1">
        <f t="shared" si="37"/>
        <v>0</v>
      </c>
      <c r="AA568" s="1">
        <f t="shared" si="38"/>
        <v>0</v>
      </c>
      <c r="AB568" s="1">
        <f t="shared" si="39"/>
        <v>0</v>
      </c>
    </row>
    <row r="569" spans="25:28" ht="15.75" customHeight="1" x14ac:dyDescent="0.2">
      <c r="Y569" s="1">
        <f t="shared" si="36"/>
        <v>0</v>
      </c>
      <c r="Z569" s="1">
        <f t="shared" si="37"/>
        <v>0</v>
      </c>
      <c r="AA569" s="1">
        <f t="shared" si="38"/>
        <v>0</v>
      </c>
      <c r="AB569" s="1">
        <f t="shared" si="39"/>
        <v>0</v>
      </c>
    </row>
    <row r="570" spans="25:28" ht="15.75" customHeight="1" x14ac:dyDescent="0.2">
      <c r="Y570" s="1">
        <f t="shared" si="36"/>
        <v>0</v>
      </c>
      <c r="Z570" s="1">
        <f t="shared" si="37"/>
        <v>0</v>
      </c>
      <c r="AA570" s="1">
        <f t="shared" si="38"/>
        <v>0</v>
      </c>
      <c r="AB570" s="1">
        <f t="shared" si="39"/>
        <v>0</v>
      </c>
    </row>
    <row r="571" spans="25:28" ht="15.75" customHeight="1" x14ac:dyDescent="0.2">
      <c r="Y571" s="1">
        <f t="shared" si="36"/>
        <v>0</v>
      </c>
      <c r="Z571" s="1">
        <f t="shared" si="37"/>
        <v>0</v>
      </c>
      <c r="AA571" s="1">
        <f t="shared" si="38"/>
        <v>0</v>
      </c>
      <c r="AB571" s="1">
        <f t="shared" si="39"/>
        <v>0</v>
      </c>
    </row>
    <row r="572" spans="25:28" ht="15.75" customHeight="1" x14ac:dyDescent="0.2">
      <c r="Y572" s="1">
        <f t="shared" si="36"/>
        <v>0</v>
      </c>
      <c r="Z572" s="1">
        <f t="shared" si="37"/>
        <v>0</v>
      </c>
      <c r="AA572" s="1">
        <f t="shared" si="38"/>
        <v>0</v>
      </c>
      <c r="AB572" s="1">
        <f t="shared" si="39"/>
        <v>0</v>
      </c>
    </row>
    <row r="573" spans="25:28" ht="15.75" customHeight="1" x14ac:dyDescent="0.2">
      <c r="Y573" s="1">
        <f t="shared" si="36"/>
        <v>0</v>
      </c>
      <c r="Z573" s="1">
        <f t="shared" si="37"/>
        <v>0</v>
      </c>
      <c r="AA573" s="1">
        <f t="shared" si="38"/>
        <v>0</v>
      </c>
      <c r="AB573" s="1">
        <f t="shared" si="39"/>
        <v>0</v>
      </c>
    </row>
    <row r="574" spans="25:28" ht="15.75" customHeight="1" x14ac:dyDescent="0.2">
      <c r="Y574" s="1">
        <f t="shared" si="36"/>
        <v>0</v>
      </c>
      <c r="Z574" s="1">
        <f t="shared" si="37"/>
        <v>0</v>
      </c>
      <c r="AA574" s="1">
        <f t="shared" si="38"/>
        <v>0</v>
      </c>
      <c r="AB574" s="1">
        <f t="shared" si="39"/>
        <v>0</v>
      </c>
    </row>
    <row r="575" spans="25:28" ht="15.75" customHeight="1" x14ac:dyDescent="0.2">
      <c r="Y575" s="1">
        <f t="shared" si="36"/>
        <v>0</v>
      </c>
      <c r="Z575" s="1">
        <f t="shared" si="37"/>
        <v>0</v>
      </c>
      <c r="AA575" s="1">
        <f t="shared" si="38"/>
        <v>0</v>
      </c>
      <c r="AB575" s="1">
        <f t="shared" si="39"/>
        <v>0</v>
      </c>
    </row>
    <row r="576" spans="25:28" ht="15.75" customHeight="1" x14ac:dyDescent="0.2">
      <c r="Y576" s="1">
        <f t="shared" si="36"/>
        <v>0</v>
      </c>
      <c r="Z576" s="1">
        <f t="shared" si="37"/>
        <v>0</v>
      </c>
      <c r="AA576" s="1">
        <f t="shared" si="38"/>
        <v>0</v>
      </c>
      <c r="AB576" s="1">
        <f t="shared" si="39"/>
        <v>0</v>
      </c>
    </row>
    <row r="577" spans="25:28" ht="15.75" customHeight="1" x14ac:dyDescent="0.2">
      <c r="Y577" s="1">
        <f t="shared" si="36"/>
        <v>0</v>
      </c>
      <c r="Z577" s="1">
        <f t="shared" si="37"/>
        <v>0</v>
      </c>
      <c r="AA577" s="1">
        <f t="shared" si="38"/>
        <v>0</v>
      </c>
      <c r="AB577" s="1">
        <f t="shared" si="39"/>
        <v>0</v>
      </c>
    </row>
    <row r="578" spans="25:28" ht="15.75" customHeight="1" x14ac:dyDescent="0.2">
      <c r="Y578" s="1">
        <f t="shared" si="36"/>
        <v>0</v>
      </c>
      <c r="Z578" s="1">
        <f t="shared" si="37"/>
        <v>0</v>
      </c>
      <c r="AA578" s="1">
        <f t="shared" si="38"/>
        <v>0</v>
      </c>
      <c r="AB578" s="1">
        <f t="shared" si="39"/>
        <v>0</v>
      </c>
    </row>
    <row r="579" spans="25:28" ht="15.75" customHeight="1" x14ac:dyDescent="0.2">
      <c r="Y579" s="1">
        <f t="shared" si="36"/>
        <v>0</v>
      </c>
      <c r="Z579" s="1">
        <f t="shared" si="37"/>
        <v>0</v>
      </c>
      <c r="AA579" s="1">
        <f t="shared" si="38"/>
        <v>0</v>
      </c>
      <c r="AB579" s="1">
        <f t="shared" si="39"/>
        <v>0</v>
      </c>
    </row>
    <row r="580" spans="25:28" ht="15.75" customHeight="1" x14ac:dyDescent="0.2">
      <c r="Y580" s="1">
        <f t="shared" si="36"/>
        <v>0</v>
      </c>
      <c r="Z580" s="1">
        <f t="shared" si="37"/>
        <v>0</v>
      </c>
      <c r="AA580" s="1">
        <f t="shared" si="38"/>
        <v>0</v>
      </c>
      <c r="AB580" s="1">
        <f t="shared" si="39"/>
        <v>0</v>
      </c>
    </row>
    <row r="581" spans="25:28" ht="15.75" customHeight="1" x14ac:dyDescent="0.2">
      <c r="Y581" s="1">
        <f t="shared" si="36"/>
        <v>0</v>
      </c>
      <c r="Z581" s="1">
        <f t="shared" si="37"/>
        <v>0</v>
      </c>
      <c r="AA581" s="1">
        <f t="shared" si="38"/>
        <v>0</v>
      </c>
      <c r="AB581" s="1">
        <f t="shared" si="39"/>
        <v>0</v>
      </c>
    </row>
    <row r="582" spans="25:28" ht="15.75" customHeight="1" x14ac:dyDescent="0.2">
      <c r="Y582" s="1">
        <f t="shared" si="36"/>
        <v>0</v>
      </c>
      <c r="Z582" s="1">
        <f t="shared" si="37"/>
        <v>0</v>
      </c>
      <c r="AA582" s="1">
        <f t="shared" si="38"/>
        <v>0</v>
      </c>
      <c r="AB582" s="1">
        <f t="shared" si="39"/>
        <v>0</v>
      </c>
    </row>
    <row r="583" spans="25:28" ht="15.75" customHeight="1" x14ac:dyDescent="0.2">
      <c r="Y583" s="1">
        <f t="shared" si="36"/>
        <v>0</v>
      </c>
      <c r="Z583" s="1">
        <f t="shared" si="37"/>
        <v>0</v>
      </c>
      <c r="AA583" s="1">
        <f t="shared" si="38"/>
        <v>0</v>
      </c>
      <c r="AB583" s="1">
        <f t="shared" si="39"/>
        <v>0</v>
      </c>
    </row>
    <row r="584" spans="25:28" ht="15.75" customHeight="1" x14ac:dyDescent="0.2">
      <c r="Y584" s="1">
        <f t="shared" si="36"/>
        <v>0</v>
      </c>
      <c r="Z584" s="1">
        <f t="shared" si="37"/>
        <v>0</v>
      </c>
      <c r="AA584" s="1">
        <f t="shared" si="38"/>
        <v>0</v>
      </c>
      <c r="AB584" s="1">
        <f t="shared" si="39"/>
        <v>0</v>
      </c>
    </row>
    <row r="585" spans="25:28" ht="15.75" customHeight="1" x14ac:dyDescent="0.2">
      <c r="Y585" s="1">
        <f t="shared" si="36"/>
        <v>0</v>
      </c>
      <c r="Z585" s="1">
        <f t="shared" si="37"/>
        <v>0</v>
      </c>
      <c r="AA585" s="1">
        <f t="shared" si="38"/>
        <v>0</v>
      </c>
      <c r="AB585" s="1">
        <f t="shared" si="39"/>
        <v>0</v>
      </c>
    </row>
    <row r="586" spans="25:28" ht="15.75" customHeight="1" x14ac:dyDescent="0.2">
      <c r="Y586" s="1">
        <f t="shared" si="36"/>
        <v>0</v>
      </c>
      <c r="Z586" s="1">
        <f t="shared" si="37"/>
        <v>0</v>
      </c>
      <c r="AA586" s="1">
        <f t="shared" si="38"/>
        <v>0</v>
      </c>
      <c r="AB586" s="1">
        <f t="shared" si="39"/>
        <v>0</v>
      </c>
    </row>
    <row r="587" spans="25:28" ht="15.75" customHeight="1" x14ac:dyDescent="0.2">
      <c r="Y587" s="1">
        <f t="shared" si="36"/>
        <v>0</v>
      </c>
      <c r="Z587" s="1">
        <f t="shared" si="37"/>
        <v>0</v>
      </c>
      <c r="AA587" s="1">
        <f t="shared" si="38"/>
        <v>0</v>
      </c>
      <c r="AB587" s="1">
        <f t="shared" si="39"/>
        <v>0</v>
      </c>
    </row>
    <row r="588" spans="25:28" ht="15.75" customHeight="1" x14ac:dyDescent="0.2">
      <c r="Y588" s="1">
        <f t="shared" si="36"/>
        <v>0</v>
      </c>
      <c r="Z588" s="1">
        <f t="shared" si="37"/>
        <v>0</v>
      </c>
      <c r="AA588" s="1">
        <f t="shared" si="38"/>
        <v>0</v>
      </c>
      <c r="AB588" s="1">
        <f t="shared" si="39"/>
        <v>0</v>
      </c>
    </row>
    <row r="589" spans="25:28" ht="15.75" customHeight="1" x14ac:dyDescent="0.2">
      <c r="Y589" s="1">
        <f t="shared" si="36"/>
        <v>0</v>
      </c>
      <c r="Z589" s="1">
        <f t="shared" si="37"/>
        <v>0</v>
      </c>
      <c r="AA589" s="1">
        <f t="shared" si="38"/>
        <v>0</v>
      </c>
      <c r="AB589" s="1">
        <f t="shared" si="39"/>
        <v>0</v>
      </c>
    </row>
    <row r="590" spans="25:28" ht="15.75" customHeight="1" x14ac:dyDescent="0.2">
      <c r="Y590" s="1">
        <f t="shared" ref="Y590:Y653" si="40">MAX(0,IFERROR((LEN($T591)-LEN(SUBSTITUTE($T591,"Quality of Works / Criteria of Failings:","")))/LEN("Quality of Works / Criteria of Failings:"),0)-IFERROR((LEN($T591)-LEN(SUBSTITUTE($T591,"Quality of Works / Criteria of Failings:Compliant","")))/LEN("Quality of Works / Criteria of Failings:Compliant"),0))</f>
        <v>0</v>
      </c>
      <c r="Z590" s="1">
        <f t="shared" ref="Z590:Z653" si="41">IFERROR($Y591/MAX(1,(LEN($I591)-LEN(SUBSTITUTE($I591," Ltd","")))/LEN(" Ltd")),0)</f>
        <v>0</v>
      </c>
      <c r="AA590" s="1">
        <f t="shared" ref="AA590:AA653" si="42">IFERROR(IFERROR((LEN($T591)-LEN(SUBSTITUTE($T591,"Quality of Works / Criteria of Failings:","")))/LEN("Quality of Works / Criteria of Failings:"),0)/MAX(1,(LEN($I591)-LEN(SUBSTITUTE($I591," Ltd","")))/LEN(" Ltd")),0)</f>
        <v>0</v>
      </c>
      <c r="AB590" s="1">
        <f t="shared" ref="AB590:AB653" si="43">IFERROR(IFERROR((LEN($T591)-LEN(SUBSTITUTE($T591,"Quality of Works / Criteria of Failings:Compliant","")))/LEN("Quality of Works / Criteria of Failings:Compliant"),0)/MAX(1,(LEN($I591)-LEN(SUBSTITUTE($I591," Ltd","")))/LEN(" Ltd")),0)</f>
        <v>0</v>
      </c>
    </row>
    <row r="591" spans="25:28" ht="15.75" customHeight="1" x14ac:dyDescent="0.2">
      <c r="Y591" s="1">
        <f t="shared" si="40"/>
        <v>0</v>
      </c>
      <c r="Z591" s="1">
        <f t="shared" si="41"/>
        <v>0</v>
      </c>
      <c r="AA591" s="1">
        <f t="shared" si="42"/>
        <v>0</v>
      </c>
      <c r="AB591" s="1">
        <f t="shared" si="43"/>
        <v>0</v>
      </c>
    </row>
    <row r="592" spans="25:28" ht="15.75" customHeight="1" x14ac:dyDescent="0.2">
      <c r="Y592" s="1">
        <f t="shared" si="40"/>
        <v>0</v>
      </c>
      <c r="Z592" s="1">
        <f t="shared" si="41"/>
        <v>0</v>
      </c>
      <c r="AA592" s="1">
        <f t="shared" si="42"/>
        <v>0</v>
      </c>
      <c r="AB592" s="1">
        <f t="shared" si="43"/>
        <v>0</v>
      </c>
    </row>
    <row r="593" spans="25:28" ht="15.75" customHeight="1" x14ac:dyDescent="0.2">
      <c r="Y593" s="1">
        <f t="shared" si="40"/>
        <v>0</v>
      </c>
      <c r="Z593" s="1">
        <f t="shared" si="41"/>
        <v>0</v>
      </c>
      <c r="AA593" s="1">
        <f t="shared" si="42"/>
        <v>0</v>
      </c>
      <c r="AB593" s="1">
        <f t="shared" si="43"/>
        <v>0</v>
      </c>
    </row>
    <row r="594" spans="25:28" ht="15.75" customHeight="1" x14ac:dyDescent="0.2">
      <c r="Y594" s="1">
        <f t="shared" si="40"/>
        <v>0</v>
      </c>
      <c r="Z594" s="1">
        <f t="shared" si="41"/>
        <v>0</v>
      </c>
      <c r="AA594" s="1">
        <f t="shared" si="42"/>
        <v>0</v>
      </c>
      <c r="AB594" s="1">
        <f t="shared" si="43"/>
        <v>0</v>
      </c>
    </row>
    <row r="595" spans="25:28" ht="15.75" customHeight="1" x14ac:dyDescent="0.2">
      <c r="Y595" s="1">
        <f t="shared" si="40"/>
        <v>0</v>
      </c>
      <c r="Z595" s="1">
        <f t="shared" si="41"/>
        <v>0</v>
      </c>
      <c r="AA595" s="1">
        <f t="shared" si="42"/>
        <v>0</v>
      </c>
      <c r="AB595" s="1">
        <f t="shared" si="43"/>
        <v>0</v>
      </c>
    </row>
    <row r="596" spans="25:28" ht="15.75" customHeight="1" x14ac:dyDescent="0.2">
      <c r="Y596" s="1">
        <f t="shared" si="40"/>
        <v>0</v>
      </c>
      <c r="Z596" s="1">
        <f t="shared" si="41"/>
        <v>0</v>
      </c>
      <c r="AA596" s="1">
        <f t="shared" si="42"/>
        <v>0</v>
      </c>
      <c r="AB596" s="1">
        <f t="shared" si="43"/>
        <v>0</v>
      </c>
    </row>
    <row r="597" spans="25:28" ht="15.75" customHeight="1" x14ac:dyDescent="0.2">
      <c r="Y597" s="1">
        <f t="shared" si="40"/>
        <v>0</v>
      </c>
      <c r="Z597" s="1">
        <f t="shared" si="41"/>
        <v>0</v>
      </c>
      <c r="AA597" s="1">
        <f t="shared" si="42"/>
        <v>0</v>
      </c>
      <c r="AB597" s="1">
        <f t="shared" si="43"/>
        <v>0</v>
      </c>
    </row>
    <row r="598" spans="25:28" ht="15.75" customHeight="1" x14ac:dyDescent="0.2">
      <c r="Y598" s="1">
        <f t="shared" si="40"/>
        <v>0</v>
      </c>
      <c r="Z598" s="1">
        <f t="shared" si="41"/>
        <v>0</v>
      </c>
      <c r="AA598" s="1">
        <f t="shared" si="42"/>
        <v>0</v>
      </c>
      <c r="AB598" s="1">
        <f t="shared" si="43"/>
        <v>0</v>
      </c>
    </row>
    <row r="599" spans="25:28" ht="15.75" customHeight="1" x14ac:dyDescent="0.2">
      <c r="Y599" s="1">
        <f t="shared" si="40"/>
        <v>0</v>
      </c>
      <c r="Z599" s="1">
        <f t="shared" si="41"/>
        <v>0</v>
      </c>
      <c r="AA599" s="1">
        <f t="shared" si="42"/>
        <v>0</v>
      </c>
      <c r="AB599" s="1">
        <f t="shared" si="43"/>
        <v>0</v>
      </c>
    </row>
    <row r="600" spans="25:28" ht="15.75" customHeight="1" x14ac:dyDescent="0.2">
      <c r="Y600" s="1">
        <f t="shared" si="40"/>
        <v>0</v>
      </c>
      <c r="Z600" s="1">
        <f t="shared" si="41"/>
        <v>0</v>
      </c>
      <c r="AA600" s="1">
        <f t="shared" si="42"/>
        <v>0</v>
      </c>
      <c r="AB600" s="1">
        <f t="shared" si="43"/>
        <v>0</v>
      </c>
    </row>
    <row r="601" spans="25:28" ht="15.75" customHeight="1" x14ac:dyDescent="0.2">
      <c r="Y601" s="1">
        <f t="shared" si="40"/>
        <v>0</v>
      </c>
      <c r="Z601" s="1">
        <f t="shared" si="41"/>
        <v>0</v>
      </c>
      <c r="AA601" s="1">
        <f t="shared" si="42"/>
        <v>0</v>
      </c>
      <c r="AB601" s="1">
        <f t="shared" si="43"/>
        <v>0</v>
      </c>
    </row>
    <row r="602" spans="25:28" ht="15.75" customHeight="1" x14ac:dyDescent="0.2">
      <c r="Y602" s="1">
        <f t="shared" si="40"/>
        <v>0</v>
      </c>
      <c r="Z602" s="1">
        <f t="shared" si="41"/>
        <v>0</v>
      </c>
      <c r="AA602" s="1">
        <f t="shared" si="42"/>
        <v>0</v>
      </c>
      <c r="AB602" s="1">
        <f t="shared" si="43"/>
        <v>0</v>
      </c>
    </row>
    <row r="603" spans="25:28" ht="15.75" customHeight="1" x14ac:dyDescent="0.2">
      <c r="Y603" s="1">
        <f t="shared" si="40"/>
        <v>0</v>
      </c>
      <c r="Z603" s="1">
        <f t="shared" si="41"/>
        <v>0</v>
      </c>
      <c r="AA603" s="1">
        <f t="shared" si="42"/>
        <v>0</v>
      </c>
      <c r="AB603" s="1">
        <f t="shared" si="43"/>
        <v>0</v>
      </c>
    </row>
    <row r="604" spans="25:28" ht="15.75" customHeight="1" x14ac:dyDescent="0.2">
      <c r="Y604" s="1">
        <f t="shared" si="40"/>
        <v>0</v>
      </c>
      <c r="Z604" s="1">
        <f t="shared" si="41"/>
        <v>0</v>
      </c>
      <c r="AA604" s="1">
        <f t="shared" si="42"/>
        <v>0</v>
      </c>
      <c r="AB604" s="1">
        <f t="shared" si="43"/>
        <v>0</v>
      </c>
    </row>
    <row r="605" spans="25:28" ht="15.75" customHeight="1" x14ac:dyDescent="0.2">
      <c r="Y605" s="1">
        <f t="shared" si="40"/>
        <v>0</v>
      </c>
      <c r="Z605" s="1">
        <f t="shared" si="41"/>
        <v>0</v>
      </c>
      <c r="AA605" s="1">
        <f t="shared" si="42"/>
        <v>0</v>
      </c>
      <c r="AB605" s="1">
        <f t="shared" si="43"/>
        <v>0</v>
      </c>
    </row>
    <row r="606" spans="25:28" ht="15.75" customHeight="1" x14ac:dyDescent="0.2">
      <c r="Y606" s="1">
        <f t="shared" si="40"/>
        <v>0</v>
      </c>
      <c r="Z606" s="1">
        <f t="shared" si="41"/>
        <v>0</v>
      </c>
      <c r="AA606" s="1">
        <f t="shared" si="42"/>
        <v>0</v>
      </c>
      <c r="AB606" s="1">
        <f t="shared" si="43"/>
        <v>0</v>
      </c>
    </row>
    <row r="607" spans="25:28" ht="15.75" customHeight="1" x14ac:dyDescent="0.2">
      <c r="Y607" s="1">
        <f t="shared" si="40"/>
        <v>0</v>
      </c>
      <c r="Z607" s="1">
        <f t="shared" si="41"/>
        <v>0</v>
      </c>
      <c r="AA607" s="1">
        <f t="shared" si="42"/>
        <v>0</v>
      </c>
      <c r="AB607" s="1">
        <f t="shared" si="43"/>
        <v>0</v>
      </c>
    </row>
    <row r="608" spans="25:28" ht="15.75" customHeight="1" x14ac:dyDescent="0.2">
      <c r="Y608" s="1">
        <f t="shared" si="40"/>
        <v>0</v>
      </c>
      <c r="Z608" s="1">
        <f t="shared" si="41"/>
        <v>0</v>
      </c>
      <c r="AA608" s="1">
        <f t="shared" si="42"/>
        <v>0</v>
      </c>
      <c r="AB608" s="1">
        <f t="shared" si="43"/>
        <v>0</v>
      </c>
    </row>
    <row r="609" spans="25:28" ht="15.75" customHeight="1" x14ac:dyDescent="0.2">
      <c r="Y609" s="1">
        <f t="shared" si="40"/>
        <v>0</v>
      </c>
      <c r="Z609" s="1">
        <f t="shared" si="41"/>
        <v>0</v>
      </c>
      <c r="AA609" s="1">
        <f t="shared" si="42"/>
        <v>0</v>
      </c>
      <c r="AB609" s="1">
        <f t="shared" si="43"/>
        <v>0</v>
      </c>
    </row>
    <row r="610" spans="25:28" ht="15.75" customHeight="1" x14ac:dyDescent="0.2">
      <c r="Y610" s="1">
        <f t="shared" si="40"/>
        <v>0</v>
      </c>
      <c r="Z610" s="1">
        <f t="shared" si="41"/>
        <v>0</v>
      </c>
      <c r="AA610" s="1">
        <f t="shared" si="42"/>
        <v>0</v>
      </c>
      <c r="AB610" s="1">
        <f t="shared" si="43"/>
        <v>0</v>
      </c>
    </row>
    <row r="611" spans="25:28" ht="15.75" customHeight="1" x14ac:dyDescent="0.2">
      <c r="Y611" s="1">
        <f t="shared" si="40"/>
        <v>0</v>
      </c>
      <c r="Z611" s="1">
        <f t="shared" si="41"/>
        <v>0</v>
      </c>
      <c r="AA611" s="1">
        <f t="shared" si="42"/>
        <v>0</v>
      </c>
      <c r="AB611" s="1">
        <f t="shared" si="43"/>
        <v>0</v>
      </c>
    </row>
    <row r="612" spans="25:28" ht="15.75" customHeight="1" x14ac:dyDescent="0.2">
      <c r="Y612" s="1">
        <f t="shared" si="40"/>
        <v>0</v>
      </c>
      <c r="Z612" s="1">
        <f t="shared" si="41"/>
        <v>0</v>
      </c>
      <c r="AA612" s="1">
        <f t="shared" si="42"/>
        <v>0</v>
      </c>
      <c r="AB612" s="1">
        <f t="shared" si="43"/>
        <v>0</v>
      </c>
    </row>
    <row r="613" spans="25:28" ht="15.75" customHeight="1" x14ac:dyDescent="0.2">
      <c r="Y613" s="1">
        <f t="shared" si="40"/>
        <v>0</v>
      </c>
      <c r="Z613" s="1">
        <f t="shared" si="41"/>
        <v>0</v>
      </c>
      <c r="AA613" s="1">
        <f t="shared" si="42"/>
        <v>0</v>
      </c>
      <c r="AB613" s="1">
        <f t="shared" si="43"/>
        <v>0</v>
      </c>
    </row>
    <row r="614" spans="25:28" ht="15.75" customHeight="1" x14ac:dyDescent="0.2">
      <c r="Y614" s="1">
        <f t="shared" si="40"/>
        <v>0</v>
      </c>
      <c r="Z614" s="1">
        <f t="shared" si="41"/>
        <v>0</v>
      </c>
      <c r="AA614" s="1">
        <f t="shared" si="42"/>
        <v>0</v>
      </c>
      <c r="AB614" s="1">
        <f t="shared" si="43"/>
        <v>0</v>
      </c>
    </row>
    <row r="615" spans="25:28" ht="15.75" customHeight="1" x14ac:dyDescent="0.2">
      <c r="Y615" s="1">
        <f t="shared" si="40"/>
        <v>0</v>
      </c>
      <c r="Z615" s="1">
        <f t="shared" si="41"/>
        <v>0</v>
      </c>
      <c r="AA615" s="1">
        <f t="shared" si="42"/>
        <v>0</v>
      </c>
      <c r="AB615" s="1">
        <f t="shared" si="43"/>
        <v>0</v>
      </c>
    </row>
    <row r="616" spans="25:28" ht="15.75" customHeight="1" x14ac:dyDescent="0.2">
      <c r="Y616" s="1">
        <f t="shared" si="40"/>
        <v>0</v>
      </c>
      <c r="Z616" s="1">
        <f t="shared" si="41"/>
        <v>0</v>
      </c>
      <c r="AA616" s="1">
        <f t="shared" si="42"/>
        <v>0</v>
      </c>
      <c r="AB616" s="1">
        <f t="shared" si="43"/>
        <v>0</v>
      </c>
    </row>
    <row r="617" spans="25:28" ht="15.75" customHeight="1" x14ac:dyDescent="0.2">
      <c r="Y617" s="1">
        <f t="shared" si="40"/>
        <v>0</v>
      </c>
      <c r="Z617" s="1">
        <f t="shared" si="41"/>
        <v>0</v>
      </c>
      <c r="AA617" s="1">
        <f t="shared" si="42"/>
        <v>0</v>
      </c>
      <c r="AB617" s="1">
        <f t="shared" si="43"/>
        <v>0</v>
      </c>
    </row>
    <row r="618" spans="25:28" ht="15.75" customHeight="1" x14ac:dyDescent="0.2">
      <c r="Y618" s="1">
        <f t="shared" si="40"/>
        <v>0</v>
      </c>
      <c r="Z618" s="1">
        <f t="shared" si="41"/>
        <v>0</v>
      </c>
      <c r="AA618" s="1">
        <f t="shared" si="42"/>
        <v>0</v>
      </c>
      <c r="AB618" s="1">
        <f t="shared" si="43"/>
        <v>0</v>
      </c>
    </row>
    <row r="619" spans="25:28" ht="15.75" customHeight="1" x14ac:dyDescent="0.2">
      <c r="Y619" s="1">
        <f t="shared" si="40"/>
        <v>0</v>
      </c>
      <c r="Z619" s="1">
        <f t="shared" si="41"/>
        <v>0</v>
      </c>
      <c r="AA619" s="1">
        <f t="shared" si="42"/>
        <v>0</v>
      </c>
      <c r="AB619" s="1">
        <f t="shared" si="43"/>
        <v>0</v>
      </c>
    </row>
    <row r="620" spans="25:28" ht="15.75" customHeight="1" x14ac:dyDescent="0.2">
      <c r="Y620" s="1">
        <f t="shared" si="40"/>
        <v>0</v>
      </c>
      <c r="Z620" s="1">
        <f t="shared" si="41"/>
        <v>0</v>
      </c>
      <c r="AA620" s="1">
        <f t="shared" si="42"/>
        <v>0</v>
      </c>
      <c r="AB620" s="1">
        <f t="shared" si="43"/>
        <v>0</v>
      </c>
    </row>
    <row r="621" spans="25:28" ht="15.75" customHeight="1" x14ac:dyDescent="0.2">
      <c r="Y621" s="1">
        <f t="shared" si="40"/>
        <v>0</v>
      </c>
      <c r="Z621" s="1">
        <f t="shared" si="41"/>
        <v>0</v>
      </c>
      <c r="AA621" s="1">
        <f t="shared" si="42"/>
        <v>0</v>
      </c>
      <c r="AB621" s="1">
        <f t="shared" si="43"/>
        <v>0</v>
      </c>
    </row>
    <row r="622" spans="25:28" ht="15.75" customHeight="1" x14ac:dyDescent="0.2">
      <c r="Y622" s="1">
        <f t="shared" si="40"/>
        <v>0</v>
      </c>
      <c r="Z622" s="1">
        <f t="shared" si="41"/>
        <v>0</v>
      </c>
      <c r="AA622" s="1">
        <f t="shared" si="42"/>
        <v>0</v>
      </c>
      <c r="AB622" s="1">
        <f t="shared" si="43"/>
        <v>0</v>
      </c>
    </row>
    <row r="623" spans="25:28" ht="15.75" customHeight="1" x14ac:dyDescent="0.2">
      <c r="Y623" s="1">
        <f t="shared" si="40"/>
        <v>0</v>
      </c>
      <c r="Z623" s="1">
        <f t="shared" si="41"/>
        <v>0</v>
      </c>
      <c r="AA623" s="1">
        <f t="shared" si="42"/>
        <v>0</v>
      </c>
      <c r="AB623" s="1">
        <f t="shared" si="43"/>
        <v>0</v>
      </c>
    </row>
    <row r="624" spans="25:28" ht="15.75" customHeight="1" x14ac:dyDescent="0.2">
      <c r="Y624" s="1">
        <f t="shared" si="40"/>
        <v>0</v>
      </c>
      <c r="Z624" s="1">
        <f t="shared" si="41"/>
        <v>0</v>
      </c>
      <c r="AA624" s="1">
        <f t="shared" si="42"/>
        <v>0</v>
      </c>
      <c r="AB624" s="1">
        <f t="shared" si="43"/>
        <v>0</v>
      </c>
    </row>
    <row r="625" spans="25:28" ht="15.75" customHeight="1" x14ac:dyDescent="0.2">
      <c r="Y625" s="1">
        <f t="shared" si="40"/>
        <v>0</v>
      </c>
      <c r="Z625" s="1">
        <f t="shared" si="41"/>
        <v>0</v>
      </c>
      <c r="AA625" s="1">
        <f t="shared" si="42"/>
        <v>0</v>
      </c>
      <c r="AB625" s="1">
        <f t="shared" si="43"/>
        <v>0</v>
      </c>
    </row>
    <row r="626" spans="25:28" ht="15.75" customHeight="1" x14ac:dyDescent="0.2">
      <c r="Y626" s="1">
        <f t="shared" si="40"/>
        <v>0</v>
      </c>
      <c r="Z626" s="1">
        <f t="shared" si="41"/>
        <v>0</v>
      </c>
      <c r="AA626" s="1">
        <f t="shared" si="42"/>
        <v>0</v>
      </c>
      <c r="AB626" s="1">
        <f t="shared" si="43"/>
        <v>0</v>
      </c>
    </row>
    <row r="627" spans="25:28" ht="15.75" customHeight="1" x14ac:dyDescent="0.2">
      <c r="Y627" s="1">
        <f t="shared" si="40"/>
        <v>0</v>
      </c>
      <c r="Z627" s="1">
        <f t="shared" si="41"/>
        <v>0</v>
      </c>
      <c r="AA627" s="1">
        <f t="shared" si="42"/>
        <v>0</v>
      </c>
      <c r="AB627" s="1">
        <f t="shared" si="43"/>
        <v>0</v>
      </c>
    </row>
    <row r="628" spans="25:28" ht="15.75" customHeight="1" x14ac:dyDescent="0.2">
      <c r="Y628" s="1">
        <f t="shared" si="40"/>
        <v>0</v>
      </c>
      <c r="Z628" s="1">
        <f t="shared" si="41"/>
        <v>0</v>
      </c>
      <c r="AA628" s="1">
        <f t="shared" si="42"/>
        <v>0</v>
      </c>
      <c r="AB628" s="1">
        <f t="shared" si="43"/>
        <v>0</v>
      </c>
    </row>
    <row r="629" spans="25:28" ht="15.75" customHeight="1" x14ac:dyDescent="0.2">
      <c r="Y629" s="1">
        <f t="shared" si="40"/>
        <v>0</v>
      </c>
      <c r="Z629" s="1">
        <f t="shared" si="41"/>
        <v>0</v>
      </c>
      <c r="AA629" s="1">
        <f t="shared" si="42"/>
        <v>0</v>
      </c>
      <c r="AB629" s="1">
        <f t="shared" si="43"/>
        <v>0</v>
      </c>
    </row>
    <row r="630" spans="25:28" ht="15.75" customHeight="1" x14ac:dyDescent="0.2">
      <c r="Y630" s="1">
        <f t="shared" si="40"/>
        <v>0</v>
      </c>
      <c r="Z630" s="1">
        <f t="shared" si="41"/>
        <v>0</v>
      </c>
      <c r="AA630" s="1">
        <f t="shared" si="42"/>
        <v>0</v>
      </c>
      <c r="AB630" s="1">
        <f t="shared" si="43"/>
        <v>0</v>
      </c>
    </row>
    <row r="631" spans="25:28" ht="15.75" customHeight="1" x14ac:dyDescent="0.2">
      <c r="Y631" s="1">
        <f t="shared" si="40"/>
        <v>0</v>
      </c>
      <c r="Z631" s="1">
        <f t="shared" si="41"/>
        <v>0</v>
      </c>
      <c r="AA631" s="1">
        <f t="shared" si="42"/>
        <v>0</v>
      </c>
      <c r="AB631" s="1">
        <f t="shared" si="43"/>
        <v>0</v>
      </c>
    </row>
    <row r="632" spans="25:28" ht="15.75" customHeight="1" x14ac:dyDescent="0.2">
      <c r="Y632" s="1">
        <f t="shared" si="40"/>
        <v>0</v>
      </c>
      <c r="Z632" s="1">
        <f t="shared" si="41"/>
        <v>0</v>
      </c>
      <c r="AA632" s="1">
        <f t="shared" si="42"/>
        <v>0</v>
      </c>
      <c r="AB632" s="1">
        <f t="shared" si="43"/>
        <v>0</v>
      </c>
    </row>
    <row r="633" spans="25:28" ht="15.75" customHeight="1" x14ac:dyDescent="0.2">
      <c r="Y633" s="1">
        <f t="shared" si="40"/>
        <v>0</v>
      </c>
      <c r="Z633" s="1">
        <f t="shared" si="41"/>
        <v>0</v>
      </c>
      <c r="AA633" s="1">
        <f t="shared" si="42"/>
        <v>0</v>
      </c>
      <c r="AB633" s="1">
        <f t="shared" si="43"/>
        <v>0</v>
      </c>
    </row>
    <row r="634" spans="25:28" ht="15.75" customHeight="1" x14ac:dyDescent="0.2">
      <c r="Y634" s="1">
        <f t="shared" si="40"/>
        <v>0</v>
      </c>
      <c r="Z634" s="1">
        <f t="shared" si="41"/>
        <v>0</v>
      </c>
      <c r="AA634" s="1">
        <f t="shared" si="42"/>
        <v>0</v>
      </c>
      <c r="AB634" s="1">
        <f t="shared" si="43"/>
        <v>0</v>
      </c>
    </row>
    <row r="635" spans="25:28" ht="15.75" customHeight="1" x14ac:dyDescent="0.2">
      <c r="Y635" s="1">
        <f t="shared" si="40"/>
        <v>0</v>
      </c>
      <c r="Z635" s="1">
        <f t="shared" si="41"/>
        <v>0</v>
      </c>
      <c r="AA635" s="1">
        <f t="shared" si="42"/>
        <v>0</v>
      </c>
      <c r="AB635" s="1">
        <f t="shared" si="43"/>
        <v>0</v>
      </c>
    </row>
    <row r="636" spans="25:28" ht="15.75" customHeight="1" x14ac:dyDescent="0.2">
      <c r="Y636" s="1">
        <f t="shared" si="40"/>
        <v>0</v>
      </c>
      <c r="Z636" s="1">
        <f t="shared" si="41"/>
        <v>0</v>
      </c>
      <c r="AA636" s="1">
        <f t="shared" si="42"/>
        <v>0</v>
      </c>
      <c r="AB636" s="1">
        <f t="shared" si="43"/>
        <v>0</v>
      </c>
    </row>
    <row r="637" spans="25:28" ht="15.75" customHeight="1" x14ac:dyDescent="0.2">
      <c r="Y637" s="1">
        <f t="shared" si="40"/>
        <v>0</v>
      </c>
      <c r="Z637" s="1">
        <f t="shared" si="41"/>
        <v>0</v>
      </c>
      <c r="AA637" s="1">
        <f t="shared" si="42"/>
        <v>0</v>
      </c>
      <c r="AB637" s="1">
        <f t="shared" si="43"/>
        <v>0</v>
      </c>
    </row>
    <row r="638" spans="25:28" ht="15.75" customHeight="1" x14ac:dyDescent="0.2">
      <c r="Y638" s="1">
        <f t="shared" si="40"/>
        <v>0</v>
      </c>
      <c r="Z638" s="1">
        <f t="shared" si="41"/>
        <v>0</v>
      </c>
      <c r="AA638" s="1">
        <f t="shared" si="42"/>
        <v>0</v>
      </c>
      <c r="AB638" s="1">
        <f t="shared" si="43"/>
        <v>0</v>
      </c>
    </row>
    <row r="639" spans="25:28" ht="15.75" customHeight="1" x14ac:dyDescent="0.2">
      <c r="Y639" s="1">
        <f t="shared" si="40"/>
        <v>0</v>
      </c>
      <c r="Z639" s="1">
        <f t="shared" si="41"/>
        <v>0</v>
      </c>
      <c r="AA639" s="1">
        <f t="shared" si="42"/>
        <v>0</v>
      </c>
      <c r="AB639" s="1">
        <f t="shared" si="43"/>
        <v>0</v>
      </c>
    </row>
    <row r="640" spans="25:28" ht="15.75" customHeight="1" x14ac:dyDescent="0.2">
      <c r="Y640" s="1">
        <f t="shared" si="40"/>
        <v>0</v>
      </c>
      <c r="Z640" s="1">
        <f t="shared" si="41"/>
        <v>0</v>
      </c>
      <c r="AA640" s="1">
        <f t="shared" si="42"/>
        <v>0</v>
      </c>
      <c r="AB640" s="1">
        <f t="shared" si="43"/>
        <v>0</v>
      </c>
    </row>
    <row r="641" spans="25:28" ht="15.75" customHeight="1" x14ac:dyDescent="0.2">
      <c r="Y641" s="1">
        <f t="shared" si="40"/>
        <v>0</v>
      </c>
      <c r="Z641" s="1">
        <f t="shared" si="41"/>
        <v>0</v>
      </c>
      <c r="AA641" s="1">
        <f t="shared" si="42"/>
        <v>0</v>
      </c>
      <c r="AB641" s="1">
        <f t="shared" si="43"/>
        <v>0</v>
      </c>
    </row>
    <row r="642" spans="25:28" ht="15.75" customHeight="1" x14ac:dyDescent="0.2">
      <c r="Y642" s="1">
        <f t="shared" si="40"/>
        <v>0</v>
      </c>
      <c r="Z642" s="1">
        <f t="shared" si="41"/>
        <v>0</v>
      </c>
      <c r="AA642" s="1">
        <f t="shared" si="42"/>
        <v>0</v>
      </c>
      <c r="AB642" s="1">
        <f t="shared" si="43"/>
        <v>0</v>
      </c>
    </row>
    <row r="643" spans="25:28" ht="15.75" customHeight="1" x14ac:dyDescent="0.2">
      <c r="Y643" s="1">
        <f t="shared" si="40"/>
        <v>0</v>
      </c>
      <c r="Z643" s="1">
        <f t="shared" si="41"/>
        <v>0</v>
      </c>
      <c r="AA643" s="1">
        <f t="shared" si="42"/>
        <v>0</v>
      </c>
      <c r="AB643" s="1">
        <f t="shared" si="43"/>
        <v>0</v>
      </c>
    </row>
    <row r="644" spans="25:28" ht="15.75" customHeight="1" x14ac:dyDescent="0.2">
      <c r="Y644" s="1">
        <f t="shared" si="40"/>
        <v>0</v>
      </c>
      <c r="Z644" s="1">
        <f t="shared" si="41"/>
        <v>0</v>
      </c>
      <c r="AA644" s="1">
        <f t="shared" si="42"/>
        <v>0</v>
      </c>
      <c r="AB644" s="1">
        <f t="shared" si="43"/>
        <v>0</v>
      </c>
    </row>
    <row r="645" spans="25:28" ht="15.75" customHeight="1" x14ac:dyDescent="0.2">
      <c r="Y645" s="1">
        <f t="shared" si="40"/>
        <v>0</v>
      </c>
      <c r="Z645" s="1">
        <f t="shared" si="41"/>
        <v>0</v>
      </c>
      <c r="AA645" s="1">
        <f t="shared" si="42"/>
        <v>0</v>
      </c>
      <c r="AB645" s="1">
        <f t="shared" si="43"/>
        <v>0</v>
      </c>
    </row>
    <row r="646" spans="25:28" ht="15.75" customHeight="1" x14ac:dyDescent="0.2">
      <c r="Y646" s="1">
        <f t="shared" si="40"/>
        <v>0</v>
      </c>
      <c r="Z646" s="1">
        <f t="shared" si="41"/>
        <v>0</v>
      </c>
      <c r="AA646" s="1">
        <f t="shared" si="42"/>
        <v>0</v>
      </c>
      <c r="AB646" s="1">
        <f t="shared" si="43"/>
        <v>0</v>
      </c>
    </row>
    <row r="647" spans="25:28" ht="15.75" customHeight="1" x14ac:dyDescent="0.2">
      <c r="Y647" s="1">
        <f t="shared" si="40"/>
        <v>0</v>
      </c>
      <c r="Z647" s="1">
        <f t="shared" si="41"/>
        <v>0</v>
      </c>
      <c r="AA647" s="1">
        <f t="shared" si="42"/>
        <v>0</v>
      </c>
      <c r="AB647" s="1">
        <f t="shared" si="43"/>
        <v>0</v>
      </c>
    </row>
    <row r="648" spans="25:28" ht="15.75" customHeight="1" x14ac:dyDescent="0.2">
      <c r="Y648" s="1">
        <f t="shared" si="40"/>
        <v>0</v>
      </c>
      <c r="Z648" s="1">
        <f t="shared" si="41"/>
        <v>0</v>
      </c>
      <c r="AA648" s="1">
        <f t="shared" si="42"/>
        <v>0</v>
      </c>
      <c r="AB648" s="1">
        <f t="shared" si="43"/>
        <v>0</v>
      </c>
    </row>
    <row r="649" spans="25:28" ht="15.75" customHeight="1" x14ac:dyDescent="0.2">
      <c r="Y649" s="1">
        <f t="shared" si="40"/>
        <v>0</v>
      </c>
      <c r="Z649" s="1">
        <f t="shared" si="41"/>
        <v>0</v>
      </c>
      <c r="AA649" s="1">
        <f t="shared" si="42"/>
        <v>0</v>
      </c>
      <c r="AB649" s="1">
        <f t="shared" si="43"/>
        <v>0</v>
      </c>
    </row>
    <row r="650" spans="25:28" ht="15.75" customHeight="1" x14ac:dyDescent="0.2">
      <c r="Y650" s="1">
        <f t="shared" si="40"/>
        <v>0</v>
      </c>
      <c r="Z650" s="1">
        <f t="shared" si="41"/>
        <v>0</v>
      </c>
      <c r="AA650" s="1">
        <f t="shared" si="42"/>
        <v>0</v>
      </c>
      <c r="AB650" s="1">
        <f t="shared" si="43"/>
        <v>0</v>
      </c>
    </row>
    <row r="651" spans="25:28" ht="15.75" customHeight="1" x14ac:dyDescent="0.2">
      <c r="Y651" s="1">
        <f t="shared" si="40"/>
        <v>0</v>
      </c>
      <c r="Z651" s="1">
        <f t="shared" si="41"/>
        <v>0</v>
      </c>
      <c r="AA651" s="1">
        <f t="shared" si="42"/>
        <v>0</v>
      </c>
      <c r="AB651" s="1">
        <f t="shared" si="43"/>
        <v>0</v>
      </c>
    </row>
    <row r="652" spans="25:28" ht="15.75" customHeight="1" x14ac:dyDescent="0.2">
      <c r="Y652" s="1">
        <f t="shared" si="40"/>
        <v>0</v>
      </c>
      <c r="Z652" s="1">
        <f t="shared" si="41"/>
        <v>0</v>
      </c>
      <c r="AA652" s="1">
        <f t="shared" si="42"/>
        <v>0</v>
      </c>
      <c r="AB652" s="1">
        <f t="shared" si="43"/>
        <v>0</v>
      </c>
    </row>
    <row r="653" spans="25:28" ht="15.75" customHeight="1" x14ac:dyDescent="0.2">
      <c r="Y653" s="1">
        <f t="shared" si="40"/>
        <v>0</v>
      </c>
      <c r="Z653" s="1">
        <f t="shared" si="41"/>
        <v>0</v>
      </c>
      <c r="AA653" s="1">
        <f t="shared" si="42"/>
        <v>0</v>
      </c>
      <c r="AB653" s="1">
        <f t="shared" si="43"/>
        <v>0</v>
      </c>
    </row>
    <row r="654" spans="25:28" ht="15.75" customHeight="1" x14ac:dyDescent="0.2">
      <c r="Y654" s="1">
        <f t="shared" ref="Y654:Y717" si="44">MAX(0,IFERROR((LEN($T655)-LEN(SUBSTITUTE($T655,"Quality of Works / Criteria of Failings:","")))/LEN("Quality of Works / Criteria of Failings:"),0)-IFERROR((LEN($T655)-LEN(SUBSTITUTE($T655,"Quality of Works / Criteria of Failings:Compliant","")))/LEN("Quality of Works / Criteria of Failings:Compliant"),0))</f>
        <v>0</v>
      </c>
      <c r="Z654" s="1">
        <f t="shared" ref="Z654:Z717" si="45">IFERROR($Y655/MAX(1,(LEN($I655)-LEN(SUBSTITUTE($I655," Ltd","")))/LEN(" Ltd")),0)</f>
        <v>0</v>
      </c>
      <c r="AA654" s="1">
        <f t="shared" ref="AA654:AA717" si="46">IFERROR(IFERROR((LEN($T655)-LEN(SUBSTITUTE($T655,"Quality of Works / Criteria of Failings:","")))/LEN("Quality of Works / Criteria of Failings:"),0)/MAX(1,(LEN($I655)-LEN(SUBSTITUTE($I655," Ltd","")))/LEN(" Ltd")),0)</f>
        <v>0</v>
      </c>
      <c r="AB654" s="1">
        <f t="shared" ref="AB654:AB717" si="47">IFERROR(IFERROR((LEN($T655)-LEN(SUBSTITUTE($T655,"Quality of Works / Criteria of Failings:Compliant","")))/LEN("Quality of Works / Criteria of Failings:Compliant"),0)/MAX(1,(LEN($I655)-LEN(SUBSTITUTE($I655," Ltd","")))/LEN(" Ltd")),0)</f>
        <v>0</v>
      </c>
    </row>
    <row r="655" spans="25:28" ht="15.75" customHeight="1" x14ac:dyDescent="0.2">
      <c r="Y655" s="1">
        <f t="shared" si="44"/>
        <v>0</v>
      </c>
      <c r="Z655" s="1">
        <f t="shared" si="45"/>
        <v>0</v>
      </c>
      <c r="AA655" s="1">
        <f t="shared" si="46"/>
        <v>0</v>
      </c>
      <c r="AB655" s="1">
        <f t="shared" si="47"/>
        <v>0</v>
      </c>
    </row>
    <row r="656" spans="25:28" ht="15.75" customHeight="1" x14ac:dyDescent="0.2">
      <c r="Y656" s="1">
        <f t="shared" si="44"/>
        <v>0</v>
      </c>
      <c r="Z656" s="1">
        <f t="shared" si="45"/>
        <v>0</v>
      </c>
      <c r="AA656" s="1">
        <f t="shared" si="46"/>
        <v>0</v>
      </c>
      <c r="AB656" s="1">
        <f t="shared" si="47"/>
        <v>0</v>
      </c>
    </row>
    <row r="657" spans="25:28" ht="15.75" customHeight="1" x14ac:dyDescent="0.2">
      <c r="Y657" s="1">
        <f t="shared" si="44"/>
        <v>0</v>
      </c>
      <c r="Z657" s="1">
        <f t="shared" si="45"/>
        <v>0</v>
      </c>
      <c r="AA657" s="1">
        <f t="shared" si="46"/>
        <v>0</v>
      </c>
      <c r="AB657" s="1">
        <f t="shared" si="47"/>
        <v>0</v>
      </c>
    </row>
    <row r="658" spans="25:28" ht="15.75" customHeight="1" x14ac:dyDescent="0.2">
      <c r="Y658" s="1">
        <f t="shared" si="44"/>
        <v>0</v>
      </c>
      <c r="Z658" s="1">
        <f t="shared" si="45"/>
        <v>0</v>
      </c>
      <c r="AA658" s="1">
        <f t="shared" si="46"/>
        <v>0</v>
      </c>
      <c r="AB658" s="1">
        <f t="shared" si="47"/>
        <v>0</v>
      </c>
    </row>
    <row r="659" spans="25:28" ht="15.75" customHeight="1" x14ac:dyDescent="0.2">
      <c r="Y659" s="1">
        <f t="shared" si="44"/>
        <v>0</v>
      </c>
      <c r="Z659" s="1">
        <f t="shared" si="45"/>
        <v>0</v>
      </c>
      <c r="AA659" s="1">
        <f t="shared" si="46"/>
        <v>0</v>
      </c>
      <c r="AB659" s="1">
        <f t="shared" si="47"/>
        <v>0</v>
      </c>
    </row>
    <row r="660" spans="25:28" ht="15.75" customHeight="1" x14ac:dyDescent="0.2">
      <c r="Y660" s="1">
        <f t="shared" si="44"/>
        <v>0</v>
      </c>
      <c r="Z660" s="1">
        <f t="shared" si="45"/>
        <v>0</v>
      </c>
      <c r="AA660" s="1">
        <f t="shared" si="46"/>
        <v>0</v>
      </c>
      <c r="AB660" s="1">
        <f t="shared" si="47"/>
        <v>0</v>
      </c>
    </row>
    <row r="661" spans="25:28" ht="15.75" customHeight="1" x14ac:dyDescent="0.2">
      <c r="Y661" s="1">
        <f t="shared" si="44"/>
        <v>0</v>
      </c>
      <c r="Z661" s="1">
        <f t="shared" si="45"/>
        <v>0</v>
      </c>
      <c r="AA661" s="1">
        <f t="shared" si="46"/>
        <v>0</v>
      </c>
      <c r="AB661" s="1">
        <f t="shared" si="47"/>
        <v>0</v>
      </c>
    </row>
    <row r="662" spans="25:28" ht="15.75" customHeight="1" x14ac:dyDescent="0.2">
      <c r="Y662" s="1">
        <f t="shared" si="44"/>
        <v>0</v>
      </c>
      <c r="Z662" s="1">
        <f t="shared" si="45"/>
        <v>0</v>
      </c>
      <c r="AA662" s="1">
        <f t="shared" si="46"/>
        <v>0</v>
      </c>
      <c r="AB662" s="1">
        <f t="shared" si="47"/>
        <v>0</v>
      </c>
    </row>
    <row r="663" spans="25:28" ht="15.75" customHeight="1" x14ac:dyDescent="0.2">
      <c r="Y663" s="1">
        <f t="shared" si="44"/>
        <v>0</v>
      </c>
      <c r="Z663" s="1">
        <f t="shared" si="45"/>
        <v>0</v>
      </c>
      <c r="AA663" s="1">
        <f t="shared" si="46"/>
        <v>0</v>
      </c>
      <c r="AB663" s="1">
        <f t="shared" si="47"/>
        <v>0</v>
      </c>
    </row>
    <row r="664" spans="25:28" ht="15.75" customHeight="1" x14ac:dyDescent="0.2">
      <c r="Y664" s="1">
        <f t="shared" si="44"/>
        <v>0</v>
      </c>
      <c r="Z664" s="1">
        <f t="shared" si="45"/>
        <v>0</v>
      </c>
      <c r="AA664" s="1">
        <f t="shared" si="46"/>
        <v>0</v>
      </c>
      <c r="AB664" s="1">
        <f t="shared" si="47"/>
        <v>0</v>
      </c>
    </row>
    <row r="665" spans="25:28" ht="15.75" customHeight="1" x14ac:dyDescent="0.2">
      <c r="Y665" s="1">
        <f t="shared" si="44"/>
        <v>0</v>
      </c>
      <c r="Z665" s="1">
        <f t="shared" si="45"/>
        <v>0</v>
      </c>
      <c r="AA665" s="1">
        <f t="shared" si="46"/>
        <v>0</v>
      </c>
      <c r="AB665" s="1">
        <f t="shared" si="47"/>
        <v>0</v>
      </c>
    </row>
    <row r="666" spans="25:28" ht="15.75" customHeight="1" x14ac:dyDescent="0.2">
      <c r="Y666" s="1">
        <f t="shared" si="44"/>
        <v>0</v>
      </c>
      <c r="Z666" s="1">
        <f t="shared" si="45"/>
        <v>0</v>
      </c>
      <c r="AA666" s="1">
        <f t="shared" si="46"/>
        <v>0</v>
      </c>
      <c r="AB666" s="1">
        <f t="shared" si="47"/>
        <v>0</v>
      </c>
    </row>
    <row r="667" spans="25:28" ht="15.75" customHeight="1" x14ac:dyDescent="0.2">
      <c r="Y667" s="1">
        <f t="shared" si="44"/>
        <v>0</v>
      </c>
      <c r="Z667" s="1">
        <f t="shared" si="45"/>
        <v>0</v>
      </c>
      <c r="AA667" s="1">
        <f t="shared" si="46"/>
        <v>0</v>
      </c>
      <c r="AB667" s="1">
        <f t="shared" si="47"/>
        <v>0</v>
      </c>
    </row>
    <row r="668" spans="25:28" ht="15.75" customHeight="1" x14ac:dyDescent="0.2">
      <c r="Y668" s="1">
        <f t="shared" si="44"/>
        <v>0</v>
      </c>
      <c r="Z668" s="1">
        <f t="shared" si="45"/>
        <v>0</v>
      </c>
      <c r="AA668" s="1">
        <f t="shared" si="46"/>
        <v>0</v>
      </c>
      <c r="AB668" s="1">
        <f t="shared" si="47"/>
        <v>0</v>
      </c>
    </row>
    <row r="669" spans="25:28" ht="15.75" customHeight="1" x14ac:dyDescent="0.2">
      <c r="Y669" s="1">
        <f t="shared" si="44"/>
        <v>0</v>
      </c>
      <c r="Z669" s="1">
        <f t="shared" si="45"/>
        <v>0</v>
      </c>
      <c r="AA669" s="1">
        <f t="shared" si="46"/>
        <v>0</v>
      </c>
      <c r="AB669" s="1">
        <f t="shared" si="47"/>
        <v>0</v>
      </c>
    </row>
    <row r="670" spans="25:28" ht="15.75" customHeight="1" x14ac:dyDescent="0.2">
      <c r="Y670" s="1">
        <f t="shared" si="44"/>
        <v>0</v>
      </c>
      <c r="Z670" s="1">
        <f t="shared" si="45"/>
        <v>0</v>
      </c>
      <c r="AA670" s="1">
        <f t="shared" si="46"/>
        <v>0</v>
      </c>
      <c r="AB670" s="1">
        <f t="shared" si="47"/>
        <v>0</v>
      </c>
    </row>
    <row r="671" spans="25:28" ht="15.75" customHeight="1" x14ac:dyDescent="0.2">
      <c r="Y671" s="1">
        <f t="shared" si="44"/>
        <v>0</v>
      </c>
      <c r="Z671" s="1">
        <f t="shared" si="45"/>
        <v>0</v>
      </c>
      <c r="AA671" s="1">
        <f t="shared" si="46"/>
        <v>0</v>
      </c>
      <c r="AB671" s="1">
        <f t="shared" si="47"/>
        <v>0</v>
      </c>
    </row>
    <row r="672" spans="25:28" ht="15.75" customHeight="1" x14ac:dyDescent="0.2">
      <c r="Y672" s="1">
        <f t="shared" si="44"/>
        <v>0</v>
      </c>
      <c r="Z672" s="1">
        <f t="shared" si="45"/>
        <v>0</v>
      </c>
      <c r="AA672" s="1">
        <f t="shared" si="46"/>
        <v>0</v>
      </c>
      <c r="AB672" s="1">
        <f t="shared" si="47"/>
        <v>0</v>
      </c>
    </row>
    <row r="673" spans="25:28" ht="15.75" customHeight="1" x14ac:dyDescent="0.2">
      <c r="Y673" s="1">
        <f t="shared" si="44"/>
        <v>0</v>
      </c>
      <c r="Z673" s="1">
        <f t="shared" si="45"/>
        <v>0</v>
      </c>
      <c r="AA673" s="1">
        <f t="shared" si="46"/>
        <v>0</v>
      </c>
      <c r="AB673" s="1">
        <f t="shared" si="47"/>
        <v>0</v>
      </c>
    </row>
    <row r="674" spans="25:28" ht="15.75" customHeight="1" x14ac:dyDescent="0.2">
      <c r="Y674" s="1">
        <f t="shared" si="44"/>
        <v>0</v>
      </c>
      <c r="Z674" s="1">
        <f t="shared" si="45"/>
        <v>0</v>
      </c>
      <c r="AA674" s="1">
        <f t="shared" si="46"/>
        <v>0</v>
      </c>
      <c r="AB674" s="1">
        <f t="shared" si="47"/>
        <v>0</v>
      </c>
    </row>
    <row r="675" spans="25:28" ht="15.75" customHeight="1" x14ac:dyDescent="0.2">
      <c r="Y675" s="1">
        <f t="shared" si="44"/>
        <v>0</v>
      </c>
      <c r="Z675" s="1">
        <f t="shared" si="45"/>
        <v>0</v>
      </c>
      <c r="AA675" s="1">
        <f t="shared" si="46"/>
        <v>0</v>
      </c>
      <c r="AB675" s="1">
        <f t="shared" si="47"/>
        <v>0</v>
      </c>
    </row>
    <row r="676" spans="25:28" ht="15.75" customHeight="1" x14ac:dyDescent="0.2">
      <c r="Y676" s="1">
        <f t="shared" si="44"/>
        <v>0</v>
      </c>
      <c r="Z676" s="1">
        <f t="shared" si="45"/>
        <v>0</v>
      </c>
      <c r="AA676" s="1">
        <f t="shared" si="46"/>
        <v>0</v>
      </c>
      <c r="AB676" s="1">
        <f t="shared" si="47"/>
        <v>0</v>
      </c>
    </row>
    <row r="677" spans="25:28" ht="15.75" customHeight="1" x14ac:dyDescent="0.2">
      <c r="Y677" s="1">
        <f t="shared" si="44"/>
        <v>0</v>
      </c>
      <c r="Z677" s="1">
        <f t="shared" si="45"/>
        <v>0</v>
      </c>
      <c r="AA677" s="1">
        <f t="shared" si="46"/>
        <v>0</v>
      </c>
      <c r="AB677" s="1">
        <f t="shared" si="47"/>
        <v>0</v>
      </c>
    </row>
    <row r="678" spans="25:28" ht="15.75" customHeight="1" x14ac:dyDescent="0.2">
      <c r="Y678" s="1">
        <f t="shared" si="44"/>
        <v>0</v>
      </c>
      <c r="Z678" s="1">
        <f t="shared" si="45"/>
        <v>0</v>
      </c>
      <c r="AA678" s="1">
        <f t="shared" si="46"/>
        <v>0</v>
      </c>
      <c r="AB678" s="1">
        <f t="shared" si="47"/>
        <v>0</v>
      </c>
    </row>
    <row r="679" spans="25:28" ht="15.75" customHeight="1" x14ac:dyDescent="0.2">
      <c r="Y679" s="1">
        <f t="shared" si="44"/>
        <v>0</v>
      </c>
      <c r="Z679" s="1">
        <f t="shared" si="45"/>
        <v>0</v>
      </c>
      <c r="AA679" s="1">
        <f t="shared" si="46"/>
        <v>0</v>
      </c>
      <c r="AB679" s="1">
        <f t="shared" si="47"/>
        <v>0</v>
      </c>
    </row>
    <row r="680" spans="25:28" ht="15.75" customHeight="1" x14ac:dyDescent="0.2">
      <c r="Y680" s="1">
        <f t="shared" si="44"/>
        <v>0</v>
      </c>
      <c r="Z680" s="1">
        <f t="shared" si="45"/>
        <v>0</v>
      </c>
      <c r="AA680" s="1">
        <f t="shared" si="46"/>
        <v>0</v>
      </c>
      <c r="AB680" s="1">
        <f t="shared" si="47"/>
        <v>0</v>
      </c>
    </row>
    <row r="681" spans="25:28" ht="15.75" customHeight="1" x14ac:dyDescent="0.2">
      <c r="Y681" s="1">
        <f t="shared" si="44"/>
        <v>0</v>
      </c>
      <c r="Z681" s="1">
        <f t="shared" si="45"/>
        <v>0</v>
      </c>
      <c r="AA681" s="1">
        <f t="shared" si="46"/>
        <v>0</v>
      </c>
      <c r="AB681" s="1">
        <f t="shared" si="47"/>
        <v>0</v>
      </c>
    </row>
    <row r="682" spans="25:28" ht="15.75" customHeight="1" x14ac:dyDescent="0.2">
      <c r="Y682" s="1">
        <f t="shared" si="44"/>
        <v>0</v>
      </c>
      <c r="Z682" s="1">
        <f t="shared" si="45"/>
        <v>0</v>
      </c>
      <c r="AA682" s="1">
        <f t="shared" si="46"/>
        <v>0</v>
      </c>
      <c r="AB682" s="1">
        <f t="shared" si="47"/>
        <v>0</v>
      </c>
    </row>
    <row r="683" spans="25:28" ht="15.75" customHeight="1" x14ac:dyDescent="0.2">
      <c r="Y683" s="1">
        <f t="shared" si="44"/>
        <v>0</v>
      </c>
      <c r="Z683" s="1">
        <f t="shared" si="45"/>
        <v>0</v>
      </c>
      <c r="AA683" s="1">
        <f t="shared" si="46"/>
        <v>0</v>
      </c>
      <c r="AB683" s="1">
        <f t="shared" si="47"/>
        <v>0</v>
      </c>
    </row>
    <row r="684" spans="25:28" ht="15.75" customHeight="1" x14ac:dyDescent="0.2">
      <c r="Y684" s="1">
        <f t="shared" si="44"/>
        <v>0</v>
      </c>
      <c r="Z684" s="1">
        <f t="shared" si="45"/>
        <v>0</v>
      </c>
      <c r="AA684" s="1">
        <f t="shared" si="46"/>
        <v>0</v>
      </c>
      <c r="AB684" s="1">
        <f t="shared" si="47"/>
        <v>0</v>
      </c>
    </row>
    <row r="685" spans="25:28" ht="15.75" customHeight="1" x14ac:dyDescent="0.2">
      <c r="Y685" s="1">
        <f t="shared" si="44"/>
        <v>0</v>
      </c>
      <c r="Z685" s="1">
        <f t="shared" si="45"/>
        <v>0</v>
      </c>
      <c r="AA685" s="1">
        <f t="shared" si="46"/>
        <v>0</v>
      </c>
      <c r="AB685" s="1">
        <f t="shared" si="47"/>
        <v>0</v>
      </c>
    </row>
    <row r="686" spans="25:28" ht="15.75" customHeight="1" x14ac:dyDescent="0.2">
      <c r="Y686" s="1">
        <f t="shared" si="44"/>
        <v>0</v>
      </c>
      <c r="Z686" s="1">
        <f t="shared" si="45"/>
        <v>0</v>
      </c>
      <c r="AA686" s="1">
        <f t="shared" si="46"/>
        <v>0</v>
      </c>
      <c r="AB686" s="1">
        <f t="shared" si="47"/>
        <v>0</v>
      </c>
    </row>
    <row r="687" spans="25:28" ht="15.75" customHeight="1" x14ac:dyDescent="0.2">
      <c r="Y687" s="1">
        <f t="shared" si="44"/>
        <v>0</v>
      </c>
      <c r="Z687" s="1">
        <f t="shared" si="45"/>
        <v>0</v>
      </c>
      <c r="AA687" s="1">
        <f t="shared" si="46"/>
        <v>0</v>
      </c>
      <c r="AB687" s="1">
        <f t="shared" si="47"/>
        <v>0</v>
      </c>
    </row>
    <row r="688" spans="25:28" ht="15.75" customHeight="1" x14ac:dyDescent="0.2">
      <c r="Y688" s="1">
        <f t="shared" si="44"/>
        <v>0</v>
      </c>
      <c r="Z688" s="1">
        <f t="shared" si="45"/>
        <v>0</v>
      </c>
      <c r="AA688" s="1">
        <f t="shared" si="46"/>
        <v>0</v>
      </c>
      <c r="AB688" s="1">
        <f t="shared" si="47"/>
        <v>0</v>
      </c>
    </row>
    <row r="689" spans="25:28" ht="15.75" customHeight="1" x14ac:dyDescent="0.2">
      <c r="Y689" s="1">
        <f t="shared" si="44"/>
        <v>0</v>
      </c>
      <c r="Z689" s="1">
        <f t="shared" si="45"/>
        <v>0</v>
      </c>
      <c r="AA689" s="1">
        <f t="shared" si="46"/>
        <v>0</v>
      </c>
      <c r="AB689" s="1">
        <f t="shared" si="47"/>
        <v>0</v>
      </c>
    </row>
    <row r="690" spans="25:28" ht="15.75" customHeight="1" x14ac:dyDescent="0.2">
      <c r="Y690" s="1">
        <f t="shared" si="44"/>
        <v>0</v>
      </c>
      <c r="Z690" s="1">
        <f t="shared" si="45"/>
        <v>0</v>
      </c>
      <c r="AA690" s="1">
        <f t="shared" si="46"/>
        <v>0</v>
      </c>
      <c r="AB690" s="1">
        <f t="shared" si="47"/>
        <v>0</v>
      </c>
    </row>
    <row r="691" spans="25:28" ht="15.75" customHeight="1" x14ac:dyDescent="0.2">
      <c r="Y691" s="1">
        <f t="shared" si="44"/>
        <v>0</v>
      </c>
      <c r="Z691" s="1">
        <f t="shared" si="45"/>
        <v>0</v>
      </c>
      <c r="AA691" s="1">
        <f t="shared" si="46"/>
        <v>0</v>
      </c>
      <c r="AB691" s="1">
        <f t="shared" si="47"/>
        <v>0</v>
      </c>
    </row>
    <row r="692" spans="25:28" ht="15.75" customHeight="1" x14ac:dyDescent="0.2">
      <c r="Y692" s="1">
        <f t="shared" si="44"/>
        <v>0</v>
      </c>
      <c r="Z692" s="1">
        <f t="shared" si="45"/>
        <v>0</v>
      </c>
      <c r="AA692" s="1">
        <f t="shared" si="46"/>
        <v>0</v>
      </c>
      <c r="AB692" s="1">
        <f t="shared" si="47"/>
        <v>0</v>
      </c>
    </row>
    <row r="693" spans="25:28" ht="15.75" customHeight="1" x14ac:dyDescent="0.2">
      <c r="Y693" s="1">
        <f t="shared" si="44"/>
        <v>0</v>
      </c>
      <c r="Z693" s="1">
        <f t="shared" si="45"/>
        <v>0</v>
      </c>
      <c r="AA693" s="1">
        <f t="shared" si="46"/>
        <v>0</v>
      </c>
      <c r="AB693" s="1">
        <f t="shared" si="47"/>
        <v>0</v>
      </c>
    </row>
    <row r="694" spans="25:28" ht="15.75" customHeight="1" x14ac:dyDescent="0.2">
      <c r="Y694" s="1">
        <f t="shared" si="44"/>
        <v>0</v>
      </c>
      <c r="Z694" s="1">
        <f t="shared" si="45"/>
        <v>0</v>
      </c>
      <c r="AA694" s="1">
        <f t="shared" si="46"/>
        <v>0</v>
      </c>
      <c r="AB694" s="1">
        <f t="shared" si="47"/>
        <v>0</v>
      </c>
    </row>
    <row r="695" spans="25:28" ht="15.75" customHeight="1" x14ac:dyDescent="0.2">
      <c r="Y695" s="1">
        <f t="shared" si="44"/>
        <v>0</v>
      </c>
      <c r="Z695" s="1">
        <f t="shared" si="45"/>
        <v>0</v>
      </c>
      <c r="AA695" s="1">
        <f t="shared" si="46"/>
        <v>0</v>
      </c>
      <c r="AB695" s="1">
        <f t="shared" si="47"/>
        <v>0</v>
      </c>
    </row>
    <row r="696" spans="25:28" ht="15.75" customHeight="1" x14ac:dyDescent="0.2">
      <c r="Y696" s="1">
        <f t="shared" si="44"/>
        <v>0</v>
      </c>
      <c r="Z696" s="1">
        <f t="shared" si="45"/>
        <v>0</v>
      </c>
      <c r="AA696" s="1">
        <f t="shared" si="46"/>
        <v>0</v>
      </c>
      <c r="AB696" s="1">
        <f t="shared" si="47"/>
        <v>0</v>
      </c>
    </row>
    <row r="697" spans="25:28" ht="15.75" customHeight="1" x14ac:dyDescent="0.2">
      <c r="Y697" s="1">
        <f t="shared" si="44"/>
        <v>0</v>
      </c>
      <c r="Z697" s="1">
        <f t="shared" si="45"/>
        <v>0</v>
      </c>
      <c r="AA697" s="1">
        <f t="shared" si="46"/>
        <v>0</v>
      </c>
      <c r="AB697" s="1">
        <f t="shared" si="47"/>
        <v>0</v>
      </c>
    </row>
    <row r="698" spans="25:28" ht="15.75" customHeight="1" x14ac:dyDescent="0.2">
      <c r="Y698" s="1">
        <f t="shared" si="44"/>
        <v>0</v>
      </c>
      <c r="Z698" s="1">
        <f t="shared" si="45"/>
        <v>0</v>
      </c>
      <c r="AA698" s="1">
        <f t="shared" si="46"/>
        <v>0</v>
      </c>
      <c r="AB698" s="1">
        <f t="shared" si="47"/>
        <v>0</v>
      </c>
    </row>
    <row r="699" spans="25:28" ht="15.75" customHeight="1" x14ac:dyDescent="0.2">
      <c r="Y699" s="1">
        <f t="shared" si="44"/>
        <v>0</v>
      </c>
      <c r="Z699" s="1">
        <f t="shared" si="45"/>
        <v>0</v>
      </c>
      <c r="AA699" s="1">
        <f t="shared" si="46"/>
        <v>0</v>
      </c>
      <c r="AB699" s="1">
        <f t="shared" si="47"/>
        <v>0</v>
      </c>
    </row>
    <row r="700" spans="25:28" ht="15.75" customHeight="1" x14ac:dyDescent="0.2">
      <c r="Y700" s="1">
        <f t="shared" si="44"/>
        <v>0</v>
      </c>
      <c r="Z700" s="1">
        <f t="shared" si="45"/>
        <v>0</v>
      </c>
      <c r="AA700" s="1">
        <f t="shared" si="46"/>
        <v>0</v>
      </c>
      <c r="AB700" s="1">
        <f t="shared" si="47"/>
        <v>0</v>
      </c>
    </row>
    <row r="701" spans="25:28" ht="15.75" customHeight="1" x14ac:dyDescent="0.2">
      <c r="Y701" s="1">
        <f t="shared" si="44"/>
        <v>0</v>
      </c>
      <c r="Z701" s="1">
        <f t="shared" si="45"/>
        <v>0</v>
      </c>
      <c r="AA701" s="1">
        <f t="shared" si="46"/>
        <v>0</v>
      </c>
      <c r="AB701" s="1">
        <f t="shared" si="47"/>
        <v>0</v>
      </c>
    </row>
    <row r="702" spans="25:28" ht="15.75" customHeight="1" x14ac:dyDescent="0.2">
      <c r="Y702" s="1">
        <f t="shared" si="44"/>
        <v>0</v>
      </c>
      <c r="Z702" s="1">
        <f t="shared" si="45"/>
        <v>0</v>
      </c>
      <c r="AA702" s="1">
        <f t="shared" si="46"/>
        <v>0</v>
      </c>
      <c r="AB702" s="1">
        <f t="shared" si="47"/>
        <v>0</v>
      </c>
    </row>
    <row r="703" spans="25:28" ht="15.75" customHeight="1" x14ac:dyDescent="0.2">
      <c r="Y703" s="1">
        <f t="shared" si="44"/>
        <v>0</v>
      </c>
      <c r="Z703" s="1">
        <f t="shared" si="45"/>
        <v>0</v>
      </c>
      <c r="AA703" s="1">
        <f t="shared" si="46"/>
        <v>0</v>
      </c>
      <c r="AB703" s="1">
        <f t="shared" si="47"/>
        <v>0</v>
      </c>
    </row>
    <row r="704" spans="25:28" ht="15.75" customHeight="1" x14ac:dyDescent="0.2">
      <c r="Y704" s="1">
        <f t="shared" si="44"/>
        <v>0</v>
      </c>
      <c r="Z704" s="1">
        <f t="shared" si="45"/>
        <v>0</v>
      </c>
      <c r="AA704" s="1">
        <f t="shared" si="46"/>
        <v>0</v>
      </c>
      <c r="AB704" s="1">
        <f t="shared" si="47"/>
        <v>0</v>
      </c>
    </row>
    <row r="705" spans="25:28" ht="15.75" customHeight="1" x14ac:dyDescent="0.2">
      <c r="Y705" s="1">
        <f t="shared" si="44"/>
        <v>0</v>
      </c>
      <c r="Z705" s="1">
        <f t="shared" si="45"/>
        <v>0</v>
      </c>
      <c r="AA705" s="1">
        <f t="shared" si="46"/>
        <v>0</v>
      </c>
      <c r="AB705" s="1">
        <f t="shared" si="47"/>
        <v>0</v>
      </c>
    </row>
    <row r="706" spans="25:28" ht="15.75" customHeight="1" x14ac:dyDescent="0.2">
      <c r="Y706" s="1">
        <f t="shared" si="44"/>
        <v>0</v>
      </c>
      <c r="Z706" s="1">
        <f t="shared" si="45"/>
        <v>0</v>
      </c>
      <c r="AA706" s="1">
        <f t="shared" si="46"/>
        <v>0</v>
      </c>
      <c r="AB706" s="1">
        <f t="shared" si="47"/>
        <v>0</v>
      </c>
    </row>
    <row r="707" spans="25:28" ht="15.75" customHeight="1" x14ac:dyDescent="0.2">
      <c r="Y707" s="1">
        <f t="shared" si="44"/>
        <v>0</v>
      </c>
      <c r="Z707" s="1">
        <f t="shared" si="45"/>
        <v>0</v>
      </c>
      <c r="AA707" s="1">
        <f t="shared" si="46"/>
        <v>0</v>
      </c>
      <c r="AB707" s="1">
        <f t="shared" si="47"/>
        <v>0</v>
      </c>
    </row>
    <row r="708" spans="25:28" ht="15.75" customHeight="1" x14ac:dyDescent="0.2">
      <c r="Y708" s="1">
        <f t="shared" si="44"/>
        <v>0</v>
      </c>
      <c r="Z708" s="1">
        <f t="shared" si="45"/>
        <v>0</v>
      </c>
      <c r="AA708" s="1">
        <f t="shared" si="46"/>
        <v>0</v>
      </c>
      <c r="AB708" s="1">
        <f t="shared" si="47"/>
        <v>0</v>
      </c>
    </row>
    <row r="709" spans="25:28" ht="15.75" customHeight="1" x14ac:dyDescent="0.2">
      <c r="Y709" s="1">
        <f t="shared" si="44"/>
        <v>0</v>
      </c>
      <c r="Z709" s="1">
        <f t="shared" si="45"/>
        <v>0</v>
      </c>
      <c r="AA709" s="1">
        <f t="shared" si="46"/>
        <v>0</v>
      </c>
      <c r="AB709" s="1">
        <f t="shared" si="47"/>
        <v>0</v>
      </c>
    </row>
    <row r="710" spans="25:28" ht="15.75" customHeight="1" x14ac:dyDescent="0.2">
      <c r="Y710" s="1">
        <f t="shared" si="44"/>
        <v>0</v>
      </c>
      <c r="Z710" s="1">
        <f t="shared" si="45"/>
        <v>0</v>
      </c>
      <c r="AA710" s="1">
        <f t="shared" si="46"/>
        <v>0</v>
      </c>
      <c r="AB710" s="1">
        <f t="shared" si="47"/>
        <v>0</v>
      </c>
    </row>
    <row r="711" spans="25:28" ht="15.75" customHeight="1" x14ac:dyDescent="0.2">
      <c r="Y711" s="1">
        <f t="shared" si="44"/>
        <v>0</v>
      </c>
      <c r="Z711" s="1">
        <f t="shared" si="45"/>
        <v>0</v>
      </c>
      <c r="AA711" s="1">
        <f t="shared" si="46"/>
        <v>0</v>
      </c>
      <c r="AB711" s="1">
        <f t="shared" si="47"/>
        <v>0</v>
      </c>
    </row>
    <row r="712" spans="25:28" ht="15.75" customHeight="1" x14ac:dyDescent="0.2">
      <c r="Y712" s="1">
        <f t="shared" si="44"/>
        <v>0</v>
      </c>
      <c r="Z712" s="1">
        <f t="shared" si="45"/>
        <v>0</v>
      </c>
      <c r="AA712" s="1">
        <f t="shared" si="46"/>
        <v>0</v>
      </c>
      <c r="AB712" s="1">
        <f t="shared" si="47"/>
        <v>0</v>
      </c>
    </row>
    <row r="713" spans="25:28" ht="15.75" customHeight="1" x14ac:dyDescent="0.2">
      <c r="Y713" s="1">
        <f t="shared" si="44"/>
        <v>0</v>
      </c>
      <c r="Z713" s="1">
        <f t="shared" si="45"/>
        <v>0</v>
      </c>
      <c r="AA713" s="1">
        <f t="shared" si="46"/>
        <v>0</v>
      </c>
      <c r="AB713" s="1">
        <f t="shared" si="47"/>
        <v>0</v>
      </c>
    </row>
    <row r="714" spans="25:28" ht="15.75" customHeight="1" x14ac:dyDescent="0.2">
      <c r="Y714" s="1">
        <f t="shared" si="44"/>
        <v>0</v>
      </c>
      <c r="Z714" s="1">
        <f t="shared" si="45"/>
        <v>0</v>
      </c>
      <c r="AA714" s="1">
        <f t="shared" si="46"/>
        <v>0</v>
      </c>
      <c r="AB714" s="1">
        <f t="shared" si="47"/>
        <v>0</v>
      </c>
    </row>
    <row r="715" spans="25:28" ht="15.75" customHeight="1" x14ac:dyDescent="0.2">
      <c r="Y715" s="1">
        <f t="shared" si="44"/>
        <v>0</v>
      </c>
      <c r="Z715" s="1">
        <f t="shared" si="45"/>
        <v>0</v>
      </c>
      <c r="AA715" s="1">
        <f t="shared" si="46"/>
        <v>0</v>
      </c>
      <c r="AB715" s="1">
        <f t="shared" si="47"/>
        <v>0</v>
      </c>
    </row>
    <row r="716" spans="25:28" ht="15.75" customHeight="1" x14ac:dyDescent="0.2">
      <c r="Y716" s="1">
        <f t="shared" si="44"/>
        <v>0</v>
      </c>
      <c r="Z716" s="1">
        <f t="shared" si="45"/>
        <v>0</v>
      </c>
      <c r="AA716" s="1">
        <f t="shared" si="46"/>
        <v>0</v>
      </c>
      <c r="AB716" s="1">
        <f t="shared" si="47"/>
        <v>0</v>
      </c>
    </row>
    <row r="717" spans="25:28" ht="15.75" customHeight="1" x14ac:dyDescent="0.2">
      <c r="Y717" s="1">
        <f t="shared" si="44"/>
        <v>0</v>
      </c>
      <c r="Z717" s="1">
        <f t="shared" si="45"/>
        <v>0</v>
      </c>
      <c r="AA717" s="1">
        <f t="shared" si="46"/>
        <v>0</v>
      </c>
      <c r="AB717" s="1">
        <f t="shared" si="47"/>
        <v>0</v>
      </c>
    </row>
    <row r="718" spans="25:28" ht="15.75" customHeight="1" x14ac:dyDescent="0.2">
      <c r="Y718" s="1">
        <f t="shared" ref="Y718:Y781" si="48">MAX(0,IFERROR((LEN($T719)-LEN(SUBSTITUTE($T719,"Quality of Works / Criteria of Failings:","")))/LEN("Quality of Works / Criteria of Failings:"),0)-IFERROR((LEN($T719)-LEN(SUBSTITUTE($T719,"Quality of Works / Criteria of Failings:Compliant","")))/LEN("Quality of Works / Criteria of Failings:Compliant"),0))</f>
        <v>0</v>
      </c>
      <c r="Z718" s="1">
        <f t="shared" ref="Z718:Z781" si="49">IFERROR($Y719/MAX(1,(LEN($I719)-LEN(SUBSTITUTE($I719," Ltd","")))/LEN(" Ltd")),0)</f>
        <v>0</v>
      </c>
      <c r="AA718" s="1">
        <f t="shared" ref="AA718:AA781" si="50">IFERROR(IFERROR((LEN($T719)-LEN(SUBSTITUTE($T719,"Quality of Works / Criteria of Failings:","")))/LEN("Quality of Works / Criteria of Failings:"),0)/MAX(1,(LEN($I719)-LEN(SUBSTITUTE($I719," Ltd","")))/LEN(" Ltd")),0)</f>
        <v>0</v>
      </c>
      <c r="AB718" s="1">
        <f t="shared" ref="AB718:AB781" si="51">IFERROR(IFERROR((LEN($T719)-LEN(SUBSTITUTE($T719,"Quality of Works / Criteria of Failings:Compliant","")))/LEN("Quality of Works / Criteria of Failings:Compliant"),0)/MAX(1,(LEN($I719)-LEN(SUBSTITUTE($I719," Ltd","")))/LEN(" Ltd")),0)</f>
        <v>0</v>
      </c>
    </row>
    <row r="719" spans="25:28" ht="15.75" customHeight="1" x14ac:dyDescent="0.2">
      <c r="Y719" s="1">
        <f t="shared" si="48"/>
        <v>0</v>
      </c>
      <c r="Z719" s="1">
        <f t="shared" si="49"/>
        <v>0</v>
      </c>
      <c r="AA719" s="1">
        <f t="shared" si="50"/>
        <v>0</v>
      </c>
      <c r="AB719" s="1">
        <f t="shared" si="51"/>
        <v>0</v>
      </c>
    </row>
    <row r="720" spans="25:28" ht="15.75" customHeight="1" x14ac:dyDescent="0.2">
      <c r="Y720" s="1">
        <f t="shared" si="48"/>
        <v>0</v>
      </c>
      <c r="Z720" s="1">
        <f t="shared" si="49"/>
        <v>0</v>
      </c>
      <c r="AA720" s="1">
        <f t="shared" si="50"/>
        <v>0</v>
      </c>
      <c r="AB720" s="1">
        <f t="shared" si="51"/>
        <v>0</v>
      </c>
    </row>
    <row r="721" spans="25:28" ht="15.75" customHeight="1" x14ac:dyDescent="0.2">
      <c r="Y721" s="1">
        <f t="shared" si="48"/>
        <v>0</v>
      </c>
      <c r="Z721" s="1">
        <f t="shared" si="49"/>
        <v>0</v>
      </c>
      <c r="AA721" s="1">
        <f t="shared" si="50"/>
        <v>0</v>
      </c>
      <c r="AB721" s="1">
        <f t="shared" si="51"/>
        <v>0</v>
      </c>
    </row>
    <row r="722" spans="25:28" ht="15.75" customHeight="1" x14ac:dyDescent="0.2">
      <c r="Y722" s="1">
        <f t="shared" si="48"/>
        <v>0</v>
      </c>
      <c r="Z722" s="1">
        <f t="shared" si="49"/>
        <v>0</v>
      </c>
      <c r="AA722" s="1">
        <f t="shared" si="50"/>
        <v>0</v>
      </c>
      <c r="AB722" s="1">
        <f t="shared" si="51"/>
        <v>0</v>
      </c>
    </row>
    <row r="723" spans="25:28" ht="15.75" customHeight="1" x14ac:dyDescent="0.2">
      <c r="Y723" s="1">
        <f t="shared" si="48"/>
        <v>0</v>
      </c>
      <c r="Z723" s="1">
        <f t="shared" si="49"/>
        <v>0</v>
      </c>
      <c r="AA723" s="1">
        <f t="shared" si="50"/>
        <v>0</v>
      </c>
      <c r="AB723" s="1">
        <f t="shared" si="51"/>
        <v>0</v>
      </c>
    </row>
    <row r="724" spans="25:28" ht="15.75" customHeight="1" x14ac:dyDescent="0.2">
      <c r="Y724" s="1">
        <f t="shared" si="48"/>
        <v>0</v>
      </c>
      <c r="Z724" s="1">
        <f t="shared" si="49"/>
        <v>0</v>
      </c>
      <c r="AA724" s="1">
        <f t="shared" si="50"/>
        <v>0</v>
      </c>
      <c r="AB724" s="1">
        <f t="shared" si="51"/>
        <v>0</v>
      </c>
    </row>
    <row r="725" spans="25:28" ht="15.75" customHeight="1" x14ac:dyDescent="0.2">
      <c r="Y725" s="1">
        <f t="shared" si="48"/>
        <v>0</v>
      </c>
      <c r="Z725" s="1">
        <f t="shared" si="49"/>
        <v>0</v>
      </c>
      <c r="AA725" s="1">
        <f t="shared" si="50"/>
        <v>0</v>
      </c>
      <c r="AB725" s="1">
        <f t="shared" si="51"/>
        <v>0</v>
      </c>
    </row>
    <row r="726" spans="25:28" ht="15.75" customHeight="1" x14ac:dyDescent="0.2">
      <c r="Y726" s="1">
        <f t="shared" si="48"/>
        <v>0</v>
      </c>
      <c r="Z726" s="1">
        <f t="shared" si="49"/>
        <v>0</v>
      </c>
      <c r="AA726" s="1">
        <f t="shared" si="50"/>
        <v>0</v>
      </c>
      <c r="AB726" s="1">
        <f t="shared" si="51"/>
        <v>0</v>
      </c>
    </row>
    <row r="727" spans="25:28" ht="15.75" customHeight="1" x14ac:dyDescent="0.2">
      <c r="Y727" s="1">
        <f t="shared" si="48"/>
        <v>0</v>
      </c>
      <c r="Z727" s="1">
        <f t="shared" si="49"/>
        <v>0</v>
      </c>
      <c r="AA727" s="1">
        <f t="shared" si="50"/>
        <v>0</v>
      </c>
      <c r="AB727" s="1">
        <f t="shared" si="51"/>
        <v>0</v>
      </c>
    </row>
    <row r="728" spans="25:28" ht="15.75" customHeight="1" x14ac:dyDescent="0.2">
      <c r="Y728" s="1">
        <f t="shared" si="48"/>
        <v>0</v>
      </c>
      <c r="Z728" s="1">
        <f t="shared" si="49"/>
        <v>0</v>
      </c>
      <c r="AA728" s="1">
        <f t="shared" si="50"/>
        <v>0</v>
      </c>
      <c r="AB728" s="1">
        <f t="shared" si="51"/>
        <v>0</v>
      </c>
    </row>
    <row r="729" spans="25:28" ht="15.75" customHeight="1" x14ac:dyDescent="0.2">
      <c r="Y729" s="1">
        <f t="shared" si="48"/>
        <v>0</v>
      </c>
      <c r="Z729" s="1">
        <f t="shared" si="49"/>
        <v>0</v>
      </c>
      <c r="AA729" s="1">
        <f t="shared" si="50"/>
        <v>0</v>
      </c>
      <c r="AB729" s="1">
        <f t="shared" si="51"/>
        <v>0</v>
      </c>
    </row>
    <row r="730" spans="25:28" ht="15.75" customHeight="1" x14ac:dyDescent="0.2">
      <c r="Y730" s="1">
        <f t="shared" si="48"/>
        <v>0</v>
      </c>
      <c r="Z730" s="1">
        <f t="shared" si="49"/>
        <v>0</v>
      </c>
      <c r="AA730" s="1">
        <f t="shared" si="50"/>
        <v>0</v>
      </c>
      <c r="AB730" s="1">
        <f t="shared" si="51"/>
        <v>0</v>
      </c>
    </row>
    <row r="731" spans="25:28" ht="15.75" customHeight="1" x14ac:dyDescent="0.2">
      <c r="Y731" s="1">
        <f t="shared" si="48"/>
        <v>0</v>
      </c>
      <c r="Z731" s="1">
        <f t="shared" si="49"/>
        <v>0</v>
      </c>
      <c r="AA731" s="1">
        <f t="shared" si="50"/>
        <v>0</v>
      </c>
      <c r="AB731" s="1">
        <f t="shared" si="51"/>
        <v>0</v>
      </c>
    </row>
    <row r="732" spans="25:28" ht="15.75" customHeight="1" x14ac:dyDescent="0.2">
      <c r="Y732" s="1">
        <f t="shared" si="48"/>
        <v>0</v>
      </c>
      <c r="Z732" s="1">
        <f t="shared" si="49"/>
        <v>0</v>
      </c>
      <c r="AA732" s="1">
        <f t="shared" si="50"/>
        <v>0</v>
      </c>
      <c r="AB732" s="1">
        <f t="shared" si="51"/>
        <v>0</v>
      </c>
    </row>
    <row r="733" spans="25:28" ht="15.75" customHeight="1" x14ac:dyDescent="0.2">
      <c r="Y733" s="1">
        <f t="shared" si="48"/>
        <v>0</v>
      </c>
      <c r="Z733" s="1">
        <f t="shared" si="49"/>
        <v>0</v>
      </c>
      <c r="AA733" s="1">
        <f t="shared" si="50"/>
        <v>0</v>
      </c>
      <c r="AB733" s="1">
        <f t="shared" si="51"/>
        <v>0</v>
      </c>
    </row>
    <row r="734" spans="25:28" ht="15.75" customHeight="1" x14ac:dyDescent="0.2">
      <c r="Y734" s="1">
        <f t="shared" si="48"/>
        <v>0</v>
      </c>
      <c r="Z734" s="1">
        <f t="shared" si="49"/>
        <v>0</v>
      </c>
      <c r="AA734" s="1">
        <f t="shared" si="50"/>
        <v>0</v>
      </c>
      <c r="AB734" s="1">
        <f t="shared" si="51"/>
        <v>0</v>
      </c>
    </row>
    <row r="735" spans="25:28" ht="15.75" customHeight="1" x14ac:dyDescent="0.2">
      <c r="Y735" s="1">
        <f t="shared" si="48"/>
        <v>0</v>
      </c>
      <c r="Z735" s="1">
        <f t="shared" si="49"/>
        <v>0</v>
      </c>
      <c r="AA735" s="1">
        <f t="shared" si="50"/>
        <v>0</v>
      </c>
      <c r="AB735" s="1">
        <f t="shared" si="51"/>
        <v>0</v>
      </c>
    </row>
    <row r="736" spans="25:28" ht="15.75" customHeight="1" x14ac:dyDescent="0.2">
      <c r="Y736" s="1">
        <f t="shared" si="48"/>
        <v>0</v>
      </c>
      <c r="Z736" s="1">
        <f t="shared" si="49"/>
        <v>0</v>
      </c>
      <c r="AA736" s="1">
        <f t="shared" si="50"/>
        <v>0</v>
      </c>
      <c r="AB736" s="1">
        <f t="shared" si="51"/>
        <v>0</v>
      </c>
    </row>
    <row r="737" spans="25:28" ht="15.75" customHeight="1" x14ac:dyDescent="0.2">
      <c r="Y737" s="1">
        <f t="shared" si="48"/>
        <v>0</v>
      </c>
      <c r="Z737" s="1">
        <f t="shared" si="49"/>
        <v>0</v>
      </c>
      <c r="AA737" s="1">
        <f t="shared" si="50"/>
        <v>0</v>
      </c>
      <c r="AB737" s="1">
        <f t="shared" si="51"/>
        <v>0</v>
      </c>
    </row>
    <row r="738" spans="25:28" ht="15.75" customHeight="1" x14ac:dyDescent="0.2">
      <c r="Y738" s="1">
        <f t="shared" si="48"/>
        <v>0</v>
      </c>
      <c r="Z738" s="1">
        <f t="shared" si="49"/>
        <v>0</v>
      </c>
      <c r="AA738" s="1">
        <f t="shared" si="50"/>
        <v>0</v>
      </c>
      <c r="AB738" s="1">
        <f t="shared" si="51"/>
        <v>0</v>
      </c>
    </row>
    <row r="739" spans="25:28" ht="15.75" customHeight="1" x14ac:dyDescent="0.2">
      <c r="Y739" s="1">
        <f t="shared" si="48"/>
        <v>0</v>
      </c>
      <c r="Z739" s="1">
        <f t="shared" si="49"/>
        <v>0</v>
      </c>
      <c r="AA739" s="1">
        <f t="shared" si="50"/>
        <v>0</v>
      </c>
      <c r="AB739" s="1">
        <f t="shared" si="51"/>
        <v>0</v>
      </c>
    </row>
    <row r="740" spans="25:28" ht="15.75" customHeight="1" x14ac:dyDescent="0.2">
      <c r="Y740" s="1">
        <f t="shared" si="48"/>
        <v>0</v>
      </c>
      <c r="Z740" s="1">
        <f t="shared" si="49"/>
        <v>0</v>
      </c>
      <c r="AA740" s="1">
        <f t="shared" si="50"/>
        <v>0</v>
      </c>
      <c r="AB740" s="1">
        <f t="shared" si="51"/>
        <v>0</v>
      </c>
    </row>
    <row r="741" spans="25:28" ht="15.75" customHeight="1" x14ac:dyDescent="0.2">
      <c r="Y741" s="1">
        <f t="shared" si="48"/>
        <v>0</v>
      </c>
      <c r="Z741" s="1">
        <f t="shared" si="49"/>
        <v>0</v>
      </c>
      <c r="AA741" s="1">
        <f t="shared" si="50"/>
        <v>0</v>
      </c>
      <c r="AB741" s="1">
        <f t="shared" si="51"/>
        <v>0</v>
      </c>
    </row>
    <row r="742" spans="25:28" ht="15.75" customHeight="1" x14ac:dyDescent="0.2">
      <c r="Y742" s="1">
        <f t="shared" si="48"/>
        <v>0</v>
      </c>
      <c r="Z742" s="1">
        <f t="shared" si="49"/>
        <v>0</v>
      </c>
      <c r="AA742" s="1">
        <f t="shared" si="50"/>
        <v>0</v>
      </c>
      <c r="AB742" s="1">
        <f t="shared" si="51"/>
        <v>0</v>
      </c>
    </row>
    <row r="743" spans="25:28" ht="15.75" customHeight="1" x14ac:dyDescent="0.2">
      <c r="Y743" s="1">
        <f t="shared" si="48"/>
        <v>0</v>
      </c>
      <c r="Z743" s="1">
        <f t="shared" si="49"/>
        <v>0</v>
      </c>
      <c r="AA743" s="1">
        <f t="shared" si="50"/>
        <v>0</v>
      </c>
      <c r="AB743" s="1">
        <f t="shared" si="51"/>
        <v>0</v>
      </c>
    </row>
    <row r="744" spans="25:28" ht="15.75" customHeight="1" x14ac:dyDescent="0.2">
      <c r="Y744" s="1">
        <f t="shared" si="48"/>
        <v>0</v>
      </c>
      <c r="Z744" s="1">
        <f t="shared" si="49"/>
        <v>0</v>
      </c>
      <c r="AA744" s="1">
        <f t="shared" si="50"/>
        <v>0</v>
      </c>
      <c r="AB744" s="1">
        <f t="shared" si="51"/>
        <v>0</v>
      </c>
    </row>
    <row r="745" spans="25:28" ht="15.75" customHeight="1" x14ac:dyDescent="0.2">
      <c r="Y745" s="1">
        <f t="shared" si="48"/>
        <v>0</v>
      </c>
      <c r="Z745" s="1">
        <f t="shared" si="49"/>
        <v>0</v>
      </c>
      <c r="AA745" s="1">
        <f t="shared" si="50"/>
        <v>0</v>
      </c>
      <c r="AB745" s="1">
        <f t="shared" si="51"/>
        <v>0</v>
      </c>
    </row>
    <row r="746" spans="25:28" ht="15.75" customHeight="1" x14ac:dyDescent="0.2">
      <c r="Y746" s="1">
        <f t="shared" si="48"/>
        <v>0</v>
      </c>
      <c r="Z746" s="1">
        <f t="shared" si="49"/>
        <v>0</v>
      </c>
      <c r="AA746" s="1">
        <f t="shared" si="50"/>
        <v>0</v>
      </c>
      <c r="AB746" s="1">
        <f t="shared" si="51"/>
        <v>0</v>
      </c>
    </row>
    <row r="747" spans="25:28" ht="15.75" customHeight="1" x14ac:dyDescent="0.2">
      <c r="Y747" s="1">
        <f t="shared" si="48"/>
        <v>0</v>
      </c>
      <c r="Z747" s="1">
        <f t="shared" si="49"/>
        <v>0</v>
      </c>
      <c r="AA747" s="1">
        <f t="shared" si="50"/>
        <v>0</v>
      </c>
      <c r="AB747" s="1">
        <f t="shared" si="51"/>
        <v>0</v>
      </c>
    </row>
    <row r="748" spans="25:28" ht="15.75" customHeight="1" x14ac:dyDescent="0.2">
      <c r="Y748" s="1">
        <f t="shared" si="48"/>
        <v>0</v>
      </c>
      <c r="Z748" s="1">
        <f t="shared" si="49"/>
        <v>0</v>
      </c>
      <c r="AA748" s="1">
        <f t="shared" si="50"/>
        <v>0</v>
      </c>
      <c r="AB748" s="1">
        <f t="shared" si="51"/>
        <v>0</v>
      </c>
    </row>
    <row r="749" spans="25:28" ht="15.75" customHeight="1" x14ac:dyDescent="0.2">
      <c r="Y749" s="1">
        <f t="shared" si="48"/>
        <v>0</v>
      </c>
      <c r="Z749" s="1">
        <f t="shared" si="49"/>
        <v>0</v>
      </c>
      <c r="AA749" s="1">
        <f t="shared" si="50"/>
        <v>0</v>
      </c>
      <c r="AB749" s="1">
        <f t="shared" si="51"/>
        <v>0</v>
      </c>
    </row>
    <row r="750" spans="25:28" ht="15.75" customHeight="1" x14ac:dyDescent="0.2">
      <c r="Y750" s="1">
        <f t="shared" si="48"/>
        <v>0</v>
      </c>
      <c r="Z750" s="1">
        <f t="shared" si="49"/>
        <v>0</v>
      </c>
      <c r="AA750" s="1">
        <f t="shared" si="50"/>
        <v>0</v>
      </c>
      <c r="AB750" s="1">
        <f t="shared" si="51"/>
        <v>0</v>
      </c>
    </row>
    <row r="751" spans="25:28" ht="15.75" customHeight="1" x14ac:dyDescent="0.2">
      <c r="Y751" s="1">
        <f t="shared" si="48"/>
        <v>0</v>
      </c>
      <c r="Z751" s="1">
        <f t="shared" si="49"/>
        <v>0</v>
      </c>
      <c r="AA751" s="1">
        <f t="shared" si="50"/>
        <v>0</v>
      </c>
      <c r="AB751" s="1">
        <f t="shared" si="51"/>
        <v>0</v>
      </c>
    </row>
    <row r="752" spans="25:28" ht="15.75" customHeight="1" x14ac:dyDescent="0.2">
      <c r="Y752" s="1">
        <f t="shared" si="48"/>
        <v>0</v>
      </c>
      <c r="Z752" s="1">
        <f t="shared" si="49"/>
        <v>0</v>
      </c>
      <c r="AA752" s="1">
        <f t="shared" si="50"/>
        <v>0</v>
      </c>
      <c r="AB752" s="1">
        <f t="shared" si="51"/>
        <v>0</v>
      </c>
    </row>
    <row r="753" spans="25:28" ht="15.75" customHeight="1" x14ac:dyDescent="0.2">
      <c r="Y753" s="1">
        <f t="shared" si="48"/>
        <v>0</v>
      </c>
      <c r="Z753" s="1">
        <f t="shared" si="49"/>
        <v>0</v>
      </c>
      <c r="AA753" s="1">
        <f t="shared" si="50"/>
        <v>0</v>
      </c>
      <c r="AB753" s="1">
        <f t="shared" si="51"/>
        <v>0</v>
      </c>
    </row>
    <row r="754" spans="25:28" ht="15.75" customHeight="1" x14ac:dyDescent="0.2">
      <c r="Y754" s="1">
        <f t="shared" si="48"/>
        <v>0</v>
      </c>
      <c r="Z754" s="1">
        <f t="shared" si="49"/>
        <v>0</v>
      </c>
      <c r="AA754" s="1">
        <f t="shared" si="50"/>
        <v>0</v>
      </c>
      <c r="AB754" s="1">
        <f t="shared" si="51"/>
        <v>0</v>
      </c>
    </row>
    <row r="755" spans="25:28" ht="15.75" customHeight="1" x14ac:dyDescent="0.2">
      <c r="Y755" s="1">
        <f t="shared" si="48"/>
        <v>0</v>
      </c>
      <c r="Z755" s="1">
        <f t="shared" si="49"/>
        <v>0</v>
      </c>
      <c r="AA755" s="1">
        <f t="shared" si="50"/>
        <v>0</v>
      </c>
      <c r="AB755" s="1">
        <f t="shared" si="51"/>
        <v>0</v>
      </c>
    </row>
    <row r="756" spans="25:28" ht="15.75" customHeight="1" x14ac:dyDescent="0.2">
      <c r="Y756" s="1">
        <f t="shared" si="48"/>
        <v>0</v>
      </c>
      <c r="Z756" s="1">
        <f t="shared" si="49"/>
        <v>0</v>
      </c>
      <c r="AA756" s="1">
        <f t="shared" si="50"/>
        <v>0</v>
      </c>
      <c r="AB756" s="1">
        <f t="shared" si="51"/>
        <v>0</v>
      </c>
    </row>
    <row r="757" spans="25:28" ht="15.75" customHeight="1" x14ac:dyDescent="0.2">
      <c r="Y757" s="1">
        <f t="shared" si="48"/>
        <v>0</v>
      </c>
      <c r="Z757" s="1">
        <f t="shared" si="49"/>
        <v>0</v>
      </c>
      <c r="AA757" s="1">
        <f t="shared" si="50"/>
        <v>0</v>
      </c>
      <c r="AB757" s="1">
        <f t="shared" si="51"/>
        <v>0</v>
      </c>
    </row>
    <row r="758" spans="25:28" ht="15.75" customHeight="1" x14ac:dyDescent="0.2">
      <c r="Y758" s="1">
        <f t="shared" si="48"/>
        <v>0</v>
      </c>
      <c r="Z758" s="1">
        <f t="shared" si="49"/>
        <v>0</v>
      </c>
      <c r="AA758" s="1">
        <f t="shared" si="50"/>
        <v>0</v>
      </c>
      <c r="AB758" s="1">
        <f t="shared" si="51"/>
        <v>0</v>
      </c>
    </row>
    <row r="759" spans="25:28" ht="15.75" customHeight="1" x14ac:dyDescent="0.2">
      <c r="Y759" s="1">
        <f t="shared" si="48"/>
        <v>0</v>
      </c>
      <c r="Z759" s="1">
        <f t="shared" si="49"/>
        <v>0</v>
      </c>
      <c r="AA759" s="1">
        <f t="shared" si="50"/>
        <v>0</v>
      </c>
      <c r="AB759" s="1">
        <f t="shared" si="51"/>
        <v>0</v>
      </c>
    </row>
    <row r="760" spans="25:28" ht="15.75" customHeight="1" x14ac:dyDescent="0.2">
      <c r="Y760" s="1">
        <f t="shared" si="48"/>
        <v>0</v>
      </c>
      <c r="Z760" s="1">
        <f t="shared" si="49"/>
        <v>0</v>
      </c>
      <c r="AA760" s="1">
        <f t="shared" si="50"/>
        <v>0</v>
      </c>
      <c r="AB760" s="1">
        <f t="shared" si="51"/>
        <v>0</v>
      </c>
    </row>
    <row r="761" spans="25:28" ht="15.75" customHeight="1" x14ac:dyDescent="0.2">
      <c r="Y761" s="1">
        <f t="shared" si="48"/>
        <v>0</v>
      </c>
      <c r="Z761" s="1">
        <f t="shared" si="49"/>
        <v>0</v>
      </c>
      <c r="AA761" s="1">
        <f t="shared" si="50"/>
        <v>0</v>
      </c>
      <c r="AB761" s="1">
        <f t="shared" si="51"/>
        <v>0</v>
      </c>
    </row>
    <row r="762" spans="25:28" ht="15.75" customHeight="1" x14ac:dyDescent="0.2">
      <c r="Y762" s="1">
        <f t="shared" si="48"/>
        <v>0</v>
      </c>
      <c r="Z762" s="1">
        <f t="shared" si="49"/>
        <v>0</v>
      </c>
      <c r="AA762" s="1">
        <f t="shared" si="50"/>
        <v>0</v>
      </c>
      <c r="AB762" s="1">
        <f t="shared" si="51"/>
        <v>0</v>
      </c>
    </row>
    <row r="763" spans="25:28" ht="15.75" customHeight="1" x14ac:dyDescent="0.2">
      <c r="Y763" s="1">
        <f t="shared" si="48"/>
        <v>0</v>
      </c>
      <c r="Z763" s="1">
        <f t="shared" si="49"/>
        <v>0</v>
      </c>
      <c r="AA763" s="1">
        <f t="shared" si="50"/>
        <v>0</v>
      </c>
      <c r="AB763" s="1">
        <f t="shared" si="51"/>
        <v>0</v>
      </c>
    </row>
    <row r="764" spans="25:28" ht="15.75" customHeight="1" x14ac:dyDescent="0.2">
      <c r="Y764" s="1">
        <f t="shared" si="48"/>
        <v>0</v>
      </c>
      <c r="Z764" s="1">
        <f t="shared" si="49"/>
        <v>0</v>
      </c>
      <c r="AA764" s="1">
        <f t="shared" si="50"/>
        <v>0</v>
      </c>
      <c r="AB764" s="1">
        <f t="shared" si="51"/>
        <v>0</v>
      </c>
    </row>
    <row r="765" spans="25:28" ht="15.75" customHeight="1" x14ac:dyDescent="0.2">
      <c r="Y765" s="1">
        <f t="shared" si="48"/>
        <v>0</v>
      </c>
      <c r="Z765" s="1">
        <f t="shared" si="49"/>
        <v>0</v>
      </c>
      <c r="AA765" s="1">
        <f t="shared" si="50"/>
        <v>0</v>
      </c>
      <c r="AB765" s="1">
        <f t="shared" si="51"/>
        <v>0</v>
      </c>
    </row>
    <row r="766" spans="25:28" ht="15.75" customHeight="1" x14ac:dyDescent="0.2">
      <c r="Y766" s="1">
        <f t="shared" si="48"/>
        <v>0</v>
      </c>
      <c r="Z766" s="1">
        <f t="shared" si="49"/>
        <v>0</v>
      </c>
      <c r="AA766" s="1">
        <f t="shared" si="50"/>
        <v>0</v>
      </c>
      <c r="AB766" s="1">
        <f t="shared" si="51"/>
        <v>0</v>
      </c>
    </row>
    <row r="767" spans="25:28" ht="15.75" customHeight="1" x14ac:dyDescent="0.2">
      <c r="Y767" s="1">
        <f t="shared" si="48"/>
        <v>0</v>
      </c>
      <c r="Z767" s="1">
        <f t="shared" si="49"/>
        <v>0</v>
      </c>
      <c r="AA767" s="1">
        <f t="shared" si="50"/>
        <v>0</v>
      </c>
      <c r="AB767" s="1">
        <f t="shared" si="51"/>
        <v>0</v>
      </c>
    </row>
    <row r="768" spans="25:28" ht="15.75" customHeight="1" x14ac:dyDescent="0.2">
      <c r="Y768" s="1">
        <f t="shared" si="48"/>
        <v>0</v>
      </c>
      <c r="Z768" s="1">
        <f t="shared" si="49"/>
        <v>0</v>
      </c>
      <c r="AA768" s="1">
        <f t="shared" si="50"/>
        <v>0</v>
      </c>
      <c r="AB768" s="1">
        <f t="shared" si="51"/>
        <v>0</v>
      </c>
    </row>
    <row r="769" spans="25:28" ht="15.75" customHeight="1" x14ac:dyDescent="0.2">
      <c r="Y769" s="1">
        <f t="shared" si="48"/>
        <v>0</v>
      </c>
      <c r="Z769" s="1">
        <f t="shared" si="49"/>
        <v>0</v>
      </c>
      <c r="AA769" s="1">
        <f t="shared" si="50"/>
        <v>0</v>
      </c>
      <c r="AB769" s="1">
        <f t="shared" si="51"/>
        <v>0</v>
      </c>
    </row>
    <row r="770" spans="25:28" ht="15.75" customHeight="1" x14ac:dyDescent="0.2">
      <c r="Y770" s="1">
        <f t="shared" si="48"/>
        <v>0</v>
      </c>
      <c r="Z770" s="1">
        <f t="shared" si="49"/>
        <v>0</v>
      </c>
      <c r="AA770" s="1">
        <f t="shared" si="50"/>
        <v>0</v>
      </c>
      <c r="AB770" s="1">
        <f t="shared" si="51"/>
        <v>0</v>
      </c>
    </row>
    <row r="771" spans="25:28" ht="15.75" customHeight="1" x14ac:dyDescent="0.2">
      <c r="Y771" s="1">
        <f t="shared" si="48"/>
        <v>0</v>
      </c>
      <c r="Z771" s="1">
        <f t="shared" si="49"/>
        <v>0</v>
      </c>
      <c r="AA771" s="1">
        <f t="shared" si="50"/>
        <v>0</v>
      </c>
      <c r="AB771" s="1">
        <f t="shared" si="51"/>
        <v>0</v>
      </c>
    </row>
    <row r="772" spans="25:28" ht="15.75" customHeight="1" x14ac:dyDescent="0.2">
      <c r="Y772" s="1">
        <f t="shared" si="48"/>
        <v>0</v>
      </c>
      <c r="Z772" s="1">
        <f t="shared" si="49"/>
        <v>0</v>
      </c>
      <c r="AA772" s="1">
        <f t="shared" si="50"/>
        <v>0</v>
      </c>
      <c r="AB772" s="1">
        <f t="shared" si="51"/>
        <v>0</v>
      </c>
    </row>
    <row r="773" spans="25:28" ht="15.75" customHeight="1" x14ac:dyDescent="0.2">
      <c r="Y773" s="1">
        <f t="shared" si="48"/>
        <v>0</v>
      </c>
      <c r="Z773" s="1">
        <f t="shared" si="49"/>
        <v>0</v>
      </c>
      <c r="AA773" s="1">
        <f t="shared" si="50"/>
        <v>0</v>
      </c>
      <c r="AB773" s="1">
        <f t="shared" si="51"/>
        <v>0</v>
      </c>
    </row>
    <row r="774" spans="25:28" ht="15.75" customHeight="1" x14ac:dyDescent="0.2">
      <c r="Y774" s="1">
        <f t="shared" si="48"/>
        <v>0</v>
      </c>
      <c r="Z774" s="1">
        <f t="shared" si="49"/>
        <v>0</v>
      </c>
      <c r="AA774" s="1">
        <f t="shared" si="50"/>
        <v>0</v>
      </c>
      <c r="AB774" s="1">
        <f t="shared" si="51"/>
        <v>0</v>
      </c>
    </row>
    <row r="775" spans="25:28" ht="15.75" customHeight="1" x14ac:dyDescent="0.2">
      <c r="Y775" s="1">
        <f t="shared" si="48"/>
        <v>0</v>
      </c>
      <c r="Z775" s="1">
        <f t="shared" si="49"/>
        <v>0</v>
      </c>
      <c r="AA775" s="1">
        <f t="shared" si="50"/>
        <v>0</v>
      </c>
      <c r="AB775" s="1">
        <f t="shared" si="51"/>
        <v>0</v>
      </c>
    </row>
    <row r="776" spans="25:28" ht="15.75" customHeight="1" x14ac:dyDescent="0.2">
      <c r="Y776" s="1">
        <f t="shared" si="48"/>
        <v>0</v>
      </c>
      <c r="Z776" s="1">
        <f t="shared" si="49"/>
        <v>0</v>
      </c>
      <c r="AA776" s="1">
        <f t="shared" si="50"/>
        <v>0</v>
      </c>
      <c r="AB776" s="1">
        <f t="shared" si="51"/>
        <v>0</v>
      </c>
    </row>
    <row r="777" spans="25:28" ht="15.75" customHeight="1" x14ac:dyDescent="0.2">
      <c r="Y777" s="1">
        <f t="shared" si="48"/>
        <v>0</v>
      </c>
      <c r="Z777" s="1">
        <f t="shared" si="49"/>
        <v>0</v>
      </c>
      <c r="AA777" s="1">
        <f t="shared" si="50"/>
        <v>0</v>
      </c>
      <c r="AB777" s="1">
        <f t="shared" si="51"/>
        <v>0</v>
      </c>
    </row>
    <row r="778" spans="25:28" ht="15.75" customHeight="1" x14ac:dyDescent="0.2">
      <c r="Y778" s="1">
        <f t="shared" si="48"/>
        <v>0</v>
      </c>
      <c r="Z778" s="1">
        <f t="shared" si="49"/>
        <v>0</v>
      </c>
      <c r="AA778" s="1">
        <f t="shared" si="50"/>
        <v>0</v>
      </c>
      <c r="AB778" s="1">
        <f t="shared" si="51"/>
        <v>0</v>
      </c>
    </row>
    <row r="779" spans="25:28" ht="15.75" customHeight="1" x14ac:dyDescent="0.2">
      <c r="Y779" s="1">
        <f t="shared" si="48"/>
        <v>0</v>
      </c>
      <c r="Z779" s="1">
        <f t="shared" si="49"/>
        <v>0</v>
      </c>
      <c r="AA779" s="1">
        <f t="shared" si="50"/>
        <v>0</v>
      </c>
      <c r="AB779" s="1">
        <f t="shared" si="51"/>
        <v>0</v>
      </c>
    </row>
    <row r="780" spans="25:28" ht="15.75" customHeight="1" x14ac:dyDescent="0.2">
      <c r="Y780" s="1">
        <f t="shared" si="48"/>
        <v>0</v>
      </c>
      <c r="Z780" s="1">
        <f t="shared" si="49"/>
        <v>0</v>
      </c>
      <c r="AA780" s="1">
        <f t="shared" si="50"/>
        <v>0</v>
      </c>
      <c r="AB780" s="1">
        <f t="shared" si="51"/>
        <v>0</v>
      </c>
    </row>
    <row r="781" spans="25:28" ht="15.75" customHeight="1" x14ac:dyDescent="0.2">
      <c r="Y781" s="1">
        <f t="shared" si="48"/>
        <v>0</v>
      </c>
      <c r="Z781" s="1">
        <f t="shared" si="49"/>
        <v>0</v>
      </c>
      <c r="AA781" s="1">
        <f t="shared" si="50"/>
        <v>0</v>
      </c>
      <c r="AB781" s="1">
        <f t="shared" si="51"/>
        <v>0</v>
      </c>
    </row>
    <row r="782" spans="25:28" ht="15.75" customHeight="1" x14ac:dyDescent="0.2">
      <c r="Y782" s="1">
        <f t="shared" ref="Y782:Y845" si="52">MAX(0,IFERROR((LEN($T783)-LEN(SUBSTITUTE($T783,"Quality of Works / Criteria of Failings:","")))/LEN("Quality of Works / Criteria of Failings:"),0)-IFERROR((LEN($T783)-LEN(SUBSTITUTE($T783,"Quality of Works / Criteria of Failings:Compliant","")))/LEN("Quality of Works / Criteria of Failings:Compliant"),0))</f>
        <v>0</v>
      </c>
      <c r="Z782" s="1">
        <f t="shared" ref="Z782:Z845" si="53">IFERROR($Y783/MAX(1,(LEN($I783)-LEN(SUBSTITUTE($I783," Ltd","")))/LEN(" Ltd")),0)</f>
        <v>0</v>
      </c>
      <c r="AA782" s="1">
        <f t="shared" ref="AA782:AA845" si="54">IFERROR(IFERROR((LEN($T783)-LEN(SUBSTITUTE($T783,"Quality of Works / Criteria of Failings:","")))/LEN("Quality of Works / Criteria of Failings:"),0)/MAX(1,(LEN($I783)-LEN(SUBSTITUTE($I783," Ltd","")))/LEN(" Ltd")),0)</f>
        <v>0</v>
      </c>
      <c r="AB782" s="1">
        <f t="shared" ref="AB782:AB845" si="55">IFERROR(IFERROR((LEN($T783)-LEN(SUBSTITUTE($T783,"Quality of Works / Criteria of Failings:Compliant","")))/LEN("Quality of Works / Criteria of Failings:Compliant"),0)/MAX(1,(LEN($I783)-LEN(SUBSTITUTE($I783," Ltd","")))/LEN(" Ltd")),0)</f>
        <v>0</v>
      </c>
    </row>
    <row r="783" spans="25:28" ht="15.75" customHeight="1" x14ac:dyDescent="0.2">
      <c r="Y783" s="1">
        <f t="shared" si="52"/>
        <v>0</v>
      </c>
      <c r="Z783" s="1">
        <f t="shared" si="53"/>
        <v>0</v>
      </c>
      <c r="AA783" s="1">
        <f t="shared" si="54"/>
        <v>0</v>
      </c>
      <c r="AB783" s="1">
        <f t="shared" si="55"/>
        <v>0</v>
      </c>
    </row>
    <row r="784" spans="25:28" ht="15.75" customHeight="1" x14ac:dyDescent="0.2">
      <c r="Y784" s="1">
        <f t="shared" si="52"/>
        <v>0</v>
      </c>
      <c r="Z784" s="1">
        <f t="shared" si="53"/>
        <v>0</v>
      </c>
      <c r="AA784" s="1">
        <f t="shared" si="54"/>
        <v>0</v>
      </c>
      <c r="AB784" s="1">
        <f t="shared" si="55"/>
        <v>0</v>
      </c>
    </row>
    <row r="785" spans="25:28" ht="15.75" customHeight="1" x14ac:dyDescent="0.2">
      <c r="Y785" s="1">
        <f t="shared" si="52"/>
        <v>0</v>
      </c>
      <c r="Z785" s="1">
        <f t="shared" si="53"/>
        <v>0</v>
      </c>
      <c r="AA785" s="1">
        <f t="shared" si="54"/>
        <v>0</v>
      </c>
      <c r="AB785" s="1">
        <f t="shared" si="55"/>
        <v>0</v>
      </c>
    </row>
    <row r="786" spans="25:28" ht="15.75" customHeight="1" x14ac:dyDescent="0.2">
      <c r="Y786" s="1">
        <f t="shared" si="52"/>
        <v>0</v>
      </c>
      <c r="Z786" s="1">
        <f t="shared" si="53"/>
        <v>0</v>
      </c>
      <c r="AA786" s="1">
        <f t="shared" si="54"/>
        <v>0</v>
      </c>
      <c r="AB786" s="1">
        <f t="shared" si="55"/>
        <v>0</v>
      </c>
    </row>
    <row r="787" spans="25:28" ht="15.75" customHeight="1" x14ac:dyDescent="0.2">
      <c r="Y787" s="1">
        <f t="shared" si="52"/>
        <v>0</v>
      </c>
      <c r="Z787" s="1">
        <f t="shared" si="53"/>
        <v>0</v>
      </c>
      <c r="AA787" s="1">
        <f t="shared" si="54"/>
        <v>0</v>
      </c>
      <c r="AB787" s="1">
        <f t="shared" si="55"/>
        <v>0</v>
      </c>
    </row>
    <row r="788" spans="25:28" ht="15.75" customHeight="1" x14ac:dyDescent="0.2">
      <c r="Y788" s="1">
        <f t="shared" si="52"/>
        <v>0</v>
      </c>
      <c r="Z788" s="1">
        <f t="shared" si="53"/>
        <v>0</v>
      </c>
      <c r="AA788" s="1">
        <f t="shared" si="54"/>
        <v>0</v>
      </c>
      <c r="AB788" s="1">
        <f t="shared" si="55"/>
        <v>0</v>
      </c>
    </row>
    <row r="789" spans="25:28" ht="15.75" customHeight="1" x14ac:dyDescent="0.2">
      <c r="Y789" s="1">
        <f t="shared" si="52"/>
        <v>0</v>
      </c>
      <c r="Z789" s="1">
        <f t="shared" si="53"/>
        <v>0</v>
      </c>
      <c r="AA789" s="1">
        <f t="shared" si="54"/>
        <v>0</v>
      </c>
      <c r="AB789" s="1">
        <f t="shared" si="55"/>
        <v>0</v>
      </c>
    </row>
    <row r="790" spans="25:28" ht="15.75" customHeight="1" x14ac:dyDescent="0.2">
      <c r="Y790" s="1">
        <f t="shared" si="52"/>
        <v>0</v>
      </c>
      <c r="Z790" s="1">
        <f t="shared" si="53"/>
        <v>0</v>
      </c>
      <c r="AA790" s="1">
        <f t="shared" si="54"/>
        <v>0</v>
      </c>
      <c r="AB790" s="1">
        <f t="shared" si="55"/>
        <v>0</v>
      </c>
    </row>
    <row r="791" spans="25:28" ht="15.75" customHeight="1" x14ac:dyDescent="0.2">
      <c r="Y791" s="1">
        <f t="shared" si="52"/>
        <v>0</v>
      </c>
      <c r="Z791" s="1">
        <f t="shared" si="53"/>
        <v>0</v>
      </c>
      <c r="AA791" s="1">
        <f t="shared" si="54"/>
        <v>0</v>
      </c>
      <c r="AB791" s="1">
        <f t="shared" si="55"/>
        <v>0</v>
      </c>
    </row>
    <row r="792" spans="25:28" ht="15.75" customHeight="1" x14ac:dyDescent="0.2">
      <c r="Y792" s="1">
        <f t="shared" si="52"/>
        <v>0</v>
      </c>
      <c r="Z792" s="1">
        <f t="shared" si="53"/>
        <v>0</v>
      </c>
      <c r="AA792" s="1">
        <f t="shared" si="54"/>
        <v>0</v>
      </c>
      <c r="AB792" s="1">
        <f t="shared" si="55"/>
        <v>0</v>
      </c>
    </row>
    <row r="793" spans="25:28" ht="15.75" customHeight="1" x14ac:dyDescent="0.2">
      <c r="Y793" s="1">
        <f t="shared" si="52"/>
        <v>0</v>
      </c>
      <c r="Z793" s="1">
        <f t="shared" si="53"/>
        <v>0</v>
      </c>
      <c r="AA793" s="1">
        <f t="shared" si="54"/>
        <v>0</v>
      </c>
      <c r="AB793" s="1">
        <f t="shared" si="55"/>
        <v>0</v>
      </c>
    </row>
    <row r="794" spans="25:28" ht="15.75" customHeight="1" x14ac:dyDescent="0.2">
      <c r="Y794" s="1">
        <f t="shared" si="52"/>
        <v>0</v>
      </c>
      <c r="Z794" s="1">
        <f t="shared" si="53"/>
        <v>0</v>
      </c>
      <c r="AA794" s="1">
        <f t="shared" si="54"/>
        <v>0</v>
      </c>
      <c r="AB794" s="1">
        <f t="shared" si="55"/>
        <v>0</v>
      </c>
    </row>
    <row r="795" spans="25:28" ht="15.75" customHeight="1" x14ac:dyDescent="0.2">
      <c r="Y795" s="1">
        <f t="shared" si="52"/>
        <v>0</v>
      </c>
      <c r="Z795" s="1">
        <f t="shared" si="53"/>
        <v>0</v>
      </c>
      <c r="AA795" s="1">
        <f t="shared" si="54"/>
        <v>0</v>
      </c>
      <c r="AB795" s="1">
        <f t="shared" si="55"/>
        <v>0</v>
      </c>
    </row>
    <row r="796" spans="25:28" ht="15.75" customHeight="1" x14ac:dyDescent="0.2">
      <c r="Y796" s="1">
        <f t="shared" si="52"/>
        <v>0</v>
      </c>
      <c r="Z796" s="1">
        <f t="shared" si="53"/>
        <v>0</v>
      </c>
      <c r="AA796" s="1">
        <f t="shared" si="54"/>
        <v>0</v>
      </c>
      <c r="AB796" s="1">
        <f t="shared" si="55"/>
        <v>0</v>
      </c>
    </row>
    <row r="797" spans="25:28" ht="15.75" customHeight="1" x14ac:dyDescent="0.2">
      <c r="Y797" s="1">
        <f t="shared" si="52"/>
        <v>0</v>
      </c>
      <c r="Z797" s="1">
        <f t="shared" si="53"/>
        <v>0</v>
      </c>
      <c r="AA797" s="1">
        <f t="shared" si="54"/>
        <v>0</v>
      </c>
      <c r="AB797" s="1">
        <f t="shared" si="55"/>
        <v>0</v>
      </c>
    </row>
    <row r="798" spans="25:28" ht="15.75" customHeight="1" x14ac:dyDescent="0.2">
      <c r="Y798" s="1">
        <f t="shared" si="52"/>
        <v>0</v>
      </c>
      <c r="Z798" s="1">
        <f t="shared" si="53"/>
        <v>0</v>
      </c>
      <c r="AA798" s="1">
        <f t="shared" si="54"/>
        <v>0</v>
      </c>
      <c r="AB798" s="1">
        <f t="shared" si="55"/>
        <v>0</v>
      </c>
    </row>
    <row r="799" spans="25:28" ht="15.75" customHeight="1" x14ac:dyDescent="0.2">
      <c r="Y799" s="1">
        <f t="shared" si="52"/>
        <v>0</v>
      </c>
      <c r="Z799" s="1">
        <f t="shared" si="53"/>
        <v>0</v>
      </c>
      <c r="AA799" s="1">
        <f t="shared" si="54"/>
        <v>0</v>
      </c>
      <c r="AB799" s="1">
        <f t="shared" si="55"/>
        <v>0</v>
      </c>
    </row>
    <row r="800" spans="25:28" ht="15.75" customHeight="1" x14ac:dyDescent="0.2">
      <c r="Y800" s="1">
        <f t="shared" si="52"/>
        <v>0</v>
      </c>
      <c r="Z800" s="1">
        <f t="shared" si="53"/>
        <v>0</v>
      </c>
      <c r="AA800" s="1">
        <f t="shared" si="54"/>
        <v>0</v>
      </c>
      <c r="AB800" s="1">
        <f t="shared" si="55"/>
        <v>0</v>
      </c>
    </row>
    <row r="801" spans="25:28" ht="15.75" customHeight="1" x14ac:dyDescent="0.2">
      <c r="Y801" s="1">
        <f t="shared" si="52"/>
        <v>0</v>
      </c>
      <c r="Z801" s="1">
        <f t="shared" si="53"/>
        <v>0</v>
      </c>
      <c r="AA801" s="1">
        <f t="shared" si="54"/>
        <v>0</v>
      </c>
      <c r="AB801" s="1">
        <f t="shared" si="55"/>
        <v>0</v>
      </c>
    </row>
    <row r="802" spans="25:28" ht="15.75" customHeight="1" x14ac:dyDescent="0.2">
      <c r="Y802" s="1">
        <f t="shared" si="52"/>
        <v>0</v>
      </c>
      <c r="Z802" s="1">
        <f t="shared" si="53"/>
        <v>0</v>
      </c>
      <c r="AA802" s="1">
        <f t="shared" si="54"/>
        <v>0</v>
      </c>
      <c r="AB802" s="1">
        <f t="shared" si="55"/>
        <v>0</v>
      </c>
    </row>
    <row r="803" spans="25:28" ht="15.75" customHeight="1" x14ac:dyDescent="0.2">
      <c r="Y803" s="1">
        <f t="shared" si="52"/>
        <v>0</v>
      </c>
      <c r="Z803" s="1">
        <f t="shared" si="53"/>
        <v>0</v>
      </c>
      <c r="AA803" s="1">
        <f t="shared" si="54"/>
        <v>0</v>
      </c>
      <c r="AB803" s="1">
        <f t="shared" si="55"/>
        <v>0</v>
      </c>
    </row>
    <row r="804" spans="25:28" ht="15.75" customHeight="1" x14ac:dyDescent="0.2">
      <c r="Y804" s="1">
        <f t="shared" si="52"/>
        <v>0</v>
      </c>
      <c r="Z804" s="1">
        <f t="shared" si="53"/>
        <v>0</v>
      </c>
      <c r="AA804" s="1">
        <f t="shared" si="54"/>
        <v>0</v>
      </c>
      <c r="AB804" s="1">
        <f t="shared" si="55"/>
        <v>0</v>
      </c>
    </row>
    <row r="805" spans="25:28" ht="15.75" customHeight="1" x14ac:dyDescent="0.2">
      <c r="Y805" s="1">
        <f t="shared" si="52"/>
        <v>0</v>
      </c>
      <c r="Z805" s="1">
        <f t="shared" si="53"/>
        <v>0</v>
      </c>
      <c r="AA805" s="1">
        <f t="shared" si="54"/>
        <v>0</v>
      </c>
      <c r="AB805" s="1">
        <f t="shared" si="55"/>
        <v>0</v>
      </c>
    </row>
    <row r="806" spans="25:28" ht="15.75" customHeight="1" x14ac:dyDescent="0.2">
      <c r="Y806" s="1">
        <f t="shared" si="52"/>
        <v>0</v>
      </c>
      <c r="Z806" s="1">
        <f t="shared" si="53"/>
        <v>0</v>
      </c>
      <c r="AA806" s="1">
        <f t="shared" si="54"/>
        <v>0</v>
      </c>
      <c r="AB806" s="1">
        <f t="shared" si="55"/>
        <v>0</v>
      </c>
    </row>
    <row r="807" spans="25:28" ht="15.75" customHeight="1" x14ac:dyDescent="0.2">
      <c r="Y807" s="1">
        <f t="shared" si="52"/>
        <v>0</v>
      </c>
      <c r="Z807" s="1">
        <f t="shared" si="53"/>
        <v>0</v>
      </c>
      <c r="AA807" s="1">
        <f t="shared" si="54"/>
        <v>0</v>
      </c>
      <c r="AB807" s="1">
        <f t="shared" si="55"/>
        <v>0</v>
      </c>
    </row>
    <row r="808" spans="25:28" ht="15.75" customHeight="1" x14ac:dyDescent="0.2">
      <c r="Y808" s="1">
        <f t="shared" si="52"/>
        <v>0</v>
      </c>
      <c r="Z808" s="1">
        <f t="shared" si="53"/>
        <v>0</v>
      </c>
      <c r="AA808" s="1">
        <f t="shared" si="54"/>
        <v>0</v>
      </c>
      <c r="AB808" s="1">
        <f t="shared" si="55"/>
        <v>0</v>
      </c>
    </row>
    <row r="809" spans="25:28" ht="15.75" customHeight="1" x14ac:dyDescent="0.2">
      <c r="Y809" s="1">
        <f t="shared" si="52"/>
        <v>0</v>
      </c>
      <c r="Z809" s="1">
        <f t="shared" si="53"/>
        <v>0</v>
      </c>
      <c r="AA809" s="1">
        <f t="shared" si="54"/>
        <v>0</v>
      </c>
      <c r="AB809" s="1">
        <f t="shared" si="55"/>
        <v>0</v>
      </c>
    </row>
    <row r="810" spans="25:28" ht="15.75" customHeight="1" x14ac:dyDescent="0.2">
      <c r="Y810" s="1">
        <f t="shared" si="52"/>
        <v>0</v>
      </c>
      <c r="Z810" s="1">
        <f t="shared" si="53"/>
        <v>0</v>
      </c>
      <c r="AA810" s="1">
        <f t="shared" si="54"/>
        <v>0</v>
      </c>
      <c r="AB810" s="1">
        <f t="shared" si="55"/>
        <v>0</v>
      </c>
    </row>
    <row r="811" spans="25:28" ht="15.75" customHeight="1" x14ac:dyDescent="0.2">
      <c r="Y811" s="1">
        <f t="shared" si="52"/>
        <v>0</v>
      </c>
      <c r="Z811" s="1">
        <f t="shared" si="53"/>
        <v>0</v>
      </c>
      <c r="AA811" s="1">
        <f t="shared" si="54"/>
        <v>0</v>
      </c>
      <c r="AB811" s="1">
        <f t="shared" si="55"/>
        <v>0</v>
      </c>
    </row>
    <row r="812" spans="25:28" ht="15.75" customHeight="1" x14ac:dyDescent="0.2">
      <c r="Y812" s="1">
        <f t="shared" si="52"/>
        <v>0</v>
      </c>
      <c r="Z812" s="1">
        <f t="shared" si="53"/>
        <v>0</v>
      </c>
      <c r="AA812" s="1">
        <f t="shared" si="54"/>
        <v>0</v>
      </c>
      <c r="AB812" s="1">
        <f t="shared" si="55"/>
        <v>0</v>
      </c>
    </row>
    <row r="813" spans="25:28" ht="15.75" customHeight="1" x14ac:dyDescent="0.2">
      <c r="Y813" s="1">
        <f t="shared" si="52"/>
        <v>0</v>
      </c>
      <c r="Z813" s="1">
        <f t="shared" si="53"/>
        <v>0</v>
      </c>
      <c r="AA813" s="1">
        <f t="shared" si="54"/>
        <v>0</v>
      </c>
      <c r="AB813" s="1">
        <f t="shared" si="55"/>
        <v>0</v>
      </c>
    </row>
    <row r="814" spans="25:28" ht="15.75" customHeight="1" x14ac:dyDescent="0.2">
      <c r="Y814" s="1">
        <f t="shared" si="52"/>
        <v>0</v>
      </c>
      <c r="Z814" s="1">
        <f t="shared" si="53"/>
        <v>0</v>
      </c>
      <c r="AA814" s="1">
        <f t="shared" si="54"/>
        <v>0</v>
      </c>
      <c r="AB814" s="1">
        <f t="shared" si="55"/>
        <v>0</v>
      </c>
    </row>
    <row r="815" spans="25:28" ht="15.75" customHeight="1" x14ac:dyDescent="0.2">
      <c r="Y815" s="1">
        <f t="shared" si="52"/>
        <v>0</v>
      </c>
      <c r="Z815" s="1">
        <f t="shared" si="53"/>
        <v>0</v>
      </c>
      <c r="AA815" s="1">
        <f t="shared" si="54"/>
        <v>0</v>
      </c>
      <c r="AB815" s="1">
        <f t="shared" si="55"/>
        <v>0</v>
      </c>
    </row>
    <row r="816" spans="25:28" ht="15.75" customHeight="1" x14ac:dyDescent="0.2">
      <c r="Y816" s="1">
        <f t="shared" si="52"/>
        <v>0</v>
      </c>
      <c r="Z816" s="1">
        <f t="shared" si="53"/>
        <v>0</v>
      </c>
      <c r="AA816" s="1">
        <f t="shared" si="54"/>
        <v>0</v>
      </c>
      <c r="AB816" s="1">
        <f t="shared" si="55"/>
        <v>0</v>
      </c>
    </row>
    <row r="817" spans="25:28" ht="15.75" customHeight="1" x14ac:dyDescent="0.2">
      <c r="Y817" s="1">
        <f t="shared" si="52"/>
        <v>0</v>
      </c>
      <c r="Z817" s="1">
        <f t="shared" si="53"/>
        <v>0</v>
      </c>
      <c r="AA817" s="1">
        <f t="shared" si="54"/>
        <v>0</v>
      </c>
      <c r="AB817" s="1">
        <f t="shared" si="55"/>
        <v>0</v>
      </c>
    </row>
    <row r="818" spans="25:28" ht="15.75" customHeight="1" x14ac:dyDescent="0.2">
      <c r="Y818" s="1">
        <f t="shared" si="52"/>
        <v>0</v>
      </c>
      <c r="Z818" s="1">
        <f t="shared" si="53"/>
        <v>0</v>
      </c>
      <c r="AA818" s="1">
        <f t="shared" si="54"/>
        <v>0</v>
      </c>
      <c r="AB818" s="1">
        <f t="shared" si="55"/>
        <v>0</v>
      </c>
    </row>
    <row r="819" spans="25:28" ht="15.75" customHeight="1" x14ac:dyDescent="0.2">
      <c r="Y819" s="1">
        <f t="shared" si="52"/>
        <v>0</v>
      </c>
      <c r="Z819" s="1">
        <f t="shared" si="53"/>
        <v>0</v>
      </c>
      <c r="AA819" s="1">
        <f t="shared" si="54"/>
        <v>0</v>
      </c>
      <c r="AB819" s="1">
        <f t="shared" si="55"/>
        <v>0</v>
      </c>
    </row>
    <row r="820" spans="25:28" ht="15.75" customHeight="1" x14ac:dyDescent="0.2">
      <c r="Y820" s="1">
        <f t="shared" si="52"/>
        <v>0</v>
      </c>
      <c r="Z820" s="1">
        <f t="shared" si="53"/>
        <v>0</v>
      </c>
      <c r="AA820" s="1">
        <f t="shared" si="54"/>
        <v>0</v>
      </c>
      <c r="AB820" s="1">
        <f t="shared" si="55"/>
        <v>0</v>
      </c>
    </row>
    <row r="821" spans="25:28" ht="15.75" customHeight="1" x14ac:dyDescent="0.2">
      <c r="Y821" s="1">
        <f t="shared" si="52"/>
        <v>0</v>
      </c>
      <c r="Z821" s="1">
        <f t="shared" si="53"/>
        <v>0</v>
      </c>
      <c r="AA821" s="1">
        <f t="shared" si="54"/>
        <v>0</v>
      </c>
      <c r="AB821" s="1">
        <f t="shared" si="55"/>
        <v>0</v>
      </c>
    </row>
    <row r="822" spans="25:28" ht="15.75" customHeight="1" x14ac:dyDescent="0.2">
      <c r="Y822" s="1">
        <f t="shared" si="52"/>
        <v>0</v>
      </c>
      <c r="Z822" s="1">
        <f t="shared" si="53"/>
        <v>0</v>
      </c>
      <c r="AA822" s="1">
        <f t="shared" si="54"/>
        <v>0</v>
      </c>
      <c r="AB822" s="1">
        <f t="shared" si="55"/>
        <v>0</v>
      </c>
    </row>
    <row r="823" spans="25:28" ht="15.75" customHeight="1" x14ac:dyDescent="0.2">
      <c r="Y823" s="1">
        <f t="shared" si="52"/>
        <v>0</v>
      </c>
      <c r="Z823" s="1">
        <f t="shared" si="53"/>
        <v>0</v>
      </c>
      <c r="AA823" s="1">
        <f t="shared" si="54"/>
        <v>0</v>
      </c>
      <c r="AB823" s="1">
        <f t="shared" si="55"/>
        <v>0</v>
      </c>
    </row>
    <row r="824" spans="25:28" ht="15.75" customHeight="1" x14ac:dyDescent="0.2">
      <c r="Y824" s="1">
        <f t="shared" si="52"/>
        <v>0</v>
      </c>
      <c r="Z824" s="1">
        <f t="shared" si="53"/>
        <v>0</v>
      </c>
      <c r="AA824" s="1">
        <f t="shared" si="54"/>
        <v>0</v>
      </c>
      <c r="AB824" s="1">
        <f t="shared" si="55"/>
        <v>0</v>
      </c>
    </row>
    <row r="825" spans="25:28" ht="15.75" customHeight="1" x14ac:dyDescent="0.2">
      <c r="Y825" s="1">
        <f t="shared" si="52"/>
        <v>0</v>
      </c>
      <c r="Z825" s="1">
        <f t="shared" si="53"/>
        <v>0</v>
      </c>
      <c r="AA825" s="1">
        <f t="shared" si="54"/>
        <v>0</v>
      </c>
      <c r="AB825" s="1">
        <f t="shared" si="55"/>
        <v>0</v>
      </c>
    </row>
    <row r="826" spans="25:28" ht="15.75" customHeight="1" x14ac:dyDescent="0.2">
      <c r="Y826" s="1">
        <f t="shared" si="52"/>
        <v>0</v>
      </c>
      <c r="Z826" s="1">
        <f t="shared" si="53"/>
        <v>0</v>
      </c>
      <c r="AA826" s="1">
        <f t="shared" si="54"/>
        <v>0</v>
      </c>
      <c r="AB826" s="1">
        <f t="shared" si="55"/>
        <v>0</v>
      </c>
    </row>
    <row r="827" spans="25:28" ht="15.75" customHeight="1" x14ac:dyDescent="0.2">
      <c r="Y827" s="1">
        <f t="shared" si="52"/>
        <v>0</v>
      </c>
      <c r="Z827" s="1">
        <f t="shared" si="53"/>
        <v>0</v>
      </c>
      <c r="AA827" s="1">
        <f t="shared" si="54"/>
        <v>0</v>
      </c>
      <c r="AB827" s="1">
        <f t="shared" si="55"/>
        <v>0</v>
      </c>
    </row>
    <row r="828" spans="25:28" ht="15.75" customHeight="1" x14ac:dyDescent="0.2">
      <c r="Y828" s="1">
        <f t="shared" si="52"/>
        <v>0</v>
      </c>
      <c r="Z828" s="1">
        <f t="shared" si="53"/>
        <v>0</v>
      </c>
      <c r="AA828" s="1">
        <f t="shared" si="54"/>
        <v>0</v>
      </c>
      <c r="AB828" s="1">
        <f t="shared" si="55"/>
        <v>0</v>
      </c>
    </row>
    <row r="829" spans="25:28" ht="15.75" customHeight="1" x14ac:dyDescent="0.2">
      <c r="Y829" s="1">
        <f t="shared" si="52"/>
        <v>0</v>
      </c>
      <c r="Z829" s="1">
        <f t="shared" si="53"/>
        <v>0</v>
      </c>
      <c r="AA829" s="1">
        <f t="shared" si="54"/>
        <v>0</v>
      </c>
      <c r="AB829" s="1">
        <f t="shared" si="55"/>
        <v>0</v>
      </c>
    </row>
    <row r="830" spans="25:28" ht="15.75" customHeight="1" x14ac:dyDescent="0.2">
      <c r="Y830" s="1">
        <f t="shared" si="52"/>
        <v>0</v>
      </c>
      <c r="Z830" s="1">
        <f t="shared" si="53"/>
        <v>0</v>
      </c>
      <c r="AA830" s="1">
        <f t="shared" si="54"/>
        <v>0</v>
      </c>
      <c r="AB830" s="1">
        <f t="shared" si="55"/>
        <v>0</v>
      </c>
    </row>
    <row r="831" spans="25:28" ht="15.75" customHeight="1" x14ac:dyDescent="0.2">
      <c r="Y831" s="1">
        <f t="shared" si="52"/>
        <v>0</v>
      </c>
      <c r="Z831" s="1">
        <f t="shared" si="53"/>
        <v>0</v>
      </c>
      <c r="AA831" s="1">
        <f t="shared" si="54"/>
        <v>0</v>
      </c>
      <c r="AB831" s="1">
        <f t="shared" si="55"/>
        <v>0</v>
      </c>
    </row>
    <row r="832" spans="25:28" ht="15.75" customHeight="1" x14ac:dyDescent="0.2">
      <c r="Y832" s="1">
        <f t="shared" si="52"/>
        <v>0</v>
      </c>
      <c r="Z832" s="1">
        <f t="shared" si="53"/>
        <v>0</v>
      </c>
      <c r="AA832" s="1">
        <f t="shared" si="54"/>
        <v>0</v>
      </c>
      <c r="AB832" s="1">
        <f t="shared" si="55"/>
        <v>0</v>
      </c>
    </row>
    <row r="833" spans="25:28" ht="15.75" customHeight="1" x14ac:dyDescent="0.2">
      <c r="Y833" s="1">
        <f t="shared" si="52"/>
        <v>0</v>
      </c>
      <c r="Z833" s="1">
        <f t="shared" si="53"/>
        <v>0</v>
      </c>
      <c r="AA833" s="1">
        <f t="shared" si="54"/>
        <v>0</v>
      </c>
      <c r="AB833" s="1">
        <f t="shared" si="55"/>
        <v>0</v>
      </c>
    </row>
    <row r="834" spans="25:28" ht="15.75" customHeight="1" x14ac:dyDescent="0.2">
      <c r="Y834" s="1">
        <f t="shared" si="52"/>
        <v>0</v>
      </c>
      <c r="Z834" s="1">
        <f t="shared" si="53"/>
        <v>0</v>
      </c>
      <c r="AA834" s="1">
        <f t="shared" si="54"/>
        <v>0</v>
      </c>
      <c r="AB834" s="1">
        <f t="shared" si="55"/>
        <v>0</v>
      </c>
    </row>
    <row r="835" spans="25:28" ht="15.75" customHeight="1" x14ac:dyDescent="0.2">
      <c r="Y835" s="1">
        <f t="shared" si="52"/>
        <v>0</v>
      </c>
      <c r="Z835" s="1">
        <f t="shared" si="53"/>
        <v>0</v>
      </c>
      <c r="AA835" s="1">
        <f t="shared" si="54"/>
        <v>0</v>
      </c>
      <c r="AB835" s="1">
        <f t="shared" si="55"/>
        <v>0</v>
      </c>
    </row>
    <row r="836" spans="25:28" ht="15.75" customHeight="1" x14ac:dyDescent="0.2">
      <c r="Y836" s="1">
        <f t="shared" si="52"/>
        <v>0</v>
      </c>
      <c r="Z836" s="1">
        <f t="shared" si="53"/>
        <v>0</v>
      </c>
      <c r="AA836" s="1">
        <f t="shared" si="54"/>
        <v>0</v>
      </c>
      <c r="AB836" s="1">
        <f t="shared" si="55"/>
        <v>0</v>
      </c>
    </row>
    <row r="837" spans="25:28" ht="15.75" customHeight="1" x14ac:dyDescent="0.2">
      <c r="Y837" s="1">
        <f t="shared" si="52"/>
        <v>0</v>
      </c>
      <c r="Z837" s="1">
        <f t="shared" si="53"/>
        <v>0</v>
      </c>
      <c r="AA837" s="1">
        <f t="shared" si="54"/>
        <v>0</v>
      </c>
      <c r="AB837" s="1">
        <f t="shared" si="55"/>
        <v>0</v>
      </c>
    </row>
    <row r="838" spans="25:28" ht="15.75" customHeight="1" x14ac:dyDescent="0.2">
      <c r="Y838" s="1">
        <f t="shared" si="52"/>
        <v>0</v>
      </c>
      <c r="Z838" s="1">
        <f t="shared" si="53"/>
        <v>0</v>
      </c>
      <c r="AA838" s="1">
        <f t="shared" si="54"/>
        <v>0</v>
      </c>
      <c r="AB838" s="1">
        <f t="shared" si="55"/>
        <v>0</v>
      </c>
    </row>
    <row r="839" spans="25:28" ht="15.75" customHeight="1" x14ac:dyDescent="0.2">
      <c r="Y839" s="1">
        <f t="shared" si="52"/>
        <v>0</v>
      </c>
      <c r="Z839" s="1">
        <f t="shared" si="53"/>
        <v>0</v>
      </c>
      <c r="AA839" s="1">
        <f t="shared" si="54"/>
        <v>0</v>
      </c>
      <c r="AB839" s="1">
        <f t="shared" si="55"/>
        <v>0</v>
      </c>
    </row>
    <row r="840" spans="25:28" ht="15.75" customHeight="1" x14ac:dyDescent="0.2">
      <c r="Y840" s="1">
        <f t="shared" si="52"/>
        <v>0</v>
      </c>
      <c r="Z840" s="1">
        <f t="shared" si="53"/>
        <v>0</v>
      </c>
      <c r="AA840" s="1">
        <f t="shared" si="54"/>
        <v>0</v>
      </c>
      <c r="AB840" s="1">
        <f t="shared" si="55"/>
        <v>0</v>
      </c>
    </row>
    <row r="841" spans="25:28" ht="15.75" customHeight="1" x14ac:dyDescent="0.2">
      <c r="Y841" s="1">
        <f t="shared" si="52"/>
        <v>0</v>
      </c>
      <c r="Z841" s="1">
        <f t="shared" si="53"/>
        <v>0</v>
      </c>
      <c r="AA841" s="1">
        <f t="shared" si="54"/>
        <v>0</v>
      </c>
      <c r="AB841" s="1">
        <f t="shared" si="55"/>
        <v>0</v>
      </c>
    </row>
    <row r="842" spans="25:28" ht="15.75" customHeight="1" x14ac:dyDescent="0.2">
      <c r="Y842" s="1">
        <f t="shared" si="52"/>
        <v>0</v>
      </c>
      <c r="Z842" s="1">
        <f t="shared" si="53"/>
        <v>0</v>
      </c>
      <c r="AA842" s="1">
        <f t="shared" si="54"/>
        <v>0</v>
      </c>
      <c r="AB842" s="1">
        <f t="shared" si="55"/>
        <v>0</v>
      </c>
    </row>
    <row r="843" spans="25:28" ht="15.75" customHeight="1" x14ac:dyDescent="0.2">
      <c r="Y843" s="1">
        <f t="shared" si="52"/>
        <v>0</v>
      </c>
      <c r="Z843" s="1">
        <f t="shared" si="53"/>
        <v>0</v>
      </c>
      <c r="AA843" s="1">
        <f t="shared" si="54"/>
        <v>0</v>
      </c>
      <c r="AB843" s="1">
        <f t="shared" si="55"/>
        <v>0</v>
      </c>
    </row>
    <row r="844" spans="25:28" ht="15.75" customHeight="1" x14ac:dyDescent="0.2">
      <c r="Y844" s="1">
        <f t="shared" si="52"/>
        <v>0</v>
      </c>
      <c r="Z844" s="1">
        <f t="shared" si="53"/>
        <v>0</v>
      </c>
      <c r="AA844" s="1">
        <f t="shared" si="54"/>
        <v>0</v>
      </c>
      <c r="AB844" s="1">
        <f t="shared" si="55"/>
        <v>0</v>
      </c>
    </row>
    <row r="845" spans="25:28" ht="15.75" customHeight="1" x14ac:dyDescent="0.2">
      <c r="Y845" s="1">
        <f t="shared" si="52"/>
        <v>0</v>
      </c>
      <c r="Z845" s="1">
        <f t="shared" si="53"/>
        <v>0</v>
      </c>
      <c r="AA845" s="1">
        <f t="shared" si="54"/>
        <v>0</v>
      </c>
      <c r="AB845" s="1">
        <f t="shared" si="55"/>
        <v>0</v>
      </c>
    </row>
    <row r="846" spans="25:28" ht="15.75" customHeight="1" x14ac:dyDescent="0.2">
      <c r="Y846" s="1">
        <f t="shared" ref="Y846:Y909" si="56">MAX(0,IFERROR((LEN($T847)-LEN(SUBSTITUTE($T847,"Quality of Works / Criteria of Failings:","")))/LEN("Quality of Works / Criteria of Failings:"),0)-IFERROR((LEN($T847)-LEN(SUBSTITUTE($T847,"Quality of Works / Criteria of Failings:Compliant","")))/LEN("Quality of Works / Criteria of Failings:Compliant"),0))</f>
        <v>0</v>
      </c>
      <c r="Z846" s="1">
        <f t="shared" ref="Z846:Z909" si="57">IFERROR($Y847/MAX(1,(LEN($I847)-LEN(SUBSTITUTE($I847," Ltd","")))/LEN(" Ltd")),0)</f>
        <v>0</v>
      </c>
      <c r="AA846" s="1">
        <f t="shared" ref="AA846:AA909" si="58">IFERROR(IFERROR((LEN($T847)-LEN(SUBSTITUTE($T847,"Quality of Works / Criteria of Failings:","")))/LEN("Quality of Works / Criteria of Failings:"),0)/MAX(1,(LEN($I847)-LEN(SUBSTITUTE($I847," Ltd","")))/LEN(" Ltd")),0)</f>
        <v>0</v>
      </c>
      <c r="AB846" s="1">
        <f t="shared" ref="AB846:AB909" si="59">IFERROR(IFERROR((LEN($T847)-LEN(SUBSTITUTE($T847,"Quality of Works / Criteria of Failings:Compliant","")))/LEN("Quality of Works / Criteria of Failings:Compliant"),0)/MAX(1,(LEN($I847)-LEN(SUBSTITUTE($I847," Ltd","")))/LEN(" Ltd")),0)</f>
        <v>0</v>
      </c>
    </row>
    <row r="847" spans="25:28" ht="15.75" customHeight="1" x14ac:dyDescent="0.2">
      <c r="Y847" s="1">
        <f t="shared" si="56"/>
        <v>0</v>
      </c>
      <c r="Z847" s="1">
        <f t="shared" si="57"/>
        <v>0</v>
      </c>
      <c r="AA847" s="1">
        <f t="shared" si="58"/>
        <v>0</v>
      </c>
      <c r="AB847" s="1">
        <f t="shared" si="59"/>
        <v>0</v>
      </c>
    </row>
    <row r="848" spans="25:28" ht="15.75" customHeight="1" x14ac:dyDescent="0.2">
      <c r="Y848" s="1">
        <f t="shared" si="56"/>
        <v>0</v>
      </c>
      <c r="Z848" s="1">
        <f t="shared" si="57"/>
        <v>0</v>
      </c>
      <c r="AA848" s="1">
        <f t="shared" si="58"/>
        <v>0</v>
      </c>
      <c r="AB848" s="1">
        <f t="shared" si="59"/>
        <v>0</v>
      </c>
    </row>
    <row r="849" spans="25:28" ht="15.75" customHeight="1" x14ac:dyDescent="0.2">
      <c r="Y849" s="1">
        <f t="shared" si="56"/>
        <v>0</v>
      </c>
      <c r="Z849" s="1">
        <f t="shared" si="57"/>
        <v>0</v>
      </c>
      <c r="AA849" s="1">
        <f t="shared" si="58"/>
        <v>0</v>
      </c>
      <c r="AB849" s="1">
        <f t="shared" si="59"/>
        <v>0</v>
      </c>
    </row>
    <row r="850" spans="25:28" ht="15.75" customHeight="1" x14ac:dyDescent="0.2">
      <c r="Y850" s="1">
        <f t="shared" si="56"/>
        <v>0</v>
      </c>
      <c r="Z850" s="1">
        <f t="shared" si="57"/>
        <v>0</v>
      </c>
      <c r="AA850" s="1">
        <f t="shared" si="58"/>
        <v>0</v>
      </c>
      <c r="AB850" s="1">
        <f t="shared" si="59"/>
        <v>0</v>
      </c>
    </row>
    <row r="851" spans="25:28" ht="15.75" customHeight="1" x14ac:dyDescent="0.2">
      <c r="Y851" s="1">
        <f t="shared" si="56"/>
        <v>0</v>
      </c>
      <c r="Z851" s="1">
        <f t="shared" si="57"/>
        <v>0</v>
      </c>
      <c r="AA851" s="1">
        <f t="shared" si="58"/>
        <v>0</v>
      </c>
      <c r="AB851" s="1">
        <f t="shared" si="59"/>
        <v>0</v>
      </c>
    </row>
    <row r="852" spans="25:28" ht="15.75" customHeight="1" x14ac:dyDescent="0.2">
      <c r="Y852" s="1">
        <f t="shared" si="56"/>
        <v>0</v>
      </c>
      <c r="Z852" s="1">
        <f t="shared" si="57"/>
        <v>0</v>
      </c>
      <c r="AA852" s="1">
        <f t="shared" si="58"/>
        <v>0</v>
      </c>
      <c r="AB852" s="1">
        <f t="shared" si="59"/>
        <v>0</v>
      </c>
    </row>
    <row r="853" spans="25:28" ht="15.75" customHeight="1" x14ac:dyDescent="0.2">
      <c r="Y853" s="1">
        <f t="shared" si="56"/>
        <v>0</v>
      </c>
      <c r="Z853" s="1">
        <f t="shared" si="57"/>
        <v>0</v>
      </c>
      <c r="AA853" s="1">
        <f t="shared" si="58"/>
        <v>0</v>
      </c>
      <c r="AB853" s="1">
        <f t="shared" si="59"/>
        <v>0</v>
      </c>
    </row>
    <row r="854" spans="25:28" ht="15.75" customHeight="1" x14ac:dyDescent="0.2">
      <c r="Y854" s="1">
        <f t="shared" si="56"/>
        <v>0</v>
      </c>
      <c r="Z854" s="1">
        <f t="shared" si="57"/>
        <v>0</v>
      </c>
      <c r="AA854" s="1">
        <f t="shared" si="58"/>
        <v>0</v>
      </c>
      <c r="AB854" s="1">
        <f t="shared" si="59"/>
        <v>0</v>
      </c>
    </row>
    <row r="855" spans="25:28" ht="15.75" customHeight="1" x14ac:dyDescent="0.2">
      <c r="Y855" s="1">
        <f t="shared" si="56"/>
        <v>0</v>
      </c>
      <c r="Z855" s="1">
        <f t="shared" si="57"/>
        <v>0</v>
      </c>
      <c r="AA855" s="1">
        <f t="shared" si="58"/>
        <v>0</v>
      </c>
      <c r="AB855" s="1">
        <f t="shared" si="59"/>
        <v>0</v>
      </c>
    </row>
    <row r="856" spans="25:28" ht="15.75" customHeight="1" x14ac:dyDescent="0.2">
      <c r="Y856" s="1">
        <f t="shared" si="56"/>
        <v>0</v>
      </c>
      <c r="Z856" s="1">
        <f t="shared" si="57"/>
        <v>0</v>
      </c>
      <c r="AA856" s="1">
        <f t="shared" si="58"/>
        <v>0</v>
      </c>
      <c r="AB856" s="1">
        <f t="shared" si="59"/>
        <v>0</v>
      </c>
    </row>
    <row r="857" spans="25:28" ht="15.75" customHeight="1" x14ac:dyDescent="0.2">
      <c r="Y857" s="1">
        <f t="shared" si="56"/>
        <v>0</v>
      </c>
      <c r="Z857" s="1">
        <f t="shared" si="57"/>
        <v>0</v>
      </c>
      <c r="AA857" s="1">
        <f t="shared" si="58"/>
        <v>0</v>
      </c>
      <c r="AB857" s="1">
        <f t="shared" si="59"/>
        <v>0</v>
      </c>
    </row>
    <row r="858" spans="25:28" ht="15.75" customHeight="1" x14ac:dyDescent="0.2">
      <c r="Y858" s="1">
        <f t="shared" si="56"/>
        <v>0</v>
      </c>
      <c r="Z858" s="1">
        <f t="shared" si="57"/>
        <v>0</v>
      </c>
      <c r="AA858" s="1">
        <f t="shared" si="58"/>
        <v>0</v>
      </c>
      <c r="AB858" s="1">
        <f t="shared" si="59"/>
        <v>0</v>
      </c>
    </row>
    <row r="859" spans="25:28" ht="15.75" customHeight="1" x14ac:dyDescent="0.2">
      <c r="Y859" s="1">
        <f t="shared" si="56"/>
        <v>0</v>
      </c>
      <c r="Z859" s="1">
        <f t="shared" si="57"/>
        <v>0</v>
      </c>
      <c r="AA859" s="1">
        <f t="shared" si="58"/>
        <v>0</v>
      </c>
      <c r="AB859" s="1">
        <f t="shared" si="59"/>
        <v>0</v>
      </c>
    </row>
    <row r="860" spans="25:28" ht="15.75" customHeight="1" x14ac:dyDescent="0.2">
      <c r="Y860" s="1">
        <f t="shared" si="56"/>
        <v>0</v>
      </c>
      <c r="Z860" s="1">
        <f t="shared" si="57"/>
        <v>0</v>
      </c>
      <c r="AA860" s="1">
        <f t="shared" si="58"/>
        <v>0</v>
      </c>
      <c r="AB860" s="1">
        <f t="shared" si="59"/>
        <v>0</v>
      </c>
    </row>
    <row r="861" spans="25:28" ht="15.75" customHeight="1" x14ac:dyDescent="0.2">
      <c r="Y861" s="1">
        <f t="shared" si="56"/>
        <v>0</v>
      </c>
      <c r="Z861" s="1">
        <f t="shared" si="57"/>
        <v>0</v>
      </c>
      <c r="AA861" s="1">
        <f t="shared" si="58"/>
        <v>0</v>
      </c>
      <c r="AB861" s="1">
        <f t="shared" si="59"/>
        <v>0</v>
      </c>
    </row>
    <row r="862" spans="25:28" ht="15.75" customHeight="1" x14ac:dyDescent="0.2">
      <c r="Y862" s="1">
        <f t="shared" si="56"/>
        <v>0</v>
      </c>
      <c r="Z862" s="1">
        <f t="shared" si="57"/>
        <v>0</v>
      </c>
      <c r="AA862" s="1">
        <f t="shared" si="58"/>
        <v>0</v>
      </c>
      <c r="AB862" s="1">
        <f t="shared" si="59"/>
        <v>0</v>
      </c>
    </row>
    <row r="863" spans="25:28" ht="15.75" customHeight="1" x14ac:dyDescent="0.2">
      <c r="Y863" s="1">
        <f t="shared" si="56"/>
        <v>0</v>
      </c>
      <c r="Z863" s="1">
        <f t="shared" si="57"/>
        <v>0</v>
      </c>
      <c r="AA863" s="1">
        <f t="shared" si="58"/>
        <v>0</v>
      </c>
      <c r="AB863" s="1">
        <f t="shared" si="59"/>
        <v>0</v>
      </c>
    </row>
    <row r="864" spans="25:28" ht="15.75" customHeight="1" x14ac:dyDescent="0.2">
      <c r="Y864" s="1">
        <f t="shared" si="56"/>
        <v>0</v>
      </c>
      <c r="Z864" s="1">
        <f t="shared" si="57"/>
        <v>0</v>
      </c>
      <c r="AA864" s="1">
        <f t="shared" si="58"/>
        <v>0</v>
      </c>
      <c r="AB864" s="1">
        <f t="shared" si="59"/>
        <v>0</v>
      </c>
    </row>
    <row r="865" spans="25:28" ht="15.75" customHeight="1" x14ac:dyDescent="0.2">
      <c r="Y865" s="1">
        <f t="shared" si="56"/>
        <v>0</v>
      </c>
      <c r="Z865" s="1">
        <f t="shared" si="57"/>
        <v>0</v>
      </c>
      <c r="AA865" s="1">
        <f t="shared" si="58"/>
        <v>0</v>
      </c>
      <c r="AB865" s="1">
        <f t="shared" si="59"/>
        <v>0</v>
      </c>
    </row>
    <row r="866" spans="25:28" ht="15.75" customHeight="1" x14ac:dyDescent="0.2">
      <c r="Y866" s="1">
        <f t="shared" si="56"/>
        <v>0</v>
      </c>
      <c r="Z866" s="1">
        <f t="shared" si="57"/>
        <v>0</v>
      </c>
      <c r="AA866" s="1">
        <f t="shared" si="58"/>
        <v>0</v>
      </c>
      <c r="AB866" s="1">
        <f t="shared" si="59"/>
        <v>0</v>
      </c>
    </row>
    <row r="867" spans="25:28" ht="15.75" customHeight="1" x14ac:dyDescent="0.2">
      <c r="Y867" s="1">
        <f t="shared" si="56"/>
        <v>0</v>
      </c>
      <c r="Z867" s="1">
        <f t="shared" si="57"/>
        <v>0</v>
      </c>
      <c r="AA867" s="1">
        <f t="shared" si="58"/>
        <v>0</v>
      </c>
      <c r="AB867" s="1">
        <f t="shared" si="59"/>
        <v>0</v>
      </c>
    </row>
    <row r="868" spans="25:28" ht="15.75" customHeight="1" x14ac:dyDescent="0.2">
      <c r="Y868" s="1">
        <f t="shared" si="56"/>
        <v>0</v>
      </c>
      <c r="Z868" s="1">
        <f t="shared" si="57"/>
        <v>0</v>
      </c>
      <c r="AA868" s="1">
        <f t="shared" si="58"/>
        <v>0</v>
      </c>
      <c r="AB868" s="1">
        <f t="shared" si="59"/>
        <v>0</v>
      </c>
    </row>
    <row r="869" spans="25:28" ht="15.75" customHeight="1" x14ac:dyDescent="0.2">
      <c r="Y869" s="1">
        <f t="shared" si="56"/>
        <v>0</v>
      </c>
      <c r="Z869" s="1">
        <f t="shared" si="57"/>
        <v>0</v>
      </c>
      <c r="AA869" s="1">
        <f t="shared" si="58"/>
        <v>0</v>
      </c>
      <c r="AB869" s="1">
        <f t="shared" si="59"/>
        <v>0</v>
      </c>
    </row>
    <row r="870" spans="25:28" ht="15.75" customHeight="1" x14ac:dyDescent="0.2">
      <c r="Y870" s="1">
        <f t="shared" si="56"/>
        <v>0</v>
      </c>
      <c r="Z870" s="1">
        <f t="shared" si="57"/>
        <v>0</v>
      </c>
      <c r="AA870" s="1">
        <f t="shared" si="58"/>
        <v>0</v>
      </c>
      <c r="AB870" s="1">
        <f t="shared" si="59"/>
        <v>0</v>
      </c>
    </row>
    <row r="871" spans="25:28" ht="15.75" customHeight="1" x14ac:dyDescent="0.2">
      <c r="Y871" s="1">
        <f t="shared" si="56"/>
        <v>0</v>
      </c>
      <c r="Z871" s="1">
        <f t="shared" si="57"/>
        <v>0</v>
      </c>
      <c r="AA871" s="1">
        <f t="shared" si="58"/>
        <v>0</v>
      </c>
      <c r="AB871" s="1">
        <f t="shared" si="59"/>
        <v>0</v>
      </c>
    </row>
    <row r="872" spans="25:28" ht="15.75" customHeight="1" x14ac:dyDescent="0.2">
      <c r="Y872" s="1">
        <f t="shared" si="56"/>
        <v>0</v>
      </c>
      <c r="Z872" s="1">
        <f t="shared" si="57"/>
        <v>0</v>
      </c>
      <c r="AA872" s="1">
        <f t="shared" si="58"/>
        <v>0</v>
      </c>
      <c r="AB872" s="1">
        <f t="shared" si="59"/>
        <v>0</v>
      </c>
    </row>
    <row r="873" spans="25:28" ht="15.75" customHeight="1" x14ac:dyDescent="0.2">
      <c r="Y873" s="1">
        <f t="shared" si="56"/>
        <v>0</v>
      </c>
      <c r="Z873" s="1">
        <f t="shared" si="57"/>
        <v>0</v>
      </c>
      <c r="AA873" s="1">
        <f t="shared" si="58"/>
        <v>0</v>
      </c>
      <c r="AB873" s="1">
        <f t="shared" si="59"/>
        <v>0</v>
      </c>
    </row>
    <row r="874" spans="25:28" ht="15.75" customHeight="1" x14ac:dyDescent="0.2">
      <c r="Y874" s="1">
        <f t="shared" si="56"/>
        <v>0</v>
      </c>
      <c r="Z874" s="1">
        <f t="shared" si="57"/>
        <v>0</v>
      </c>
      <c r="AA874" s="1">
        <f t="shared" si="58"/>
        <v>0</v>
      </c>
      <c r="AB874" s="1">
        <f t="shared" si="59"/>
        <v>0</v>
      </c>
    </row>
    <row r="875" spans="25:28" ht="15.75" customHeight="1" x14ac:dyDescent="0.2">
      <c r="Y875" s="1">
        <f t="shared" si="56"/>
        <v>0</v>
      </c>
      <c r="Z875" s="1">
        <f t="shared" si="57"/>
        <v>0</v>
      </c>
      <c r="AA875" s="1">
        <f t="shared" si="58"/>
        <v>0</v>
      </c>
      <c r="AB875" s="1">
        <f t="shared" si="59"/>
        <v>0</v>
      </c>
    </row>
    <row r="876" spans="25:28" ht="15.75" customHeight="1" x14ac:dyDescent="0.2">
      <c r="Y876" s="1">
        <f t="shared" si="56"/>
        <v>0</v>
      </c>
      <c r="Z876" s="1">
        <f t="shared" si="57"/>
        <v>0</v>
      </c>
      <c r="AA876" s="1">
        <f t="shared" si="58"/>
        <v>0</v>
      </c>
      <c r="AB876" s="1">
        <f t="shared" si="59"/>
        <v>0</v>
      </c>
    </row>
    <row r="877" spans="25:28" ht="15.75" customHeight="1" x14ac:dyDescent="0.2">
      <c r="Y877" s="1">
        <f t="shared" si="56"/>
        <v>0</v>
      </c>
      <c r="Z877" s="1">
        <f t="shared" si="57"/>
        <v>0</v>
      </c>
      <c r="AA877" s="1">
        <f t="shared" si="58"/>
        <v>0</v>
      </c>
      <c r="AB877" s="1">
        <f t="shared" si="59"/>
        <v>0</v>
      </c>
    </row>
    <row r="878" spans="25:28" ht="15.75" customHeight="1" x14ac:dyDescent="0.2">
      <c r="Y878" s="1">
        <f t="shared" si="56"/>
        <v>0</v>
      </c>
      <c r="Z878" s="1">
        <f t="shared" si="57"/>
        <v>0</v>
      </c>
      <c r="AA878" s="1">
        <f t="shared" si="58"/>
        <v>0</v>
      </c>
      <c r="AB878" s="1">
        <f t="shared" si="59"/>
        <v>0</v>
      </c>
    </row>
    <row r="879" spans="25:28" ht="15.75" customHeight="1" x14ac:dyDescent="0.2">
      <c r="Y879" s="1">
        <f t="shared" si="56"/>
        <v>0</v>
      </c>
      <c r="Z879" s="1">
        <f t="shared" si="57"/>
        <v>0</v>
      </c>
      <c r="AA879" s="1">
        <f t="shared" si="58"/>
        <v>0</v>
      </c>
      <c r="AB879" s="1">
        <f t="shared" si="59"/>
        <v>0</v>
      </c>
    </row>
    <row r="880" spans="25:28" ht="15.75" customHeight="1" x14ac:dyDescent="0.2">
      <c r="Y880" s="1">
        <f t="shared" si="56"/>
        <v>0</v>
      </c>
      <c r="Z880" s="1">
        <f t="shared" si="57"/>
        <v>0</v>
      </c>
      <c r="AA880" s="1">
        <f t="shared" si="58"/>
        <v>0</v>
      </c>
      <c r="AB880" s="1">
        <f t="shared" si="59"/>
        <v>0</v>
      </c>
    </row>
    <row r="881" spans="25:28" ht="15.75" customHeight="1" x14ac:dyDescent="0.2">
      <c r="Y881" s="1">
        <f t="shared" si="56"/>
        <v>0</v>
      </c>
      <c r="Z881" s="1">
        <f t="shared" si="57"/>
        <v>0</v>
      </c>
      <c r="AA881" s="1">
        <f t="shared" si="58"/>
        <v>0</v>
      </c>
      <c r="AB881" s="1">
        <f t="shared" si="59"/>
        <v>0</v>
      </c>
    </row>
    <row r="882" spans="25:28" ht="15.75" customHeight="1" x14ac:dyDescent="0.2">
      <c r="Y882" s="1">
        <f t="shared" si="56"/>
        <v>0</v>
      </c>
      <c r="Z882" s="1">
        <f t="shared" si="57"/>
        <v>0</v>
      </c>
      <c r="AA882" s="1">
        <f t="shared" si="58"/>
        <v>0</v>
      </c>
      <c r="AB882" s="1">
        <f t="shared" si="59"/>
        <v>0</v>
      </c>
    </row>
    <row r="883" spans="25:28" ht="15.75" customHeight="1" x14ac:dyDescent="0.2">
      <c r="Y883" s="1">
        <f t="shared" si="56"/>
        <v>0</v>
      </c>
      <c r="Z883" s="1">
        <f t="shared" si="57"/>
        <v>0</v>
      </c>
      <c r="AA883" s="1">
        <f t="shared" si="58"/>
        <v>0</v>
      </c>
      <c r="AB883" s="1">
        <f t="shared" si="59"/>
        <v>0</v>
      </c>
    </row>
    <row r="884" spans="25:28" ht="15.75" customHeight="1" x14ac:dyDescent="0.2">
      <c r="Y884" s="1">
        <f t="shared" si="56"/>
        <v>0</v>
      </c>
      <c r="Z884" s="1">
        <f t="shared" si="57"/>
        <v>0</v>
      </c>
      <c r="AA884" s="1">
        <f t="shared" si="58"/>
        <v>0</v>
      </c>
      <c r="AB884" s="1">
        <f t="shared" si="59"/>
        <v>0</v>
      </c>
    </row>
    <row r="885" spans="25:28" ht="15.75" customHeight="1" x14ac:dyDescent="0.2">
      <c r="Y885" s="1">
        <f t="shared" si="56"/>
        <v>0</v>
      </c>
      <c r="Z885" s="1">
        <f t="shared" si="57"/>
        <v>0</v>
      </c>
      <c r="AA885" s="1">
        <f t="shared" si="58"/>
        <v>0</v>
      </c>
      <c r="AB885" s="1">
        <f t="shared" si="59"/>
        <v>0</v>
      </c>
    </row>
    <row r="886" spans="25:28" ht="15.75" customHeight="1" x14ac:dyDescent="0.2">
      <c r="Y886" s="1">
        <f t="shared" si="56"/>
        <v>0</v>
      </c>
      <c r="Z886" s="1">
        <f t="shared" si="57"/>
        <v>0</v>
      </c>
      <c r="AA886" s="1">
        <f t="shared" si="58"/>
        <v>0</v>
      </c>
      <c r="AB886" s="1">
        <f t="shared" si="59"/>
        <v>0</v>
      </c>
    </row>
    <row r="887" spans="25:28" ht="15.75" customHeight="1" x14ac:dyDescent="0.2">
      <c r="Y887" s="1">
        <f t="shared" si="56"/>
        <v>0</v>
      </c>
      <c r="Z887" s="1">
        <f t="shared" si="57"/>
        <v>0</v>
      </c>
      <c r="AA887" s="1">
        <f t="shared" si="58"/>
        <v>0</v>
      </c>
      <c r="AB887" s="1">
        <f t="shared" si="59"/>
        <v>0</v>
      </c>
    </row>
    <row r="888" spans="25:28" ht="15.75" customHeight="1" x14ac:dyDescent="0.2">
      <c r="Y888" s="1">
        <f t="shared" si="56"/>
        <v>0</v>
      </c>
      <c r="Z888" s="1">
        <f t="shared" si="57"/>
        <v>0</v>
      </c>
      <c r="AA888" s="1">
        <f t="shared" si="58"/>
        <v>0</v>
      </c>
      <c r="AB888" s="1">
        <f t="shared" si="59"/>
        <v>0</v>
      </c>
    </row>
    <row r="889" spans="25:28" ht="15.75" customHeight="1" x14ac:dyDescent="0.2">
      <c r="Y889" s="1">
        <f t="shared" si="56"/>
        <v>0</v>
      </c>
      <c r="Z889" s="1">
        <f t="shared" si="57"/>
        <v>0</v>
      </c>
      <c r="AA889" s="1">
        <f t="shared" si="58"/>
        <v>0</v>
      </c>
      <c r="AB889" s="1">
        <f t="shared" si="59"/>
        <v>0</v>
      </c>
    </row>
    <row r="890" spans="25:28" ht="15.75" customHeight="1" x14ac:dyDescent="0.2">
      <c r="Y890" s="1">
        <f t="shared" si="56"/>
        <v>0</v>
      </c>
      <c r="Z890" s="1">
        <f t="shared" si="57"/>
        <v>0</v>
      </c>
      <c r="AA890" s="1">
        <f t="shared" si="58"/>
        <v>0</v>
      </c>
      <c r="AB890" s="1">
        <f t="shared" si="59"/>
        <v>0</v>
      </c>
    </row>
    <row r="891" spans="25:28" ht="15.75" customHeight="1" x14ac:dyDescent="0.2">
      <c r="Y891" s="1">
        <f t="shared" si="56"/>
        <v>0</v>
      </c>
      <c r="Z891" s="1">
        <f t="shared" si="57"/>
        <v>0</v>
      </c>
      <c r="AA891" s="1">
        <f t="shared" si="58"/>
        <v>0</v>
      </c>
      <c r="AB891" s="1">
        <f t="shared" si="59"/>
        <v>0</v>
      </c>
    </row>
    <row r="892" spans="25:28" ht="15.75" customHeight="1" x14ac:dyDescent="0.2">
      <c r="Y892" s="1">
        <f t="shared" si="56"/>
        <v>0</v>
      </c>
      <c r="Z892" s="1">
        <f t="shared" si="57"/>
        <v>0</v>
      </c>
      <c r="AA892" s="1">
        <f t="shared" si="58"/>
        <v>0</v>
      </c>
      <c r="AB892" s="1">
        <f t="shared" si="59"/>
        <v>0</v>
      </c>
    </row>
    <row r="893" spans="25:28" ht="15.75" customHeight="1" x14ac:dyDescent="0.2">
      <c r="Y893" s="1">
        <f t="shared" si="56"/>
        <v>0</v>
      </c>
      <c r="Z893" s="1">
        <f t="shared" si="57"/>
        <v>0</v>
      </c>
      <c r="AA893" s="1">
        <f t="shared" si="58"/>
        <v>0</v>
      </c>
      <c r="AB893" s="1">
        <f t="shared" si="59"/>
        <v>0</v>
      </c>
    </row>
    <row r="894" spans="25:28" ht="15.75" customHeight="1" x14ac:dyDescent="0.2">
      <c r="Y894" s="1">
        <f t="shared" si="56"/>
        <v>0</v>
      </c>
      <c r="Z894" s="1">
        <f t="shared" si="57"/>
        <v>0</v>
      </c>
      <c r="AA894" s="1">
        <f t="shared" si="58"/>
        <v>0</v>
      </c>
      <c r="AB894" s="1">
        <f t="shared" si="59"/>
        <v>0</v>
      </c>
    </row>
    <row r="895" spans="25:28" ht="15.75" customHeight="1" x14ac:dyDescent="0.2">
      <c r="Y895" s="1">
        <f t="shared" si="56"/>
        <v>0</v>
      </c>
      <c r="Z895" s="1">
        <f t="shared" si="57"/>
        <v>0</v>
      </c>
      <c r="AA895" s="1">
        <f t="shared" si="58"/>
        <v>0</v>
      </c>
      <c r="AB895" s="1">
        <f t="shared" si="59"/>
        <v>0</v>
      </c>
    </row>
    <row r="896" spans="25:28" ht="15.75" customHeight="1" x14ac:dyDescent="0.2">
      <c r="Y896" s="1">
        <f t="shared" si="56"/>
        <v>0</v>
      </c>
      <c r="Z896" s="1">
        <f t="shared" si="57"/>
        <v>0</v>
      </c>
      <c r="AA896" s="1">
        <f t="shared" si="58"/>
        <v>0</v>
      </c>
      <c r="AB896" s="1">
        <f t="shared" si="59"/>
        <v>0</v>
      </c>
    </row>
    <row r="897" spans="25:28" ht="15.75" customHeight="1" x14ac:dyDescent="0.2">
      <c r="Y897" s="1">
        <f t="shared" si="56"/>
        <v>0</v>
      </c>
      <c r="Z897" s="1">
        <f t="shared" si="57"/>
        <v>0</v>
      </c>
      <c r="AA897" s="1">
        <f t="shared" si="58"/>
        <v>0</v>
      </c>
      <c r="AB897" s="1">
        <f t="shared" si="59"/>
        <v>0</v>
      </c>
    </row>
    <row r="898" spans="25:28" ht="15.75" customHeight="1" x14ac:dyDescent="0.2">
      <c r="Y898" s="1">
        <f t="shared" si="56"/>
        <v>0</v>
      </c>
      <c r="Z898" s="1">
        <f t="shared" si="57"/>
        <v>0</v>
      </c>
      <c r="AA898" s="1">
        <f t="shared" si="58"/>
        <v>0</v>
      </c>
      <c r="AB898" s="1">
        <f t="shared" si="59"/>
        <v>0</v>
      </c>
    </row>
    <row r="899" spans="25:28" ht="15.75" customHeight="1" x14ac:dyDescent="0.2">
      <c r="Y899" s="1">
        <f t="shared" si="56"/>
        <v>0</v>
      </c>
      <c r="Z899" s="1">
        <f t="shared" si="57"/>
        <v>0</v>
      </c>
      <c r="AA899" s="1">
        <f t="shared" si="58"/>
        <v>0</v>
      </c>
      <c r="AB899" s="1">
        <f t="shared" si="59"/>
        <v>0</v>
      </c>
    </row>
    <row r="900" spans="25:28" ht="15.75" customHeight="1" x14ac:dyDescent="0.2">
      <c r="Y900" s="1">
        <f t="shared" si="56"/>
        <v>0</v>
      </c>
      <c r="Z900" s="1">
        <f t="shared" si="57"/>
        <v>0</v>
      </c>
      <c r="AA900" s="1">
        <f t="shared" si="58"/>
        <v>0</v>
      </c>
      <c r="AB900" s="1">
        <f t="shared" si="59"/>
        <v>0</v>
      </c>
    </row>
    <row r="901" spans="25:28" ht="15.75" customHeight="1" x14ac:dyDescent="0.2">
      <c r="Y901" s="1">
        <f t="shared" si="56"/>
        <v>0</v>
      </c>
      <c r="Z901" s="1">
        <f t="shared" si="57"/>
        <v>0</v>
      </c>
      <c r="AA901" s="1">
        <f t="shared" si="58"/>
        <v>0</v>
      </c>
      <c r="AB901" s="1">
        <f t="shared" si="59"/>
        <v>0</v>
      </c>
    </row>
    <row r="902" spans="25:28" ht="15.75" customHeight="1" x14ac:dyDescent="0.2">
      <c r="Y902" s="1">
        <f t="shared" si="56"/>
        <v>0</v>
      </c>
      <c r="Z902" s="1">
        <f t="shared" si="57"/>
        <v>0</v>
      </c>
      <c r="AA902" s="1">
        <f t="shared" si="58"/>
        <v>0</v>
      </c>
      <c r="AB902" s="1">
        <f t="shared" si="59"/>
        <v>0</v>
      </c>
    </row>
    <row r="903" spans="25:28" ht="15.75" customHeight="1" x14ac:dyDescent="0.2">
      <c r="Y903" s="1">
        <f t="shared" si="56"/>
        <v>0</v>
      </c>
      <c r="Z903" s="1">
        <f t="shared" si="57"/>
        <v>0</v>
      </c>
      <c r="AA903" s="1">
        <f t="shared" si="58"/>
        <v>0</v>
      </c>
      <c r="AB903" s="1">
        <f t="shared" si="59"/>
        <v>0</v>
      </c>
    </row>
    <row r="904" spans="25:28" ht="15.75" customHeight="1" x14ac:dyDescent="0.2">
      <c r="Y904" s="1">
        <f t="shared" si="56"/>
        <v>0</v>
      </c>
      <c r="Z904" s="1">
        <f t="shared" si="57"/>
        <v>0</v>
      </c>
      <c r="AA904" s="1">
        <f t="shared" si="58"/>
        <v>0</v>
      </c>
      <c r="AB904" s="1">
        <f t="shared" si="59"/>
        <v>0</v>
      </c>
    </row>
    <row r="905" spans="25:28" ht="15.75" customHeight="1" x14ac:dyDescent="0.2">
      <c r="Y905" s="1">
        <f t="shared" si="56"/>
        <v>0</v>
      </c>
      <c r="Z905" s="1">
        <f t="shared" si="57"/>
        <v>0</v>
      </c>
      <c r="AA905" s="1">
        <f t="shared" si="58"/>
        <v>0</v>
      </c>
      <c r="AB905" s="1">
        <f t="shared" si="59"/>
        <v>0</v>
      </c>
    </row>
    <row r="906" spans="25:28" ht="15.75" customHeight="1" x14ac:dyDescent="0.2">
      <c r="Y906" s="1">
        <f t="shared" si="56"/>
        <v>0</v>
      </c>
      <c r="Z906" s="1">
        <f t="shared" si="57"/>
        <v>0</v>
      </c>
      <c r="AA906" s="1">
        <f t="shared" si="58"/>
        <v>0</v>
      </c>
      <c r="AB906" s="1">
        <f t="shared" si="59"/>
        <v>0</v>
      </c>
    </row>
    <row r="907" spans="25:28" ht="15.75" customHeight="1" x14ac:dyDescent="0.2">
      <c r="Y907" s="1">
        <f t="shared" si="56"/>
        <v>0</v>
      </c>
      <c r="Z907" s="1">
        <f t="shared" si="57"/>
        <v>0</v>
      </c>
      <c r="AA907" s="1">
        <f t="shared" si="58"/>
        <v>0</v>
      </c>
      <c r="AB907" s="1">
        <f t="shared" si="59"/>
        <v>0</v>
      </c>
    </row>
    <row r="908" spans="25:28" ht="15.75" customHeight="1" x14ac:dyDescent="0.2">
      <c r="Y908" s="1">
        <f t="shared" si="56"/>
        <v>0</v>
      </c>
      <c r="Z908" s="1">
        <f t="shared" si="57"/>
        <v>0</v>
      </c>
      <c r="AA908" s="1">
        <f t="shared" si="58"/>
        <v>0</v>
      </c>
      <c r="AB908" s="1">
        <f t="shared" si="59"/>
        <v>0</v>
      </c>
    </row>
    <row r="909" spans="25:28" ht="15.75" customHeight="1" x14ac:dyDescent="0.2">
      <c r="Y909" s="1">
        <f t="shared" si="56"/>
        <v>0</v>
      </c>
      <c r="Z909" s="1">
        <f t="shared" si="57"/>
        <v>0</v>
      </c>
      <c r="AA909" s="1">
        <f t="shared" si="58"/>
        <v>0</v>
      </c>
      <c r="AB909" s="1">
        <f t="shared" si="59"/>
        <v>0</v>
      </c>
    </row>
    <row r="910" spans="25:28" ht="15.75" customHeight="1" x14ac:dyDescent="0.2">
      <c r="Y910" s="1">
        <f t="shared" ref="Y910:Y973" si="60">MAX(0,IFERROR((LEN($T911)-LEN(SUBSTITUTE($T911,"Quality of Works / Criteria of Failings:","")))/LEN("Quality of Works / Criteria of Failings:"),0)-IFERROR((LEN($T911)-LEN(SUBSTITUTE($T911,"Quality of Works / Criteria of Failings:Compliant","")))/LEN("Quality of Works / Criteria of Failings:Compliant"),0))</f>
        <v>0</v>
      </c>
      <c r="Z910" s="1">
        <f t="shared" ref="Z910:Z973" si="61">IFERROR($Y911/MAX(1,(LEN($I911)-LEN(SUBSTITUTE($I911," Ltd","")))/LEN(" Ltd")),0)</f>
        <v>0</v>
      </c>
      <c r="AA910" s="1">
        <f t="shared" ref="AA910:AA973" si="62">IFERROR(IFERROR((LEN($T911)-LEN(SUBSTITUTE($T911,"Quality of Works / Criteria of Failings:","")))/LEN("Quality of Works / Criteria of Failings:"),0)/MAX(1,(LEN($I911)-LEN(SUBSTITUTE($I911," Ltd","")))/LEN(" Ltd")),0)</f>
        <v>0</v>
      </c>
      <c r="AB910" s="1">
        <f t="shared" ref="AB910:AB973" si="63">IFERROR(IFERROR((LEN($T911)-LEN(SUBSTITUTE($T911,"Quality of Works / Criteria of Failings:Compliant","")))/LEN("Quality of Works / Criteria of Failings:Compliant"),0)/MAX(1,(LEN($I911)-LEN(SUBSTITUTE($I911," Ltd","")))/LEN(" Ltd")),0)</f>
        <v>0</v>
      </c>
    </row>
    <row r="911" spans="25:28" ht="15.75" customHeight="1" x14ac:dyDescent="0.2">
      <c r="Y911" s="1">
        <f t="shared" si="60"/>
        <v>0</v>
      </c>
      <c r="Z911" s="1">
        <f t="shared" si="61"/>
        <v>0</v>
      </c>
      <c r="AA911" s="1">
        <f t="shared" si="62"/>
        <v>0</v>
      </c>
      <c r="AB911" s="1">
        <f t="shared" si="63"/>
        <v>0</v>
      </c>
    </row>
    <row r="912" spans="25:28" ht="15.75" customHeight="1" x14ac:dyDescent="0.2">
      <c r="Y912" s="1">
        <f t="shared" si="60"/>
        <v>0</v>
      </c>
      <c r="Z912" s="1">
        <f t="shared" si="61"/>
        <v>0</v>
      </c>
      <c r="AA912" s="1">
        <f t="shared" si="62"/>
        <v>0</v>
      </c>
      <c r="AB912" s="1">
        <f t="shared" si="63"/>
        <v>0</v>
      </c>
    </row>
    <row r="913" spans="25:28" ht="15.75" customHeight="1" x14ac:dyDescent="0.2">
      <c r="Y913" s="1">
        <f t="shared" si="60"/>
        <v>0</v>
      </c>
      <c r="Z913" s="1">
        <f t="shared" si="61"/>
        <v>0</v>
      </c>
      <c r="AA913" s="1">
        <f t="shared" si="62"/>
        <v>0</v>
      </c>
      <c r="AB913" s="1">
        <f t="shared" si="63"/>
        <v>0</v>
      </c>
    </row>
    <row r="914" spans="25:28" ht="15.75" customHeight="1" x14ac:dyDescent="0.2">
      <c r="Y914" s="1">
        <f t="shared" si="60"/>
        <v>0</v>
      </c>
      <c r="Z914" s="1">
        <f t="shared" si="61"/>
        <v>0</v>
      </c>
      <c r="AA914" s="1">
        <f t="shared" si="62"/>
        <v>0</v>
      </c>
      <c r="AB914" s="1">
        <f t="shared" si="63"/>
        <v>0</v>
      </c>
    </row>
    <row r="915" spans="25:28" ht="15.75" customHeight="1" x14ac:dyDescent="0.2">
      <c r="Y915" s="1">
        <f t="shared" si="60"/>
        <v>0</v>
      </c>
      <c r="Z915" s="1">
        <f t="shared" si="61"/>
        <v>0</v>
      </c>
      <c r="AA915" s="1">
        <f t="shared" si="62"/>
        <v>0</v>
      </c>
      <c r="AB915" s="1">
        <f t="shared" si="63"/>
        <v>0</v>
      </c>
    </row>
    <row r="916" spans="25:28" ht="15.75" customHeight="1" x14ac:dyDescent="0.2">
      <c r="Y916" s="1">
        <f t="shared" si="60"/>
        <v>0</v>
      </c>
      <c r="Z916" s="1">
        <f t="shared" si="61"/>
        <v>0</v>
      </c>
      <c r="AA916" s="1">
        <f t="shared" si="62"/>
        <v>0</v>
      </c>
      <c r="AB916" s="1">
        <f t="shared" si="63"/>
        <v>0</v>
      </c>
    </row>
    <row r="917" spans="25:28" ht="15.75" customHeight="1" x14ac:dyDescent="0.2">
      <c r="Y917" s="1">
        <f t="shared" si="60"/>
        <v>0</v>
      </c>
      <c r="Z917" s="1">
        <f t="shared" si="61"/>
        <v>0</v>
      </c>
      <c r="AA917" s="1">
        <f t="shared" si="62"/>
        <v>0</v>
      </c>
      <c r="AB917" s="1">
        <f t="shared" si="63"/>
        <v>0</v>
      </c>
    </row>
    <row r="918" spans="25:28" ht="15.75" customHeight="1" x14ac:dyDescent="0.2">
      <c r="Y918" s="1">
        <f t="shared" si="60"/>
        <v>0</v>
      </c>
      <c r="Z918" s="1">
        <f t="shared" si="61"/>
        <v>0</v>
      </c>
      <c r="AA918" s="1">
        <f t="shared" si="62"/>
        <v>0</v>
      </c>
      <c r="AB918" s="1">
        <f t="shared" si="63"/>
        <v>0</v>
      </c>
    </row>
    <row r="919" spans="25:28" ht="15.75" customHeight="1" x14ac:dyDescent="0.2">
      <c r="Y919" s="1">
        <f t="shared" si="60"/>
        <v>0</v>
      </c>
      <c r="Z919" s="1">
        <f t="shared" si="61"/>
        <v>0</v>
      </c>
      <c r="AA919" s="1">
        <f t="shared" si="62"/>
        <v>0</v>
      </c>
      <c r="AB919" s="1">
        <f t="shared" si="63"/>
        <v>0</v>
      </c>
    </row>
    <row r="920" spans="25:28" ht="15.75" customHeight="1" x14ac:dyDescent="0.2">
      <c r="Y920" s="1">
        <f t="shared" si="60"/>
        <v>0</v>
      </c>
      <c r="Z920" s="1">
        <f t="shared" si="61"/>
        <v>0</v>
      </c>
      <c r="AA920" s="1">
        <f t="shared" si="62"/>
        <v>0</v>
      </c>
      <c r="AB920" s="1">
        <f t="shared" si="63"/>
        <v>0</v>
      </c>
    </row>
    <row r="921" spans="25:28" ht="15.75" customHeight="1" x14ac:dyDescent="0.2">
      <c r="Y921" s="1">
        <f t="shared" si="60"/>
        <v>0</v>
      </c>
      <c r="Z921" s="1">
        <f t="shared" si="61"/>
        <v>0</v>
      </c>
      <c r="AA921" s="1">
        <f t="shared" si="62"/>
        <v>0</v>
      </c>
      <c r="AB921" s="1">
        <f t="shared" si="63"/>
        <v>0</v>
      </c>
    </row>
    <row r="922" spans="25:28" ht="15.75" customHeight="1" x14ac:dyDescent="0.2">
      <c r="Y922" s="1">
        <f t="shared" si="60"/>
        <v>0</v>
      </c>
      <c r="Z922" s="1">
        <f t="shared" si="61"/>
        <v>0</v>
      </c>
      <c r="AA922" s="1">
        <f t="shared" si="62"/>
        <v>0</v>
      </c>
      <c r="AB922" s="1">
        <f t="shared" si="63"/>
        <v>0</v>
      </c>
    </row>
    <row r="923" spans="25:28" ht="15.75" customHeight="1" x14ac:dyDescent="0.2">
      <c r="Y923" s="1">
        <f t="shared" si="60"/>
        <v>0</v>
      </c>
      <c r="Z923" s="1">
        <f t="shared" si="61"/>
        <v>0</v>
      </c>
      <c r="AA923" s="1">
        <f t="shared" si="62"/>
        <v>0</v>
      </c>
      <c r="AB923" s="1">
        <f t="shared" si="63"/>
        <v>0</v>
      </c>
    </row>
    <row r="924" spans="25:28" ht="15.75" customHeight="1" x14ac:dyDescent="0.2">
      <c r="Y924" s="1">
        <f t="shared" si="60"/>
        <v>0</v>
      </c>
      <c r="Z924" s="1">
        <f t="shared" si="61"/>
        <v>0</v>
      </c>
      <c r="AA924" s="1">
        <f t="shared" si="62"/>
        <v>0</v>
      </c>
      <c r="AB924" s="1">
        <f t="shared" si="63"/>
        <v>0</v>
      </c>
    </row>
    <row r="925" spans="25:28" ht="15.75" customHeight="1" x14ac:dyDescent="0.2">
      <c r="Y925" s="1">
        <f t="shared" si="60"/>
        <v>0</v>
      </c>
      <c r="Z925" s="1">
        <f t="shared" si="61"/>
        <v>0</v>
      </c>
      <c r="AA925" s="1">
        <f t="shared" si="62"/>
        <v>0</v>
      </c>
      <c r="AB925" s="1">
        <f t="shared" si="63"/>
        <v>0</v>
      </c>
    </row>
    <row r="926" spans="25:28" ht="15.75" customHeight="1" x14ac:dyDescent="0.2">
      <c r="Y926" s="1">
        <f t="shared" si="60"/>
        <v>0</v>
      </c>
      <c r="Z926" s="1">
        <f t="shared" si="61"/>
        <v>0</v>
      </c>
      <c r="AA926" s="1">
        <f t="shared" si="62"/>
        <v>0</v>
      </c>
      <c r="AB926" s="1">
        <f t="shared" si="63"/>
        <v>0</v>
      </c>
    </row>
    <row r="927" spans="25:28" ht="15.75" customHeight="1" x14ac:dyDescent="0.2">
      <c r="Y927" s="1">
        <f t="shared" si="60"/>
        <v>0</v>
      </c>
      <c r="Z927" s="1">
        <f t="shared" si="61"/>
        <v>0</v>
      </c>
      <c r="AA927" s="1">
        <f t="shared" si="62"/>
        <v>0</v>
      </c>
      <c r="AB927" s="1">
        <f t="shared" si="63"/>
        <v>0</v>
      </c>
    </row>
    <row r="928" spans="25:28" ht="15.75" customHeight="1" x14ac:dyDescent="0.2">
      <c r="Y928" s="1">
        <f t="shared" si="60"/>
        <v>0</v>
      </c>
      <c r="Z928" s="1">
        <f t="shared" si="61"/>
        <v>0</v>
      </c>
      <c r="AA928" s="1">
        <f t="shared" si="62"/>
        <v>0</v>
      </c>
      <c r="AB928" s="1">
        <f t="shared" si="63"/>
        <v>0</v>
      </c>
    </row>
    <row r="929" spans="25:28" ht="15.75" customHeight="1" x14ac:dyDescent="0.2">
      <c r="Y929" s="1">
        <f t="shared" si="60"/>
        <v>0</v>
      </c>
      <c r="Z929" s="1">
        <f t="shared" si="61"/>
        <v>0</v>
      </c>
      <c r="AA929" s="1">
        <f t="shared" si="62"/>
        <v>0</v>
      </c>
      <c r="AB929" s="1">
        <f t="shared" si="63"/>
        <v>0</v>
      </c>
    </row>
    <row r="930" spans="25:28" ht="15.75" customHeight="1" x14ac:dyDescent="0.2">
      <c r="Y930" s="1">
        <f t="shared" si="60"/>
        <v>0</v>
      </c>
      <c r="Z930" s="1">
        <f t="shared" si="61"/>
        <v>0</v>
      </c>
      <c r="AA930" s="1">
        <f t="shared" si="62"/>
        <v>0</v>
      </c>
      <c r="AB930" s="1">
        <f t="shared" si="63"/>
        <v>0</v>
      </c>
    </row>
    <row r="931" spans="25:28" ht="15.75" customHeight="1" x14ac:dyDescent="0.2">
      <c r="Y931" s="1">
        <f t="shared" si="60"/>
        <v>0</v>
      </c>
      <c r="Z931" s="1">
        <f t="shared" si="61"/>
        <v>0</v>
      </c>
      <c r="AA931" s="1">
        <f t="shared" si="62"/>
        <v>0</v>
      </c>
      <c r="AB931" s="1">
        <f t="shared" si="63"/>
        <v>0</v>
      </c>
    </row>
    <row r="932" spans="25:28" ht="15.75" customHeight="1" x14ac:dyDescent="0.2">
      <c r="Y932" s="1">
        <f t="shared" si="60"/>
        <v>0</v>
      </c>
      <c r="Z932" s="1">
        <f t="shared" si="61"/>
        <v>0</v>
      </c>
      <c r="AA932" s="1">
        <f t="shared" si="62"/>
        <v>0</v>
      </c>
      <c r="AB932" s="1">
        <f t="shared" si="63"/>
        <v>0</v>
      </c>
    </row>
    <row r="933" spans="25:28" ht="15.75" customHeight="1" x14ac:dyDescent="0.2">
      <c r="Y933" s="1">
        <f t="shared" si="60"/>
        <v>0</v>
      </c>
      <c r="Z933" s="1">
        <f t="shared" si="61"/>
        <v>0</v>
      </c>
      <c r="AA933" s="1">
        <f t="shared" si="62"/>
        <v>0</v>
      </c>
      <c r="AB933" s="1">
        <f t="shared" si="63"/>
        <v>0</v>
      </c>
    </row>
    <row r="934" spans="25:28" ht="15.75" customHeight="1" x14ac:dyDescent="0.2">
      <c r="Y934" s="1">
        <f t="shared" si="60"/>
        <v>0</v>
      </c>
      <c r="Z934" s="1">
        <f t="shared" si="61"/>
        <v>0</v>
      </c>
      <c r="AA934" s="1">
        <f t="shared" si="62"/>
        <v>0</v>
      </c>
      <c r="AB934" s="1">
        <f t="shared" si="63"/>
        <v>0</v>
      </c>
    </row>
    <row r="935" spans="25:28" ht="15.75" customHeight="1" x14ac:dyDescent="0.2">
      <c r="Y935" s="1">
        <f t="shared" si="60"/>
        <v>0</v>
      </c>
      <c r="Z935" s="1">
        <f t="shared" si="61"/>
        <v>0</v>
      </c>
      <c r="AA935" s="1">
        <f t="shared" si="62"/>
        <v>0</v>
      </c>
      <c r="AB935" s="1">
        <f t="shared" si="63"/>
        <v>0</v>
      </c>
    </row>
    <row r="936" spans="25:28" ht="15.75" customHeight="1" x14ac:dyDescent="0.2">
      <c r="Y936" s="1">
        <f t="shared" si="60"/>
        <v>0</v>
      </c>
      <c r="Z936" s="1">
        <f t="shared" si="61"/>
        <v>0</v>
      </c>
      <c r="AA936" s="1">
        <f t="shared" si="62"/>
        <v>0</v>
      </c>
      <c r="AB936" s="1">
        <f t="shared" si="63"/>
        <v>0</v>
      </c>
    </row>
    <row r="937" spans="25:28" ht="15.75" customHeight="1" x14ac:dyDescent="0.2">
      <c r="Y937" s="1">
        <f t="shared" si="60"/>
        <v>0</v>
      </c>
      <c r="Z937" s="1">
        <f t="shared" si="61"/>
        <v>0</v>
      </c>
      <c r="AA937" s="1">
        <f t="shared" si="62"/>
        <v>0</v>
      </c>
      <c r="AB937" s="1">
        <f t="shared" si="63"/>
        <v>0</v>
      </c>
    </row>
    <row r="938" spans="25:28" ht="15.75" customHeight="1" x14ac:dyDescent="0.2">
      <c r="Y938" s="1">
        <f t="shared" si="60"/>
        <v>0</v>
      </c>
      <c r="Z938" s="1">
        <f t="shared" si="61"/>
        <v>0</v>
      </c>
      <c r="AA938" s="1">
        <f t="shared" si="62"/>
        <v>0</v>
      </c>
      <c r="AB938" s="1">
        <f t="shared" si="63"/>
        <v>0</v>
      </c>
    </row>
    <row r="939" spans="25:28" ht="15.75" customHeight="1" x14ac:dyDescent="0.2">
      <c r="Y939" s="1">
        <f t="shared" si="60"/>
        <v>0</v>
      </c>
      <c r="Z939" s="1">
        <f t="shared" si="61"/>
        <v>0</v>
      </c>
      <c r="AA939" s="1">
        <f t="shared" si="62"/>
        <v>0</v>
      </c>
      <c r="AB939" s="1">
        <f t="shared" si="63"/>
        <v>0</v>
      </c>
    </row>
    <row r="940" spans="25:28" ht="15.75" customHeight="1" x14ac:dyDescent="0.2">
      <c r="Y940" s="1">
        <f t="shared" si="60"/>
        <v>0</v>
      </c>
      <c r="Z940" s="1">
        <f t="shared" si="61"/>
        <v>0</v>
      </c>
      <c r="AA940" s="1">
        <f t="shared" si="62"/>
        <v>0</v>
      </c>
      <c r="AB940" s="1">
        <f t="shared" si="63"/>
        <v>0</v>
      </c>
    </row>
    <row r="941" spans="25:28" ht="15.75" customHeight="1" x14ac:dyDescent="0.2">
      <c r="Y941" s="1">
        <f t="shared" si="60"/>
        <v>0</v>
      </c>
      <c r="Z941" s="1">
        <f t="shared" si="61"/>
        <v>0</v>
      </c>
      <c r="AA941" s="1">
        <f t="shared" si="62"/>
        <v>0</v>
      </c>
      <c r="AB941" s="1">
        <f t="shared" si="63"/>
        <v>0</v>
      </c>
    </row>
    <row r="942" spans="25:28" ht="15.75" customHeight="1" x14ac:dyDescent="0.2">
      <c r="Y942" s="1">
        <f t="shared" si="60"/>
        <v>0</v>
      </c>
      <c r="Z942" s="1">
        <f t="shared" si="61"/>
        <v>0</v>
      </c>
      <c r="AA942" s="1">
        <f t="shared" si="62"/>
        <v>0</v>
      </c>
      <c r="AB942" s="1">
        <f t="shared" si="63"/>
        <v>0</v>
      </c>
    </row>
    <row r="943" spans="25:28" ht="15.75" customHeight="1" x14ac:dyDescent="0.2">
      <c r="Y943" s="1">
        <f t="shared" si="60"/>
        <v>0</v>
      </c>
      <c r="Z943" s="1">
        <f t="shared" si="61"/>
        <v>0</v>
      </c>
      <c r="AA943" s="1">
        <f t="shared" si="62"/>
        <v>0</v>
      </c>
      <c r="AB943" s="1">
        <f t="shared" si="63"/>
        <v>0</v>
      </c>
    </row>
    <row r="944" spans="25:28" ht="15.75" customHeight="1" x14ac:dyDescent="0.2">
      <c r="Y944" s="1">
        <f t="shared" si="60"/>
        <v>0</v>
      </c>
      <c r="Z944" s="1">
        <f t="shared" si="61"/>
        <v>0</v>
      </c>
      <c r="AA944" s="1">
        <f t="shared" si="62"/>
        <v>0</v>
      </c>
      <c r="AB944" s="1">
        <f t="shared" si="63"/>
        <v>0</v>
      </c>
    </row>
    <row r="945" spans="25:28" ht="15.75" customHeight="1" x14ac:dyDescent="0.2">
      <c r="Y945" s="1">
        <f t="shared" si="60"/>
        <v>0</v>
      </c>
      <c r="Z945" s="1">
        <f t="shared" si="61"/>
        <v>0</v>
      </c>
      <c r="AA945" s="1">
        <f t="shared" si="62"/>
        <v>0</v>
      </c>
      <c r="AB945" s="1">
        <f t="shared" si="63"/>
        <v>0</v>
      </c>
    </row>
    <row r="946" spans="25:28" ht="15.75" customHeight="1" x14ac:dyDescent="0.2">
      <c r="Y946" s="1">
        <f t="shared" si="60"/>
        <v>0</v>
      </c>
      <c r="Z946" s="1">
        <f t="shared" si="61"/>
        <v>0</v>
      </c>
      <c r="AA946" s="1">
        <f t="shared" si="62"/>
        <v>0</v>
      </c>
      <c r="AB946" s="1">
        <f t="shared" si="63"/>
        <v>0</v>
      </c>
    </row>
    <row r="947" spans="25:28" ht="15.75" customHeight="1" x14ac:dyDescent="0.2">
      <c r="Y947" s="1">
        <f t="shared" si="60"/>
        <v>0</v>
      </c>
      <c r="Z947" s="1">
        <f t="shared" si="61"/>
        <v>0</v>
      </c>
      <c r="AA947" s="1">
        <f t="shared" si="62"/>
        <v>0</v>
      </c>
      <c r="AB947" s="1">
        <f t="shared" si="63"/>
        <v>0</v>
      </c>
    </row>
    <row r="948" spans="25:28" ht="15.75" customHeight="1" x14ac:dyDescent="0.2">
      <c r="Y948" s="1">
        <f t="shared" si="60"/>
        <v>0</v>
      </c>
      <c r="Z948" s="1">
        <f t="shared" si="61"/>
        <v>0</v>
      </c>
      <c r="AA948" s="1">
        <f t="shared" si="62"/>
        <v>0</v>
      </c>
      <c r="AB948" s="1">
        <f t="shared" si="63"/>
        <v>0</v>
      </c>
    </row>
    <row r="949" spans="25:28" ht="15.75" customHeight="1" x14ac:dyDescent="0.2">
      <c r="Y949" s="1">
        <f t="shared" si="60"/>
        <v>0</v>
      </c>
      <c r="Z949" s="1">
        <f t="shared" si="61"/>
        <v>0</v>
      </c>
      <c r="AA949" s="1">
        <f t="shared" si="62"/>
        <v>0</v>
      </c>
      <c r="AB949" s="1">
        <f t="shared" si="63"/>
        <v>0</v>
      </c>
    </row>
    <row r="950" spans="25:28" ht="15.75" customHeight="1" x14ac:dyDescent="0.2">
      <c r="Y950" s="1">
        <f t="shared" si="60"/>
        <v>0</v>
      </c>
      <c r="Z950" s="1">
        <f t="shared" si="61"/>
        <v>0</v>
      </c>
      <c r="AA950" s="1">
        <f t="shared" si="62"/>
        <v>0</v>
      </c>
      <c r="AB950" s="1">
        <f t="shared" si="63"/>
        <v>0</v>
      </c>
    </row>
    <row r="951" spans="25:28" ht="15.75" customHeight="1" x14ac:dyDescent="0.2">
      <c r="Y951" s="1">
        <f t="shared" si="60"/>
        <v>0</v>
      </c>
      <c r="Z951" s="1">
        <f t="shared" si="61"/>
        <v>0</v>
      </c>
      <c r="AA951" s="1">
        <f t="shared" si="62"/>
        <v>0</v>
      </c>
      <c r="AB951" s="1">
        <f t="shared" si="63"/>
        <v>0</v>
      </c>
    </row>
    <row r="952" spans="25:28" ht="15.75" customHeight="1" x14ac:dyDescent="0.2">
      <c r="Y952" s="1">
        <f t="shared" si="60"/>
        <v>0</v>
      </c>
      <c r="Z952" s="1">
        <f t="shared" si="61"/>
        <v>0</v>
      </c>
      <c r="AA952" s="1">
        <f t="shared" si="62"/>
        <v>0</v>
      </c>
      <c r="AB952" s="1">
        <f t="shared" si="63"/>
        <v>0</v>
      </c>
    </row>
    <row r="953" spans="25:28" ht="15.75" customHeight="1" x14ac:dyDescent="0.2">
      <c r="Y953" s="1">
        <f t="shared" si="60"/>
        <v>0</v>
      </c>
      <c r="Z953" s="1">
        <f t="shared" si="61"/>
        <v>0</v>
      </c>
      <c r="AA953" s="1">
        <f t="shared" si="62"/>
        <v>0</v>
      </c>
      <c r="AB953" s="1">
        <f t="shared" si="63"/>
        <v>0</v>
      </c>
    </row>
    <row r="954" spans="25:28" ht="15.75" customHeight="1" x14ac:dyDescent="0.2">
      <c r="Y954" s="1">
        <f t="shared" si="60"/>
        <v>0</v>
      </c>
      <c r="Z954" s="1">
        <f t="shared" si="61"/>
        <v>0</v>
      </c>
      <c r="AA954" s="1">
        <f t="shared" si="62"/>
        <v>0</v>
      </c>
      <c r="AB954" s="1">
        <f t="shared" si="63"/>
        <v>0</v>
      </c>
    </row>
    <row r="955" spans="25:28" ht="15.75" customHeight="1" x14ac:dyDescent="0.2">
      <c r="Y955" s="1">
        <f t="shared" si="60"/>
        <v>0</v>
      </c>
      <c r="Z955" s="1">
        <f t="shared" si="61"/>
        <v>0</v>
      </c>
      <c r="AA955" s="1">
        <f t="shared" si="62"/>
        <v>0</v>
      </c>
      <c r="AB955" s="1">
        <f t="shared" si="63"/>
        <v>0</v>
      </c>
    </row>
    <row r="956" spans="25:28" ht="15.75" customHeight="1" x14ac:dyDescent="0.2">
      <c r="Y956" s="1">
        <f t="shared" si="60"/>
        <v>0</v>
      </c>
      <c r="Z956" s="1">
        <f t="shared" si="61"/>
        <v>0</v>
      </c>
      <c r="AA956" s="1">
        <f t="shared" si="62"/>
        <v>0</v>
      </c>
      <c r="AB956" s="1">
        <f t="shared" si="63"/>
        <v>0</v>
      </c>
    </row>
    <row r="957" spans="25:28" ht="15.75" customHeight="1" x14ac:dyDescent="0.2">
      <c r="Y957" s="1">
        <f t="shared" si="60"/>
        <v>0</v>
      </c>
      <c r="Z957" s="1">
        <f t="shared" si="61"/>
        <v>0</v>
      </c>
      <c r="AA957" s="1">
        <f t="shared" si="62"/>
        <v>0</v>
      </c>
      <c r="AB957" s="1">
        <f t="shared" si="63"/>
        <v>0</v>
      </c>
    </row>
    <row r="958" spans="25:28" ht="15.75" customHeight="1" x14ac:dyDescent="0.2">
      <c r="Y958" s="1">
        <f t="shared" si="60"/>
        <v>0</v>
      </c>
      <c r="Z958" s="1">
        <f t="shared" si="61"/>
        <v>0</v>
      </c>
      <c r="AA958" s="1">
        <f t="shared" si="62"/>
        <v>0</v>
      </c>
      <c r="AB958" s="1">
        <f t="shared" si="63"/>
        <v>0</v>
      </c>
    </row>
    <row r="959" spans="25:28" ht="15.75" customHeight="1" x14ac:dyDescent="0.2">
      <c r="Y959" s="1">
        <f t="shared" si="60"/>
        <v>0</v>
      </c>
      <c r="Z959" s="1">
        <f t="shared" si="61"/>
        <v>0</v>
      </c>
      <c r="AA959" s="1">
        <f t="shared" si="62"/>
        <v>0</v>
      </c>
      <c r="AB959" s="1">
        <f t="shared" si="63"/>
        <v>0</v>
      </c>
    </row>
    <row r="960" spans="25:28" ht="15.75" customHeight="1" x14ac:dyDescent="0.2">
      <c r="Y960" s="1">
        <f t="shared" si="60"/>
        <v>0</v>
      </c>
      <c r="Z960" s="1">
        <f t="shared" si="61"/>
        <v>0</v>
      </c>
      <c r="AA960" s="1">
        <f t="shared" si="62"/>
        <v>0</v>
      </c>
      <c r="AB960" s="1">
        <f t="shared" si="63"/>
        <v>0</v>
      </c>
    </row>
    <row r="961" spans="25:28" ht="15.75" customHeight="1" x14ac:dyDescent="0.2">
      <c r="Y961" s="1">
        <f t="shared" si="60"/>
        <v>0</v>
      </c>
      <c r="Z961" s="1">
        <f t="shared" si="61"/>
        <v>0</v>
      </c>
      <c r="AA961" s="1">
        <f t="shared" si="62"/>
        <v>0</v>
      </c>
      <c r="AB961" s="1">
        <f t="shared" si="63"/>
        <v>0</v>
      </c>
    </row>
    <row r="962" spans="25:28" ht="15.75" customHeight="1" x14ac:dyDescent="0.2">
      <c r="Y962" s="1">
        <f t="shared" si="60"/>
        <v>0</v>
      </c>
      <c r="Z962" s="1">
        <f t="shared" si="61"/>
        <v>0</v>
      </c>
      <c r="AA962" s="1">
        <f t="shared" si="62"/>
        <v>0</v>
      </c>
      <c r="AB962" s="1">
        <f t="shared" si="63"/>
        <v>0</v>
      </c>
    </row>
    <row r="963" spans="25:28" ht="15.75" customHeight="1" x14ac:dyDescent="0.2">
      <c r="Y963" s="1">
        <f t="shared" si="60"/>
        <v>0</v>
      </c>
      <c r="Z963" s="1">
        <f t="shared" si="61"/>
        <v>0</v>
      </c>
      <c r="AA963" s="1">
        <f t="shared" si="62"/>
        <v>0</v>
      </c>
      <c r="AB963" s="1">
        <f t="shared" si="63"/>
        <v>0</v>
      </c>
    </row>
    <row r="964" spans="25:28" ht="15.75" customHeight="1" x14ac:dyDescent="0.2">
      <c r="Y964" s="1">
        <f t="shared" si="60"/>
        <v>0</v>
      </c>
      <c r="Z964" s="1">
        <f t="shared" si="61"/>
        <v>0</v>
      </c>
      <c r="AA964" s="1">
        <f t="shared" si="62"/>
        <v>0</v>
      </c>
      <c r="AB964" s="1">
        <f t="shared" si="63"/>
        <v>0</v>
      </c>
    </row>
    <row r="965" spans="25:28" ht="15.75" customHeight="1" x14ac:dyDescent="0.2">
      <c r="Y965" s="1">
        <f t="shared" si="60"/>
        <v>0</v>
      </c>
      <c r="Z965" s="1">
        <f t="shared" si="61"/>
        <v>0</v>
      </c>
      <c r="AA965" s="1">
        <f t="shared" si="62"/>
        <v>0</v>
      </c>
      <c r="AB965" s="1">
        <f t="shared" si="63"/>
        <v>0</v>
      </c>
    </row>
    <row r="966" spans="25:28" ht="15.75" customHeight="1" x14ac:dyDescent="0.2">
      <c r="Y966" s="1">
        <f t="shared" si="60"/>
        <v>0</v>
      </c>
      <c r="Z966" s="1">
        <f t="shared" si="61"/>
        <v>0</v>
      </c>
      <c r="AA966" s="1">
        <f t="shared" si="62"/>
        <v>0</v>
      </c>
      <c r="AB966" s="1">
        <f t="shared" si="63"/>
        <v>0</v>
      </c>
    </row>
    <row r="967" spans="25:28" ht="15.75" customHeight="1" x14ac:dyDescent="0.2">
      <c r="Y967" s="1">
        <f t="shared" si="60"/>
        <v>0</v>
      </c>
      <c r="Z967" s="1">
        <f t="shared" si="61"/>
        <v>0</v>
      </c>
      <c r="AA967" s="1">
        <f t="shared" si="62"/>
        <v>0</v>
      </c>
      <c r="AB967" s="1">
        <f t="shared" si="63"/>
        <v>0</v>
      </c>
    </row>
    <row r="968" spans="25:28" ht="15.75" customHeight="1" x14ac:dyDescent="0.2">
      <c r="Y968" s="1">
        <f t="shared" si="60"/>
        <v>0</v>
      </c>
      <c r="Z968" s="1">
        <f t="shared" si="61"/>
        <v>0</v>
      </c>
      <c r="AA968" s="1">
        <f t="shared" si="62"/>
        <v>0</v>
      </c>
      <c r="AB968" s="1">
        <f t="shared" si="63"/>
        <v>0</v>
      </c>
    </row>
    <row r="969" spans="25:28" ht="15.75" customHeight="1" x14ac:dyDescent="0.2">
      <c r="Y969" s="1">
        <f t="shared" si="60"/>
        <v>0</v>
      </c>
      <c r="Z969" s="1">
        <f t="shared" si="61"/>
        <v>0</v>
      </c>
      <c r="AA969" s="1">
        <f t="shared" si="62"/>
        <v>0</v>
      </c>
      <c r="AB969" s="1">
        <f t="shared" si="63"/>
        <v>0</v>
      </c>
    </row>
    <row r="970" spans="25:28" ht="15.75" customHeight="1" x14ac:dyDescent="0.2">
      <c r="Y970" s="1">
        <f t="shared" si="60"/>
        <v>0</v>
      </c>
      <c r="Z970" s="1">
        <f t="shared" si="61"/>
        <v>0</v>
      </c>
      <c r="AA970" s="1">
        <f t="shared" si="62"/>
        <v>0</v>
      </c>
      <c r="AB970" s="1">
        <f t="shared" si="63"/>
        <v>0</v>
      </c>
    </row>
    <row r="971" spans="25:28" ht="15.75" customHeight="1" x14ac:dyDescent="0.2">
      <c r="Y971" s="1">
        <f t="shared" si="60"/>
        <v>0</v>
      </c>
      <c r="Z971" s="1">
        <f t="shared" si="61"/>
        <v>0</v>
      </c>
      <c r="AA971" s="1">
        <f t="shared" si="62"/>
        <v>0</v>
      </c>
      <c r="AB971" s="1">
        <f t="shared" si="63"/>
        <v>0</v>
      </c>
    </row>
    <row r="972" spans="25:28" ht="15.75" customHeight="1" x14ac:dyDescent="0.2">
      <c r="Y972" s="1">
        <f t="shared" si="60"/>
        <v>0</v>
      </c>
      <c r="Z972" s="1">
        <f t="shared" si="61"/>
        <v>0</v>
      </c>
      <c r="AA972" s="1">
        <f t="shared" si="62"/>
        <v>0</v>
      </c>
      <c r="AB972" s="1">
        <f t="shared" si="63"/>
        <v>0</v>
      </c>
    </row>
    <row r="973" spans="25:28" ht="15.75" customHeight="1" x14ac:dyDescent="0.2">
      <c r="Y973" s="1">
        <f t="shared" si="60"/>
        <v>0</v>
      </c>
      <c r="Z973" s="1">
        <f t="shared" si="61"/>
        <v>0</v>
      </c>
      <c r="AA973" s="1">
        <f t="shared" si="62"/>
        <v>0</v>
      </c>
      <c r="AB973" s="1">
        <f t="shared" si="63"/>
        <v>0</v>
      </c>
    </row>
    <row r="974" spans="25:28" ht="15.75" customHeight="1" x14ac:dyDescent="0.2">
      <c r="Y974" s="1">
        <f t="shared" ref="Y974:Y1037" si="64">MAX(0,IFERROR((LEN($T975)-LEN(SUBSTITUTE($T975,"Quality of Works / Criteria of Failings:","")))/LEN("Quality of Works / Criteria of Failings:"),0)-IFERROR((LEN($T975)-LEN(SUBSTITUTE($T975,"Quality of Works / Criteria of Failings:Compliant","")))/LEN("Quality of Works / Criteria of Failings:Compliant"),0))</f>
        <v>0</v>
      </c>
      <c r="Z974" s="1">
        <f t="shared" ref="Z974:Z1037" si="65">IFERROR($Y975/MAX(1,(LEN($I975)-LEN(SUBSTITUTE($I975," Ltd","")))/LEN(" Ltd")),0)</f>
        <v>0</v>
      </c>
      <c r="AA974" s="1">
        <f t="shared" ref="AA974:AA1037" si="66">IFERROR(IFERROR((LEN($T975)-LEN(SUBSTITUTE($T975,"Quality of Works / Criteria of Failings:","")))/LEN("Quality of Works / Criteria of Failings:"),0)/MAX(1,(LEN($I975)-LEN(SUBSTITUTE($I975," Ltd","")))/LEN(" Ltd")),0)</f>
        <v>0</v>
      </c>
      <c r="AB974" s="1">
        <f t="shared" ref="AB974:AB1037" si="67">IFERROR(IFERROR((LEN($T975)-LEN(SUBSTITUTE($T975,"Quality of Works / Criteria of Failings:Compliant","")))/LEN("Quality of Works / Criteria of Failings:Compliant"),0)/MAX(1,(LEN($I975)-LEN(SUBSTITUTE($I975," Ltd","")))/LEN(" Ltd")),0)</f>
        <v>0</v>
      </c>
    </row>
    <row r="975" spans="25:28" ht="15.75" customHeight="1" x14ac:dyDescent="0.2">
      <c r="Y975" s="1">
        <f t="shared" si="64"/>
        <v>0</v>
      </c>
      <c r="Z975" s="1">
        <f t="shared" si="65"/>
        <v>0</v>
      </c>
      <c r="AA975" s="1">
        <f t="shared" si="66"/>
        <v>0</v>
      </c>
      <c r="AB975" s="1">
        <f t="shared" si="67"/>
        <v>0</v>
      </c>
    </row>
    <row r="976" spans="25:28" ht="15.75" customHeight="1" x14ac:dyDescent="0.2">
      <c r="Y976" s="1">
        <f t="shared" si="64"/>
        <v>0</v>
      </c>
      <c r="Z976" s="1">
        <f t="shared" si="65"/>
        <v>0</v>
      </c>
      <c r="AA976" s="1">
        <f t="shared" si="66"/>
        <v>0</v>
      </c>
      <c r="AB976" s="1">
        <f t="shared" si="67"/>
        <v>0</v>
      </c>
    </row>
    <row r="977" spans="25:28" ht="15.75" customHeight="1" x14ac:dyDescent="0.2">
      <c r="Y977" s="1">
        <f t="shared" si="64"/>
        <v>0</v>
      </c>
      <c r="Z977" s="1">
        <f t="shared" si="65"/>
        <v>0</v>
      </c>
      <c r="AA977" s="1">
        <f t="shared" si="66"/>
        <v>0</v>
      </c>
      <c r="AB977" s="1">
        <f t="shared" si="67"/>
        <v>0</v>
      </c>
    </row>
    <row r="978" spans="25:28" ht="15.75" customHeight="1" x14ac:dyDescent="0.2">
      <c r="Y978" s="1">
        <f t="shared" si="64"/>
        <v>0</v>
      </c>
      <c r="Z978" s="1">
        <f t="shared" si="65"/>
        <v>0</v>
      </c>
      <c r="AA978" s="1">
        <f t="shared" si="66"/>
        <v>0</v>
      </c>
      <c r="AB978" s="1">
        <f t="shared" si="67"/>
        <v>0</v>
      </c>
    </row>
    <row r="979" spans="25:28" ht="15.75" customHeight="1" x14ac:dyDescent="0.2">
      <c r="Y979" s="1">
        <f t="shared" si="64"/>
        <v>0</v>
      </c>
      <c r="Z979" s="1">
        <f t="shared" si="65"/>
        <v>0</v>
      </c>
      <c r="AA979" s="1">
        <f t="shared" si="66"/>
        <v>0</v>
      </c>
      <c r="AB979" s="1">
        <f t="shared" si="67"/>
        <v>0</v>
      </c>
    </row>
    <row r="980" spans="25:28" ht="15.75" customHeight="1" x14ac:dyDescent="0.2">
      <c r="Y980" s="1">
        <f t="shared" si="64"/>
        <v>0</v>
      </c>
      <c r="Z980" s="1">
        <f t="shared" si="65"/>
        <v>0</v>
      </c>
      <c r="AA980" s="1">
        <f t="shared" si="66"/>
        <v>0</v>
      </c>
      <c r="AB980" s="1">
        <f t="shared" si="67"/>
        <v>0</v>
      </c>
    </row>
    <row r="981" spans="25:28" ht="15.75" customHeight="1" x14ac:dyDescent="0.2">
      <c r="Y981" s="1">
        <f t="shared" si="64"/>
        <v>0</v>
      </c>
      <c r="Z981" s="1">
        <f t="shared" si="65"/>
        <v>0</v>
      </c>
      <c r="AA981" s="1">
        <f t="shared" si="66"/>
        <v>0</v>
      </c>
      <c r="AB981" s="1">
        <f t="shared" si="67"/>
        <v>0</v>
      </c>
    </row>
    <row r="982" spans="25:28" ht="15.75" customHeight="1" x14ac:dyDescent="0.2">
      <c r="Y982" s="1">
        <f t="shared" si="64"/>
        <v>0</v>
      </c>
      <c r="Z982" s="1">
        <f t="shared" si="65"/>
        <v>0</v>
      </c>
      <c r="AA982" s="1">
        <f t="shared" si="66"/>
        <v>0</v>
      </c>
      <c r="AB982" s="1">
        <f t="shared" si="67"/>
        <v>0</v>
      </c>
    </row>
    <row r="983" spans="25:28" ht="15.75" customHeight="1" x14ac:dyDescent="0.2">
      <c r="Y983" s="1">
        <f t="shared" si="64"/>
        <v>0</v>
      </c>
      <c r="Z983" s="1">
        <f t="shared" si="65"/>
        <v>0</v>
      </c>
      <c r="AA983" s="1">
        <f t="shared" si="66"/>
        <v>0</v>
      </c>
      <c r="AB983" s="1">
        <f t="shared" si="67"/>
        <v>0</v>
      </c>
    </row>
    <row r="984" spans="25:28" ht="15.75" customHeight="1" x14ac:dyDescent="0.2">
      <c r="Y984" s="1">
        <f t="shared" si="64"/>
        <v>0</v>
      </c>
      <c r="Z984" s="1">
        <f t="shared" si="65"/>
        <v>0</v>
      </c>
      <c r="AA984" s="1">
        <f t="shared" si="66"/>
        <v>0</v>
      </c>
      <c r="AB984" s="1">
        <f t="shared" si="67"/>
        <v>0</v>
      </c>
    </row>
    <row r="985" spans="25:28" ht="15.75" customHeight="1" x14ac:dyDescent="0.2">
      <c r="Y985" s="1">
        <f t="shared" si="64"/>
        <v>0</v>
      </c>
      <c r="Z985" s="1">
        <f t="shared" si="65"/>
        <v>0</v>
      </c>
      <c r="AA985" s="1">
        <f t="shared" si="66"/>
        <v>0</v>
      </c>
      <c r="AB985" s="1">
        <f t="shared" si="67"/>
        <v>0</v>
      </c>
    </row>
    <row r="986" spans="25:28" ht="15.75" customHeight="1" x14ac:dyDescent="0.2">
      <c r="Y986" s="1">
        <f t="shared" si="64"/>
        <v>0</v>
      </c>
      <c r="Z986" s="1">
        <f t="shared" si="65"/>
        <v>0</v>
      </c>
      <c r="AA986" s="1">
        <f t="shared" si="66"/>
        <v>0</v>
      </c>
      <c r="AB986" s="1">
        <f t="shared" si="67"/>
        <v>0</v>
      </c>
    </row>
    <row r="987" spans="25:28" ht="15.75" customHeight="1" x14ac:dyDescent="0.2">
      <c r="Y987" s="1">
        <f t="shared" si="64"/>
        <v>0</v>
      </c>
      <c r="Z987" s="1">
        <f t="shared" si="65"/>
        <v>0</v>
      </c>
      <c r="AA987" s="1">
        <f t="shared" si="66"/>
        <v>0</v>
      </c>
      <c r="AB987" s="1">
        <f t="shared" si="67"/>
        <v>0</v>
      </c>
    </row>
    <row r="988" spans="25:28" ht="15.75" customHeight="1" x14ac:dyDescent="0.2">
      <c r="Y988" s="1">
        <f t="shared" si="64"/>
        <v>0</v>
      </c>
      <c r="Z988" s="1">
        <f t="shared" si="65"/>
        <v>0</v>
      </c>
      <c r="AA988" s="1">
        <f t="shared" si="66"/>
        <v>0</v>
      </c>
      <c r="AB988" s="1">
        <f t="shared" si="67"/>
        <v>0</v>
      </c>
    </row>
    <row r="989" spans="25:28" ht="15.75" customHeight="1" x14ac:dyDescent="0.2">
      <c r="Y989" s="1">
        <f t="shared" si="64"/>
        <v>0</v>
      </c>
      <c r="Z989" s="1">
        <f t="shared" si="65"/>
        <v>0</v>
      </c>
      <c r="AA989" s="1">
        <f t="shared" si="66"/>
        <v>0</v>
      </c>
      <c r="AB989" s="1">
        <f t="shared" si="67"/>
        <v>0</v>
      </c>
    </row>
    <row r="990" spans="25:28" ht="15.75" customHeight="1" x14ac:dyDescent="0.2">
      <c r="Y990" s="1">
        <f t="shared" si="64"/>
        <v>0</v>
      </c>
      <c r="Z990" s="1">
        <f t="shared" si="65"/>
        <v>0</v>
      </c>
      <c r="AA990" s="1">
        <f t="shared" si="66"/>
        <v>0</v>
      </c>
      <c r="AB990" s="1">
        <f t="shared" si="67"/>
        <v>0</v>
      </c>
    </row>
    <row r="991" spans="25:28" ht="15.75" customHeight="1" x14ac:dyDescent="0.2">
      <c r="Y991" s="1">
        <f t="shared" si="64"/>
        <v>0</v>
      </c>
      <c r="Z991" s="1">
        <f t="shared" si="65"/>
        <v>0</v>
      </c>
      <c r="AA991" s="1">
        <f t="shared" si="66"/>
        <v>0</v>
      </c>
      <c r="AB991" s="1">
        <f t="shared" si="67"/>
        <v>0</v>
      </c>
    </row>
    <row r="992" spans="25:28" ht="15.75" customHeight="1" x14ac:dyDescent="0.2">
      <c r="Y992" s="1">
        <f t="shared" si="64"/>
        <v>0</v>
      </c>
      <c r="Z992" s="1">
        <f t="shared" si="65"/>
        <v>0</v>
      </c>
      <c r="AA992" s="1">
        <f t="shared" si="66"/>
        <v>0</v>
      </c>
      <c r="AB992" s="1">
        <f t="shared" si="67"/>
        <v>0</v>
      </c>
    </row>
    <row r="993" spans="25:28" ht="15.75" customHeight="1" x14ac:dyDescent="0.2">
      <c r="Y993" s="1">
        <f t="shared" si="64"/>
        <v>0</v>
      </c>
      <c r="Z993" s="1">
        <f t="shared" si="65"/>
        <v>0</v>
      </c>
      <c r="AA993" s="1">
        <f t="shared" si="66"/>
        <v>0</v>
      </c>
      <c r="AB993" s="1">
        <f t="shared" si="67"/>
        <v>0</v>
      </c>
    </row>
    <row r="994" spans="25:28" ht="15.75" customHeight="1" x14ac:dyDescent="0.2">
      <c r="Y994" s="1">
        <f t="shared" si="64"/>
        <v>0</v>
      </c>
      <c r="Z994" s="1">
        <f t="shared" si="65"/>
        <v>0</v>
      </c>
      <c r="AA994" s="1">
        <f t="shared" si="66"/>
        <v>0</v>
      </c>
      <c r="AB994" s="1">
        <f t="shared" si="67"/>
        <v>0</v>
      </c>
    </row>
    <row r="995" spans="25:28" ht="15.75" customHeight="1" x14ac:dyDescent="0.2">
      <c r="Y995" s="1">
        <f t="shared" si="64"/>
        <v>0</v>
      </c>
      <c r="Z995" s="1">
        <f t="shared" si="65"/>
        <v>0</v>
      </c>
      <c r="AA995" s="1">
        <f t="shared" si="66"/>
        <v>0</v>
      </c>
      <c r="AB995" s="1">
        <f t="shared" si="67"/>
        <v>0</v>
      </c>
    </row>
    <row r="996" spans="25:28" ht="15.75" customHeight="1" x14ac:dyDescent="0.2">
      <c r="Y996" s="1">
        <f t="shared" si="64"/>
        <v>0</v>
      </c>
      <c r="Z996" s="1">
        <f t="shared" si="65"/>
        <v>0</v>
      </c>
      <c r="AA996" s="1">
        <f t="shared" si="66"/>
        <v>0</v>
      </c>
      <c r="AB996" s="1">
        <f t="shared" si="67"/>
        <v>0</v>
      </c>
    </row>
    <row r="997" spans="25:28" ht="15.75" customHeight="1" x14ac:dyDescent="0.2">
      <c r="Y997" s="1">
        <f t="shared" si="64"/>
        <v>0</v>
      </c>
      <c r="Z997" s="1">
        <f t="shared" si="65"/>
        <v>0</v>
      </c>
      <c r="AA997" s="1">
        <f t="shared" si="66"/>
        <v>0</v>
      </c>
      <c r="AB997" s="1">
        <f t="shared" si="67"/>
        <v>0</v>
      </c>
    </row>
    <row r="998" spans="25:28" ht="15.75" customHeight="1" x14ac:dyDescent="0.2">
      <c r="Y998" s="1">
        <f t="shared" si="64"/>
        <v>0</v>
      </c>
      <c r="Z998" s="1">
        <f t="shared" si="65"/>
        <v>0</v>
      </c>
      <c r="AA998" s="1">
        <f t="shared" si="66"/>
        <v>0</v>
      </c>
      <c r="AB998" s="1">
        <f t="shared" si="67"/>
        <v>0</v>
      </c>
    </row>
    <row r="999" spans="25:28" ht="15.75" customHeight="1" x14ac:dyDescent="0.2">
      <c r="Y999" s="1">
        <f t="shared" si="64"/>
        <v>0</v>
      </c>
      <c r="Z999" s="1">
        <f t="shared" si="65"/>
        <v>0</v>
      </c>
      <c r="AA999" s="1">
        <f t="shared" si="66"/>
        <v>0</v>
      </c>
      <c r="AB999" s="1">
        <f t="shared" si="67"/>
        <v>0</v>
      </c>
    </row>
    <row r="1000" spans="25:28" ht="15.75" customHeight="1" x14ac:dyDescent="0.2">
      <c r="Y1000" s="1">
        <f t="shared" si="64"/>
        <v>0</v>
      </c>
      <c r="Z1000" s="1">
        <f t="shared" si="65"/>
        <v>0</v>
      </c>
      <c r="AA1000" s="1">
        <f t="shared" si="66"/>
        <v>0</v>
      </c>
      <c r="AB1000" s="1">
        <f t="shared" si="67"/>
        <v>0</v>
      </c>
    </row>
    <row r="1001" spans="25:28" ht="15.75" customHeight="1" x14ac:dyDescent="0.2">
      <c r="Y1001" s="1">
        <f t="shared" si="64"/>
        <v>0</v>
      </c>
      <c r="Z1001" s="1">
        <f t="shared" si="65"/>
        <v>0</v>
      </c>
      <c r="AA1001" s="1">
        <f t="shared" si="66"/>
        <v>0</v>
      </c>
      <c r="AB1001" s="1">
        <f t="shared" si="67"/>
        <v>0</v>
      </c>
    </row>
    <row r="1002" spans="25:28" ht="15.75" customHeight="1" x14ac:dyDescent="0.2">
      <c r="Y1002" s="1">
        <f t="shared" si="64"/>
        <v>0</v>
      </c>
      <c r="Z1002" s="1">
        <f t="shared" si="65"/>
        <v>0</v>
      </c>
      <c r="AA1002" s="1">
        <f t="shared" si="66"/>
        <v>0</v>
      </c>
      <c r="AB1002" s="1">
        <f t="shared" si="67"/>
        <v>0</v>
      </c>
    </row>
    <row r="1003" spans="25:28" ht="15.75" customHeight="1" x14ac:dyDescent="0.2">
      <c r="Y1003" s="1">
        <f t="shared" si="64"/>
        <v>0</v>
      </c>
      <c r="Z1003" s="1">
        <f t="shared" si="65"/>
        <v>0</v>
      </c>
      <c r="AA1003" s="1">
        <f t="shared" si="66"/>
        <v>0</v>
      </c>
      <c r="AB1003" s="1">
        <f t="shared" si="67"/>
        <v>0</v>
      </c>
    </row>
    <row r="1004" spans="25:28" ht="15.75" customHeight="1" x14ac:dyDescent="0.2">
      <c r="Y1004" s="1">
        <f t="shared" si="64"/>
        <v>0</v>
      </c>
      <c r="Z1004" s="1">
        <f t="shared" si="65"/>
        <v>0</v>
      </c>
      <c r="AA1004" s="1">
        <f t="shared" si="66"/>
        <v>0</v>
      </c>
      <c r="AB1004" s="1">
        <f t="shared" si="67"/>
        <v>0</v>
      </c>
    </row>
    <row r="1005" spans="25:28" ht="15" customHeight="1" x14ac:dyDescent="0.2">
      <c r="Y1005" s="1">
        <f t="shared" si="64"/>
        <v>0</v>
      </c>
      <c r="Z1005" s="1">
        <f t="shared" si="65"/>
        <v>0</v>
      </c>
      <c r="AA1005" s="1">
        <f t="shared" si="66"/>
        <v>0</v>
      </c>
      <c r="AB1005" s="1">
        <f t="shared" si="67"/>
        <v>0</v>
      </c>
    </row>
    <row r="1006" spans="25:28" ht="15" customHeight="1" x14ac:dyDescent="0.2">
      <c r="Y1006" s="1">
        <f t="shared" si="64"/>
        <v>0</v>
      </c>
      <c r="Z1006" s="1">
        <f t="shared" si="65"/>
        <v>0</v>
      </c>
      <c r="AA1006" s="1">
        <f t="shared" si="66"/>
        <v>0</v>
      </c>
      <c r="AB1006" s="1">
        <f t="shared" si="67"/>
        <v>0</v>
      </c>
    </row>
    <row r="1007" spans="25:28" ht="15" customHeight="1" x14ac:dyDescent="0.2">
      <c r="Y1007" s="1">
        <f t="shared" si="64"/>
        <v>0</v>
      </c>
      <c r="Z1007" s="1">
        <f t="shared" si="65"/>
        <v>0</v>
      </c>
      <c r="AA1007" s="1">
        <f t="shared" si="66"/>
        <v>0</v>
      </c>
      <c r="AB1007" s="1">
        <f t="shared" si="67"/>
        <v>0</v>
      </c>
    </row>
    <row r="1008" spans="25:28" ht="15" customHeight="1" x14ac:dyDescent="0.2">
      <c r="Y1008" s="1">
        <f t="shared" si="64"/>
        <v>0</v>
      </c>
      <c r="Z1008" s="1">
        <f t="shared" si="65"/>
        <v>0</v>
      </c>
      <c r="AA1008" s="1">
        <f t="shared" si="66"/>
        <v>0</v>
      </c>
      <c r="AB1008" s="1">
        <f t="shared" si="67"/>
        <v>0</v>
      </c>
    </row>
    <row r="1009" spans="25:28" ht="15" customHeight="1" x14ac:dyDescent="0.2">
      <c r="Y1009" s="1">
        <f t="shared" si="64"/>
        <v>0</v>
      </c>
      <c r="Z1009" s="1">
        <f t="shared" si="65"/>
        <v>0</v>
      </c>
      <c r="AA1009" s="1">
        <f t="shared" si="66"/>
        <v>0</v>
      </c>
      <c r="AB1009" s="1">
        <f t="shared" si="67"/>
        <v>0</v>
      </c>
    </row>
    <row r="1010" spans="25:28" ht="15" customHeight="1" x14ac:dyDescent="0.2">
      <c r="Y1010" s="1">
        <f t="shared" si="64"/>
        <v>0</v>
      </c>
      <c r="Z1010" s="1">
        <f t="shared" si="65"/>
        <v>0</v>
      </c>
      <c r="AA1010" s="1">
        <f t="shared" si="66"/>
        <v>0</v>
      </c>
      <c r="AB1010" s="1">
        <f t="shared" si="67"/>
        <v>0</v>
      </c>
    </row>
    <row r="1011" spans="25:28" ht="15" customHeight="1" x14ac:dyDescent="0.2">
      <c r="Y1011" s="1">
        <f t="shared" si="64"/>
        <v>0</v>
      </c>
      <c r="Z1011" s="1">
        <f t="shared" si="65"/>
        <v>0</v>
      </c>
      <c r="AA1011" s="1">
        <f t="shared" si="66"/>
        <v>0</v>
      </c>
      <c r="AB1011" s="1">
        <f t="shared" si="67"/>
        <v>0</v>
      </c>
    </row>
    <row r="1012" spans="25:28" ht="15" customHeight="1" x14ac:dyDescent="0.2">
      <c r="Y1012" s="1">
        <f t="shared" si="64"/>
        <v>0</v>
      </c>
      <c r="Z1012" s="1">
        <f t="shared" si="65"/>
        <v>0</v>
      </c>
      <c r="AA1012" s="1">
        <f t="shared" si="66"/>
        <v>0</v>
      </c>
      <c r="AB1012" s="1">
        <f t="shared" si="67"/>
        <v>0</v>
      </c>
    </row>
    <row r="1013" spans="25:28" ht="15" customHeight="1" x14ac:dyDescent="0.2">
      <c r="Y1013" s="1">
        <f t="shared" si="64"/>
        <v>0</v>
      </c>
      <c r="Z1013" s="1">
        <f t="shared" si="65"/>
        <v>0</v>
      </c>
      <c r="AA1013" s="1">
        <f t="shared" si="66"/>
        <v>0</v>
      </c>
      <c r="AB1013" s="1">
        <f t="shared" si="67"/>
        <v>0</v>
      </c>
    </row>
    <row r="1014" spans="25:28" ht="15" customHeight="1" x14ac:dyDescent="0.2">
      <c r="Y1014" s="1">
        <f t="shared" si="64"/>
        <v>0</v>
      </c>
      <c r="Z1014" s="1">
        <f t="shared" si="65"/>
        <v>0</v>
      </c>
      <c r="AA1014" s="1">
        <f t="shared" si="66"/>
        <v>0</v>
      </c>
      <c r="AB1014" s="1">
        <f t="shared" si="67"/>
        <v>0</v>
      </c>
    </row>
    <row r="1015" spans="25:28" ht="15" customHeight="1" x14ac:dyDescent="0.2">
      <c r="Y1015" s="1">
        <f t="shared" si="64"/>
        <v>0</v>
      </c>
      <c r="Z1015" s="1">
        <f t="shared" si="65"/>
        <v>0</v>
      </c>
      <c r="AA1015" s="1">
        <f t="shared" si="66"/>
        <v>0</v>
      </c>
      <c r="AB1015" s="1">
        <f t="shared" si="67"/>
        <v>0</v>
      </c>
    </row>
    <row r="1016" spans="25:28" ht="15" customHeight="1" x14ac:dyDescent="0.2">
      <c r="Y1016" s="1">
        <f t="shared" si="64"/>
        <v>0</v>
      </c>
      <c r="Z1016" s="1">
        <f t="shared" si="65"/>
        <v>0</v>
      </c>
      <c r="AA1016" s="1">
        <f t="shared" si="66"/>
        <v>0</v>
      </c>
      <c r="AB1016" s="1">
        <f t="shared" si="67"/>
        <v>0</v>
      </c>
    </row>
    <row r="1017" spans="25:28" ht="15" customHeight="1" x14ac:dyDescent="0.2">
      <c r="Y1017" s="1">
        <f t="shared" si="64"/>
        <v>0</v>
      </c>
      <c r="Z1017" s="1">
        <f t="shared" si="65"/>
        <v>0</v>
      </c>
      <c r="AA1017" s="1">
        <f t="shared" si="66"/>
        <v>0</v>
      </c>
      <c r="AB1017" s="1">
        <f t="shared" si="67"/>
        <v>0</v>
      </c>
    </row>
    <row r="1018" spans="25:28" ht="15" customHeight="1" x14ac:dyDescent="0.2">
      <c r="Y1018" s="1">
        <f t="shared" si="64"/>
        <v>0</v>
      </c>
      <c r="Z1018" s="1">
        <f t="shared" si="65"/>
        <v>0</v>
      </c>
      <c r="AA1018" s="1">
        <f t="shared" si="66"/>
        <v>0</v>
      </c>
      <c r="AB1018" s="1">
        <f t="shared" si="67"/>
        <v>0</v>
      </c>
    </row>
    <row r="1019" spans="25:28" ht="15" customHeight="1" x14ac:dyDescent="0.2">
      <c r="Y1019" s="1">
        <f t="shared" si="64"/>
        <v>0</v>
      </c>
      <c r="Z1019" s="1">
        <f t="shared" si="65"/>
        <v>0</v>
      </c>
      <c r="AA1019" s="1">
        <f t="shared" si="66"/>
        <v>0</v>
      </c>
      <c r="AB1019" s="1">
        <f t="shared" si="67"/>
        <v>0</v>
      </c>
    </row>
    <row r="1020" spans="25:28" ht="15" customHeight="1" x14ac:dyDescent="0.2">
      <c r="Y1020" s="1">
        <f t="shared" si="64"/>
        <v>0</v>
      </c>
      <c r="Z1020" s="1">
        <f t="shared" si="65"/>
        <v>0</v>
      </c>
      <c r="AA1020" s="1">
        <f t="shared" si="66"/>
        <v>0</v>
      </c>
      <c r="AB1020" s="1">
        <f t="shared" si="67"/>
        <v>0</v>
      </c>
    </row>
    <row r="1021" spans="25:28" ht="15" customHeight="1" x14ac:dyDescent="0.2">
      <c r="Y1021" s="1">
        <f t="shared" si="64"/>
        <v>0</v>
      </c>
      <c r="Z1021" s="1">
        <f t="shared" si="65"/>
        <v>0</v>
      </c>
      <c r="AA1021" s="1">
        <f t="shared" si="66"/>
        <v>0</v>
      </c>
      <c r="AB1021" s="1">
        <f t="shared" si="67"/>
        <v>0</v>
      </c>
    </row>
    <row r="1022" spans="25:28" ht="15" customHeight="1" x14ac:dyDescent="0.2">
      <c r="Y1022" s="1">
        <f t="shared" si="64"/>
        <v>0</v>
      </c>
      <c r="Z1022" s="1">
        <f t="shared" si="65"/>
        <v>0</v>
      </c>
      <c r="AA1022" s="1">
        <f t="shared" si="66"/>
        <v>0</v>
      </c>
      <c r="AB1022" s="1">
        <f t="shared" si="67"/>
        <v>0</v>
      </c>
    </row>
    <row r="1023" spans="25:28" ht="15" customHeight="1" x14ac:dyDescent="0.2">
      <c r="Y1023" s="1">
        <f t="shared" si="64"/>
        <v>0</v>
      </c>
      <c r="Z1023" s="1">
        <f t="shared" si="65"/>
        <v>0</v>
      </c>
      <c r="AA1023" s="1">
        <f t="shared" si="66"/>
        <v>0</v>
      </c>
      <c r="AB1023" s="1">
        <f t="shared" si="67"/>
        <v>0</v>
      </c>
    </row>
    <row r="1024" spans="25:28" ht="15" customHeight="1" x14ac:dyDescent="0.2">
      <c r="Y1024" s="1">
        <f t="shared" si="64"/>
        <v>0</v>
      </c>
      <c r="Z1024" s="1">
        <f t="shared" si="65"/>
        <v>0</v>
      </c>
      <c r="AA1024" s="1">
        <f t="shared" si="66"/>
        <v>0</v>
      </c>
      <c r="AB1024" s="1">
        <f t="shared" si="67"/>
        <v>0</v>
      </c>
    </row>
    <row r="1025" spans="25:28" ht="15" customHeight="1" x14ac:dyDescent="0.2">
      <c r="Y1025" s="1">
        <f t="shared" si="64"/>
        <v>0</v>
      </c>
      <c r="Z1025" s="1">
        <f t="shared" si="65"/>
        <v>0</v>
      </c>
      <c r="AA1025" s="1">
        <f t="shared" si="66"/>
        <v>0</v>
      </c>
      <c r="AB1025" s="1">
        <f t="shared" si="67"/>
        <v>0</v>
      </c>
    </row>
    <row r="1026" spans="25:28" ht="15" customHeight="1" x14ac:dyDescent="0.2">
      <c r="Y1026" s="1">
        <f t="shared" si="64"/>
        <v>0</v>
      </c>
      <c r="Z1026" s="1">
        <f t="shared" si="65"/>
        <v>0</v>
      </c>
      <c r="AA1026" s="1">
        <f t="shared" si="66"/>
        <v>0</v>
      </c>
      <c r="AB1026" s="1">
        <f t="shared" si="67"/>
        <v>0</v>
      </c>
    </row>
    <row r="1027" spans="25:28" ht="15" customHeight="1" x14ac:dyDescent="0.2">
      <c r="Y1027" s="1">
        <f t="shared" si="64"/>
        <v>0</v>
      </c>
      <c r="Z1027" s="1">
        <f t="shared" si="65"/>
        <v>0</v>
      </c>
      <c r="AA1027" s="1">
        <f t="shared" si="66"/>
        <v>0</v>
      </c>
      <c r="AB1027" s="1">
        <f t="shared" si="67"/>
        <v>0</v>
      </c>
    </row>
    <row r="1028" spans="25:28" ht="15" customHeight="1" x14ac:dyDescent="0.2">
      <c r="Y1028" s="1">
        <f t="shared" si="64"/>
        <v>0</v>
      </c>
      <c r="Z1028" s="1">
        <f t="shared" si="65"/>
        <v>0</v>
      </c>
      <c r="AA1028" s="1">
        <f t="shared" si="66"/>
        <v>0</v>
      </c>
      <c r="AB1028" s="1">
        <f t="shared" si="67"/>
        <v>0</v>
      </c>
    </row>
    <row r="1029" spans="25:28" ht="15" customHeight="1" x14ac:dyDescent="0.2">
      <c r="Y1029" s="1">
        <f t="shared" si="64"/>
        <v>0</v>
      </c>
      <c r="Z1029" s="1">
        <f t="shared" si="65"/>
        <v>0</v>
      </c>
      <c r="AA1029" s="1">
        <f t="shared" si="66"/>
        <v>0</v>
      </c>
      <c r="AB1029" s="1">
        <f t="shared" si="67"/>
        <v>0</v>
      </c>
    </row>
    <row r="1030" spans="25:28" ht="15" customHeight="1" x14ac:dyDescent="0.2">
      <c r="Y1030" s="1">
        <f t="shared" si="64"/>
        <v>0</v>
      </c>
      <c r="Z1030" s="1">
        <f t="shared" si="65"/>
        <v>0</v>
      </c>
      <c r="AA1030" s="1">
        <f t="shared" si="66"/>
        <v>0</v>
      </c>
      <c r="AB1030" s="1">
        <f t="shared" si="67"/>
        <v>0</v>
      </c>
    </row>
    <row r="1031" spans="25:28" ht="15" customHeight="1" x14ac:dyDescent="0.2">
      <c r="Y1031" s="1">
        <f t="shared" si="64"/>
        <v>0</v>
      </c>
      <c r="Z1031" s="1">
        <f t="shared" si="65"/>
        <v>0</v>
      </c>
      <c r="AA1031" s="1">
        <f t="shared" si="66"/>
        <v>0</v>
      </c>
      <c r="AB1031" s="1">
        <f t="shared" si="67"/>
        <v>0</v>
      </c>
    </row>
    <row r="1032" spans="25:28" ht="15" customHeight="1" x14ac:dyDescent="0.2">
      <c r="Y1032" s="1">
        <f t="shared" si="64"/>
        <v>0</v>
      </c>
      <c r="Z1032" s="1">
        <f t="shared" si="65"/>
        <v>0</v>
      </c>
      <c r="AA1032" s="1">
        <f t="shared" si="66"/>
        <v>0</v>
      </c>
      <c r="AB1032" s="1">
        <f t="shared" si="67"/>
        <v>0</v>
      </c>
    </row>
    <row r="1033" spans="25:28" ht="15" customHeight="1" x14ac:dyDescent="0.2">
      <c r="Y1033" s="1">
        <f t="shared" si="64"/>
        <v>0</v>
      </c>
      <c r="Z1033" s="1">
        <f t="shared" si="65"/>
        <v>0</v>
      </c>
      <c r="AA1033" s="1">
        <f t="shared" si="66"/>
        <v>0</v>
      </c>
      <c r="AB1033" s="1">
        <f t="shared" si="67"/>
        <v>0</v>
      </c>
    </row>
    <row r="1034" spans="25:28" ht="15" customHeight="1" x14ac:dyDescent="0.2">
      <c r="Y1034" s="1">
        <f t="shared" si="64"/>
        <v>0</v>
      </c>
      <c r="Z1034" s="1">
        <f t="shared" si="65"/>
        <v>0</v>
      </c>
      <c r="AA1034" s="1">
        <f t="shared" si="66"/>
        <v>0</v>
      </c>
      <c r="AB1034" s="1">
        <f t="shared" si="67"/>
        <v>0</v>
      </c>
    </row>
    <row r="1035" spans="25:28" ht="15" customHeight="1" x14ac:dyDescent="0.2">
      <c r="Y1035" s="1">
        <f t="shared" si="64"/>
        <v>0</v>
      </c>
      <c r="Z1035" s="1">
        <f t="shared" si="65"/>
        <v>0</v>
      </c>
      <c r="AA1035" s="1">
        <f t="shared" si="66"/>
        <v>0</v>
      </c>
      <c r="AB1035" s="1">
        <f t="shared" si="67"/>
        <v>0</v>
      </c>
    </row>
    <row r="1036" spans="25:28" ht="15" customHeight="1" x14ac:dyDescent="0.2">
      <c r="Y1036" s="1">
        <f t="shared" si="64"/>
        <v>0</v>
      </c>
      <c r="Z1036" s="1">
        <f t="shared" si="65"/>
        <v>0</v>
      </c>
      <c r="AA1036" s="1">
        <f t="shared" si="66"/>
        <v>0</v>
      </c>
      <c r="AB1036" s="1">
        <f t="shared" si="67"/>
        <v>0</v>
      </c>
    </row>
    <row r="1037" spans="25:28" ht="15" customHeight="1" x14ac:dyDescent="0.2">
      <c r="Y1037" s="1">
        <f t="shared" si="64"/>
        <v>0</v>
      </c>
      <c r="Z1037" s="1">
        <f t="shared" si="65"/>
        <v>0</v>
      </c>
      <c r="AA1037" s="1">
        <f t="shared" si="66"/>
        <v>0</v>
      </c>
      <c r="AB1037" s="1">
        <f t="shared" si="67"/>
        <v>0</v>
      </c>
    </row>
    <row r="1038" spans="25:28" ht="15" customHeight="1" x14ac:dyDescent="0.2">
      <c r="Y1038" s="1">
        <f t="shared" ref="Y1038:Y1101" si="68">MAX(0,IFERROR((LEN($T1039)-LEN(SUBSTITUTE($T1039,"Quality of Works / Criteria of Failings:","")))/LEN("Quality of Works / Criteria of Failings:"),0)-IFERROR((LEN($T1039)-LEN(SUBSTITUTE($T1039,"Quality of Works / Criteria of Failings:Compliant","")))/LEN("Quality of Works / Criteria of Failings:Compliant"),0))</f>
        <v>0</v>
      </c>
      <c r="Z1038" s="1">
        <f t="shared" ref="Z1038:Z1101" si="69">IFERROR($Y1039/MAX(1,(LEN($I1039)-LEN(SUBSTITUTE($I1039," Ltd","")))/LEN(" Ltd")),0)</f>
        <v>0</v>
      </c>
      <c r="AA1038" s="1">
        <f t="shared" ref="AA1038:AA1101" si="70">IFERROR(IFERROR((LEN($T1039)-LEN(SUBSTITUTE($T1039,"Quality of Works / Criteria of Failings:","")))/LEN("Quality of Works / Criteria of Failings:"),0)/MAX(1,(LEN($I1039)-LEN(SUBSTITUTE($I1039," Ltd","")))/LEN(" Ltd")),0)</f>
        <v>0</v>
      </c>
      <c r="AB1038" s="1">
        <f t="shared" ref="AB1038:AB1101" si="71">IFERROR(IFERROR((LEN($T1039)-LEN(SUBSTITUTE($T1039,"Quality of Works / Criteria of Failings:Compliant","")))/LEN("Quality of Works / Criteria of Failings:Compliant"),0)/MAX(1,(LEN($I1039)-LEN(SUBSTITUTE($I1039," Ltd","")))/LEN(" Ltd")),0)</f>
        <v>0</v>
      </c>
    </row>
    <row r="1039" spans="25:28" ht="15" customHeight="1" x14ac:dyDescent="0.2">
      <c r="Y1039" s="1">
        <f t="shared" si="68"/>
        <v>0</v>
      </c>
      <c r="Z1039" s="1">
        <f t="shared" si="69"/>
        <v>0</v>
      </c>
      <c r="AA1039" s="1">
        <f t="shared" si="70"/>
        <v>0</v>
      </c>
      <c r="AB1039" s="1">
        <f t="shared" si="71"/>
        <v>0</v>
      </c>
    </row>
    <row r="1040" spans="25:28" ht="15" customHeight="1" x14ac:dyDescent="0.2">
      <c r="Y1040" s="1">
        <f t="shared" si="68"/>
        <v>0</v>
      </c>
      <c r="Z1040" s="1">
        <f t="shared" si="69"/>
        <v>0</v>
      </c>
      <c r="AA1040" s="1">
        <f t="shared" si="70"/>
        <v>0</v>
      </c>
      <c r="AB1040" s="1">
        <f t="shared" si="71"/>
        <v>0</v>
      </c>
    </row>
    <row r="1041" spans="25:28" ht="15" customHeight="1" x14ac:dyDescent="0.2">
      <c r="Y1041" s="1">
        <f t="shared" si="68"/>
        <v>0</v>
      </c>
      <c r="Z1041" s="1">
        <f t="shared" si="69"/>
        <v>0</v>
      </c>
      <c r="AA1041" s="1">
        <f t="shared" si="70"/>
        <v>0</v>
      </c>
      <c r="AB1041" s="1">
        <f t="shared" si="71"/>
        <v>0</v>
      </c>
    </row>
    <row r="1042" spans="25:28" ht="15" customHeight="1" x14ac:dyDescent="0.2">
      <c r="Y1042" s="1">
        <f t="shared" si="68"/>
        <v>0</v>
      </c>
      <c r="Z1042" s="1">
        <f t="shared" si="69"/>
        <v>0</v>
      </c>
      <c r="AA1042" s="1">
        <f t="shared" si="70"/>
        <v>0</v>
      </c>
      <c r="AB1042" s="1">
        <f t="shared" si="71"/>
        <v>0</v>
      </c>
    </row>
    <row r="1043" spans="25:28" ht="15" customHeight="1" x14ac:dyDescent="0.2">
      <c r="Y1043" s="1">
        <f t="shared" si="68"/>
        <v>0</v>
      </c>
      <c r="Z1043" s="1">
        <f t="shared" si="69"/>
        <v>0</v>
      </c>
      <c r="AA1043" s="1">
        <f t="shared" si="70"/>
        <v>0</v>
      </c>
      <c r="AB1043" s="1">
        <f t="shared" si="71"/>
        <v>0</v>
      </c>
    </row>
    <row r="1044" spans="25:28" ht="15" customHeight="1" x14ac:dyDescent="0.2">
      <c r="Y1044" s="1">
        <f t="shared" si="68"/>
        <v>0</v>
      </c>
      <c r="Z1044" s="1">
        <f t="shared" si="69"/>
        <v>0</v>
      </c>
      <c r="AA1044" s="1">
        <f t="shared" si="70"/>
        <v>0</v>
      </c>
      <c r="AB1044" s="1">
        <f t="shared" si="71"/>
        <v>0</v>
      </c>
    </row>
    <row r="1045" spans="25:28" ht="15" customHeight="1" x14ac:dyDescent="0.2">
      <c r="Y1045" s="1">
        <f t="shared" si="68"/>
        <v>0</v>
      </c>
      <c r="Z1045" s="1">
        <f t="shared" si="69"/>
        <v>0</v>
      </c>
      <c r="AA1045" s="1">
        <f t="shared" si="70"/>
        <v>0</v>
      </c>
      <c r="AB1045" s="1">
        <f t="shared" si="71"/>
        <v>0</v>
      </c>
    </row>
    <row r="1046" spans="25:28" ht="15" customHeight="1" x14ac:dyDescent="0.2">
      <c r="Y1046" s="1">
        <f t="shared" si="68"/>
        <v>0</v>
      </c>
      <c r="Z1046" s="1">
        <f t="shared" si="69"/>
        <v>0</v>
      </c>
      <c r="AA1046" s="1">
        <f t="shared" si="70"/>
        <v>0</v>
      </c>
      <c r="AB1046" s="1">
        <f t="shared" si="71"/>
        <v>0</v>
      </c>
    </row>
    <row r="1047" spans="25:28" ht="15" customHeight="1" x14ac:dyDescent="0.2">
      <c r="Y1047" s="1">
        <f t="shared" si="68"/>
        <v>0</v>
      </c>
      <c r="Z1047" s="1">
        <f t="shared" si="69"/>
        <v>0</v>
      </c>
      <c r="AA1047" s="1">
        <f t="shared" si="70"/>
        <v>0</v>
      </c>
      <c r="AB1047" s="1">
        <f t="shared" si="71"/>
        <v>0</v>
      </c>
    </row>
    <row r="1048" spans="25:28" ht="15" customHeight="1" x14ac:dyDescent="0.2">
      <c r="Y1048" s="1">
        <f t="shared" si="68"/>
        <v>0</v>
      </c>
      <c r="Z1048" s="1">
        <f t="shared" si="69"/>
        <v>0</v>
      </c>
      <c r="AA1048" s="1">
        <f t="shared" si="70"/>
        <v>0</v>
      </c>
      <c r="AB1048" s="1">
        <f t="shared" si="71"/>
        <v>0</v>
      </c>
    </row>
    <row r="1049" spans="25:28" ht="15" customHeight="1" x14ac:dyDescent="0.2">
      <c r="Y1049" s="1">
        <f t="shared" si="68"/>
        <v>0</v>
      </c>
      <c r="Z1049" s="1">
        <f t="shared" si="69"/>
        <v>0</v>
      </c>
      <c r="AA1049" s="1">
        <f t="shared" si="70"/>
        <v>0</v>
      </c>
      <c r="AB1049" s="1">
        <f t="shared" si="71"/>
        <v>0</v>
      </c>
    </row>
    <row r="1050" spans="25:28" ht="15" customHeight="1" x14ac:dyDescent="0.2">
      <c r="Y1050" s="1">
        <f t="shared" si="68"/>
        <v>0</v>
      </c>
      <c r="Z1050" s="1">
        <f t="shared" si="69"/>
        <v>0</v>
      </c>
      <c r="AA1050" s="1">
        <f t="shared" si="70"/>
        <v>0</v>
      </c>
      <c r="AB1050" s="1">
        <f t="shared" si="71"/>
        <v>0</v>
      </c>
    </row>
    <row r="1051" spans="25:28" ht="15" customHeight="1" x14ac:dyDescent="0.2">
      <c r="Y1051" s="1">
        <f t="shared" si="68"/>
        <v>0</v>
      </c>
      <c r="Z1051" s="1">
        <f t="shared" si="69"/>
        <v>0</v>
      </c>
      <c r="AA1051" s="1">
        <f t="shared" si="70"/>
        <v>0</v>
      </c>
      <c r="AB1051" s="1">
        <f t="shared" si="71"/>
        <v>0</v>
      </c>
    </row>
    <row r="1052" spans="25:28" ht="15" customHeight="1" x14ac:dyDescent="0.2">
      <c r="Y1052" s="1">
        <f t="shared" si="68"/>
        <v>0</v>
      </c>
      <c r="Z1052" s="1">
        <f t="shared" si="69"/>
        <v>0</v>
      </c>
      <c r="AA1052" s="1">
        <f t="shared" si="70"/>
        <v>0</v>
      </c>
      <c r="AB1052" s="1">
        <f t="shared" si="71"/>
        <v>0</v>
      </c>
    </row>
    <row r="1053" spans="25:28" ht="15" customHeight="1" x14ac:dyDescent="0.2">
      <c r="Y1053" s="1">
        <f t="shared" si="68"/>
        <v>0</v>
      </c>
      <c r="Z1053" s="1">
        <f t="shared" si="69"/>
        <v>0</v>
      </c>
      <c r="AA1053" s="1">
        <f t="shared" si="70"/>
        <v>0</v>
      </c>
      <c r="AB1053" s="1">
        <f t="shared" si="71"/>
        <v>0</v>
      </c>
    </row>
    <row r="1054" spans="25:28" ht="15" customHeight="1" x14ac:dyDescent="0.2">
      <c r="Y1054" s="1">
        <f t="shared" si="68"/>
        <v>0</v>
      </c>
      <c r="Z1054" s="1">
        <f t="shared" si="69"/>
        <v>0</v>
      </c>
      <c r="AA1054" s="1">
        <f t="shared" si="70"/>
        <v>0</v>
      </c>
      <c r="AB1054" s="1">
        <f t="shared" si="71"/>
        <v>0</v>
      </c>
    </row>
    <row r="1055" spans="25:28" ht="15" customHeight="1" x14ac:dyDescent="0.2">
      <c r="Y1055" s="1">
        <f t="shared" si="68"/>
        <v>0</v>
      </c>
      <c r="Z1055" s="1">
        <f t="shared" si="69"/>
        <v>0</v>
      </c>
      <c r="AA1055" s="1">
        <f t="shared" si="70"/>
        <v>0</v>
      </c>
      <c r="AB1055" s="1">
        <f t="shared" si="71"/>
        <v>0</v>
      </c>
    </row>
    <row r="1056" spans="25:28" ht="15" customHeight="1" x14ac:dyDescent="0.2">
      <c r="Y1056" s="1">
        <f t="shared" si="68"/>
        <v>0</v>
      </c>
      <c r="Z1056" s="1">
        <f t="shared" si="69"/>
        <v>0</v>
      </c>
      <c r="AA1056" s="1">
        <f t="shared" si="70"/>
        <v>0</v>
      </c>
      <c r="AB1056" s="1">
        <f t="shared" si="71"/>
        <v>0</v>
      </c>
    </row>
    <row r="1057" spans="25:28" ht="15" customHeight="1" x14ac:dyDescent="0.2">
      <c r="Y1057" s="1">
        <f t="shared" si="68"/>
        <v>0</v>
      </c>
      <c r="Z1057" s="1">
        <f t="shared" si="69"/>
        <v>0</v>
      </c>
      <c r="AA1057" s="1">
        <f t="shared" si="70"/>
        <v>0</v>
      </c>
      <c r="AB1057" s="1">
        <f t="shared" si="71"/>
        <v>0</v>
      </c>
    </row>
    <row r="1058" spans="25:28" ht="15" customHeight="1" x14ac:dyDescent="0.2">
      <c r="Y1058" s="1">
        <f t="shared" si="68"/>
        <v>0</v>
      </c>
      <c r="Z1058" s="1">
        <f t="shared" si="69"/>
        <v>0</v>
      </c>
      <c r="AA1058" s="1">
        <f t="shared" si="70"/>
        <v>0</v>
      </c>
      <c r="AB1058" s="1">
        <f t="shared" si="71"/>
        <v>0</v>
      </c>
    </row>
    <row r="1059" spans="25:28" ht="15" customHeight="1" x14ac:dyDescent="0.2">
      <c r="Y1059" s="1">
        <f t="shared" si="68"/>
        <v>0</v>
      </c>
      <c r="Z1059" s="1">
        <f t="shared" si="69"/>
        <v>0</v>
      </c>
      <c r="AA1059" s="1">
        <f t="shared" si="70"/>
        <v>0</v>
      </c>
      <c r="AB1059" s="1">
        <f t="shared" si="71"/>
        <v>0</v>
      </c>
    </row>
    <row r="1060" spans="25:28" ht="15" customHeight="1" x14ac:dyDescent="0.2">
      <c r="Y1060" s="1">
        <f t="shared" si="68"/>
        <v>0</v>
      </c>
      <c r="Z1060" s="1">
        <f t="shared" si="69"/>
        <v>0</v>
      </c>
      <c r="AA1060" s="1">
        <f t="shared" si="70"/>
        <v>0</v>
      </c>
      <c r="AB1060" s="1">
        <f t="shared" si="71"/>
        <v>0</v>
      </c>
    </row>
    <row r="1061" spans="25:28" ht="15" customHeight="1" x14ac:dyDescent="0.2">
      <c r="Y1061" s="1">
        <f t="shared" si="68"/>
        <v>0</v>
      </c>
      <c r="Z1061" s="1">
        <f t="shared" si="69"/>
        <v>0</v>
      </c>
      <c r="AA1061" s="1">
        <f t="shared" si="70"/>
        <v>0</v>
      </c>
      <c r="AB1061" s="1">
        <f t="shared" si="71"/>
        <v>0</v>
      </c>
    </row>
    <row r="1062" spans="25:28" ht="15" customHeight="1" x14ac:dyDescent="0.2">
      <c r="Y1062" s="1">
        <f t="shared" si="68"/>
        <v>0</v>
      </c>
      <c r="Z1062" s="1">
        <f t="shared" si="69"/>
        <v>0</v>
      </c>
      <c r="AA1062" s="1">
        <f t="shared" si="70"/>
        <v>0</v>
      </c>
      <c r="AB1062" s="1">
        <f t="shared" si="71"/>
        <v>0</v>
      </c>
    </row>
    <row r="1063" spans="25:28" ht="15" customHeight="1" x14ac:dyDescent="0.2">
      <c r="Y1063" s="1">
        <f t="shared" si="68"/>
        <v>0</v>
      </c>
      <c r="Z1063" s="1">
        <f t="shared" si="69"/>
        <v>0</v>
      </c>
      <c r="AA1063" s="1">
        <f t="shared" si="70"/>
        <v>0</v>
      </c>
      <c r="AB1063" s="1">
        <f t="shared" si="71"/>
        <v>0</v>
      </c>
    </row>
    <row r="1064" spans="25:28" ht="15" customHeight="1" x14ac:dyDescent="0.2">
      <c r="Y1064" s="1">
        <f t="shared" si="68"/>
        <v>0</v>
      </c>
      <c r="Z1064" s="1">
        <f t="shared" si="69"/>
        <v>0</v>
      </c>
      <c r="AA1064" s="1">
        <f t="shared" si="70"/>
        <v>0</v>
      </c>
      <c r="AB1064" s="1">
        <f t="shared" si="71"/>
        <v>0</v>
      </c>
    </row>
    <row r="1065" spans="25:28" ht="15" customHeight="1" x14ac:dyDescent="0.2">
      <c r="Y1065" s="1">
        <f t="shared" si="68"/>
        <v>0</v>
      </c>
      <c r="Z1065" s="1">
        <f t="shared" si="69"/>
        <v>0</v>
      </c>
      <c r="AA1065" s="1">
        <f t="shared" si="70"/>
        <v>0</v>
      </c>
      <c r="AB1065" s="1">
        <f t="shared" si="71"/>
        <v>0</v>
      </c>
    </row>
    <row r="1066" spans="25:28" ht="15" customHeight="1" x14ac:dyDescent="0.2">
      <c r="Y1066" s="1">
        <f t="shared" si="68"/>
        <v>0</v>
      </c>
      <c r="Z1066" s="1">
        <f t="shared" si="69"/>
        <v>0</v>
      </c>
      <c r="AA1066" s="1">
        <f t="shared" si="70"/>
        <v>0</v>
      </c>
      <c r="AB1066" s="1">
        <f t="shared" si="71"/>
        <v>0</v>
      </c>
    </row>
    <row r="1067" spans="25:28" ht="15" customHeight="1" x14ac:dyDescent="0.2">
      <c r="Y1067" s="1">
        <f t="shared" si="68"/>
        <v>0</v>
      </c>
      <c r="Z1067" s="1">
        <f t="shared" si="69"/>
        <v>0</v>
      </c>
      <c r="AA1067" s="1">
        <f t="shared" si="70"/>
        <v>0</v>
      </c>
      <c r="AB1067" s="1">
        <f t="shared" si="71"/>
        <v>0</v>
      </c>
    </row>
    <row r="1068" spans="25:28" ht="15" customHeight="1" x14ac:dyDescent="0.2">
      <c r="Y1068" s="1">
        <f t="shared" si="68"/>
        <v>0</v>
      </c>
      <c r="Z1068" s="1">
        <f t="shared" si="69"/>
        <v>0</v>
      </c>
      <c r="AA1068" s="1">
        <f t="shared" si="70"/>
        <v>0</v>
      </c>
      <c r="AB1068" s="1">
        <f t="shared" si="71"/>
        <v>0</v>
      </c>
    </row>
    <row r="1069" spans="25:28" ht="15" customHeight="1" x14ac:dyDescent="0.2">
      <c r="Y1069" s="1">
        <f t="shared" si="68"/>
        <v>0</v>
      </c>
      <c r="Z1069" s="1">
        <f t="shared" si="69"/>
        <v>0</v>
      </c>
      <c r="AA1069" s="1">
        <f t="shared" si="70"/>
        <v>0</v>
      </c>
      <c r="AB1069" s="1">
        <f t="shared" si="71"/>
        <v>0</v>
      </c>
    </row>
    <row r="1070" spans="25:28" ht="15" customHeight="1" x14ac:dyDescent="0.2">
      <c r="Y1070" s="1">
        <f t="shared" si="68"/>
        <v>0</v>
      </c>
      <c r="Z1070" s="1">
        <f t="shared" si="69"/>
        <v>0</v>
      </c>
      <c r="AA1070" s="1">
        <f t="shared" si="70"/>
        <v>0</v>
      </c>
      <c r="AB1070" s="1">
        <f t="shared" si="71"/>
        <v>0</v>
      </c>
    </row>
    <row r="1071" spans="25:28" ht="15" customHeight="1" x14ac:dyDescent="0.2">
      <c r="Y1071" s="1">
        <f t="shared" si="68"/>
        <v>0</v>
      </c>
      <c r="Z1071" s="1">
        <f t="shared" si="69"/>
        <v>0</v>
      </c>
      <c r="AA1071" s="1">
        <f t="shared" si="70"/>
        <v>0</v>
      </c>
      <c r="AB1071" s="1">
        <f t="shared" si="71"/>
        <v>0</v>
      </c>
    </row>
    <row r="1072" spans="25:28" ht="15" customHeight="1" x14ac:dyDescent="0.2">
      <c r="Y1072" s="1">
        <f t="shared" si="68"/>
        <v>0</v>
      </c>
      <c r="Z1072" s="1">
        <f t="shared" si="69"/>
        <v>0</v>
      </c>
      <c r="AA1072" s="1">
        <f t="shared" si="70"/>
        <v>0</v>
      </c>
      <c r="AB1072" s="1">
        <f t="shared" si="71"/>
        <v>0</v>
      </c>
    </row>
    <row r="1073" spans="25:28" ht="15" customHeight="1" x14ac:dyDescent="0.2">
      <c r="Y1073" s="1">
        <f t="shared" si="68"/>
        <v>0</v>
      </c>
      <c r="Z1073" s="1">
        <f t="shared" si="69"/>
        <v>0</v>
      </c>
      <c r="AA1073" s="1">
        <f t="shared" si="70"/>
        <v>0</v>
      </c>
      <c r="AB1073" s="1">
        <f t="shared" si="71"/>
        <v>0</v>
      </c>
    </row>
    <row r="1074" spans="25:28" ht="15" customHeight="1" x14ac:dyDescent="0.2">
      <c r="Y1074" s="1">
        <f t="shared" si="68"/>
        <v>0</v>
      </c>
      <c r="Z1074" s="1">
        <f t="shared" si="69"/>
        <v>0</v>
      </c>
      <c r="AA1074" s="1">
        <f t="shared" si="70"/>
        <v>0</v>
      </c>
      <c r="AB1074" s="1">
        <f t="shared" si="71"/>
        <v>0</v>
      </c>
    </row>
    <row r="1075" spans="25:28" ht="15" customHeight="1" x14ac:dyDescent="0.2">
      <c r="Y1075" s="1">
        <f t="shared" si="68"/>
        <v>0</v>
      </c>
      <c r="Z1075" s="1">
        <f t="shared" si="69"/>
        <v>0</v>
      </c>
      <c r="AA1075" s="1">
        <f t="shared" si="70"/>
        <v>0</v>
      </c>
      <c r="AB1075" s="1">
        <f t="shared" si="71"/>
        <v>0</v>
      </c>
    </row>
    <row r="1076" spans="25:28" ht="15" customHeight="1" x14ac:dyDescent="0.2">
      <c r="Y1076" s="1">
        <f t="shared" si="68"/>
        <v>0</v>
      </c>
      <c r="Z1076" s="1">
        <f t="shared" si="69"/>
        <v>0</v>
      </c>
      <c r="AA1076" s="1">
        <f t="shared" si="70"/>
        <v>0</v>
      </c>
      <c r="AB1076" s="1">
        <f t="shared" si="71"/>
        <v>0</v>
      </c>
    </row>
    <row r="1077" spans="25:28" ht="15" customHeight="1" x14ac:dyDescent="0.2">
      <c r="Y1077" s="1">
        <f t="shared" si="68"/>
        <v>0</v>
      </c>
      <c r="Z1077" s="1">
        <f t="shared" si="69"/>
        <v>0</v>
      </c>
      <c r="AA1077" s="1">
        <f t="shared" si="70"/>
        <v>0</v>
      </c>
      <c r="AB1077" s="1">
        <f t="shared" si="71"/>
        <v>0</v>
      </c>
    </row>
    <row r="1078" spans="25:28" ht="15" customHeight="1" x14ac:dyDescent="0.2">
      <c r="Y1078" s="1">
        <f t="shared" si="68"/>
        <v>0</v>
      </c>
      <c r="Z1078" s="1">
        <f t="shared" si="69"/>
        <v>0</v>
      </c>
      <c r="AA1078" s="1">
        <f t="shared" si="70"/>
        <v>0</v>
      </c>
      <c r="AB1078" s="1">
        <f t="shared" si="71"/>
        <v>0</v>
      </c>
    </row>
    <row r="1079" spans="25:28" ht="15" customHeight="1" x14ac:dyDescent="0.2">
      <c r="Y1079" s="1">
        <f t="shared" si="68"/>
        <v>0</v>
      </c>
      <c r="Z1079" s="1">
        <f t="shared" si="69"/>
        <v>0</v>
      </c>
      <c r="AA1079" s="1">
        <f t="shared" si="70"/>
        <v>0</v>
      </c>
      <c r="AB1079" s="1">
        <f t="shared" si="71"/>
        <v>0</v>
      </c>
    </row>
    <row r="1080" spans="25:28" ht="15" customHeight="1" x14ac:dyDescent="0.2">
      <c r="Y1080" s="1">
        <f t="shared" si="68"/>
        <v>0</v>
      </c>
      <c r="Z1080" s="1">
        <f t="shared" si="69"/>
        <v>0</v>
      </c>
      <c r="AA1080" s="1">
        <f t="shared" si="70"/>
        <v>0</v>
      </c>
      <c r="AB1080" s="1">
        <f t="shared" si="71"/>
        <v>0</v>
      </c>
    </row>
    <row r="1081" spans="25:28" ht="15" customHeight="1" x14ac:dyDescent="0.2">
      <c r="Y1081" s="1">
        <f t="shared" si="68"/>
        <v>0</v>
      </c>
      <c r="Z1081" s="1">
        <f t="shared" si="69"/>
        <v>0</v>
      </c>
      <c r="AA1081" s="1">
        <f t="shared" si="70"/>
        <v>0</v>
      </c>
      <c r="AB1081" s="1">
        <f t="shared" si="71"/>
        <v>0</v>
      </c>
    </row>
    <row r="1082" spans="25:28" ht="15" customHeight="1" x14ac:dyDescent="0.2">
      <c r="Y1082" s="1">
        <f t="shared" si="68"/>
        <v>0</v>
      </c>
      <c r="Z1082" s="1">
        <f t="shared" si="69"/>
        <v>0</v>
      </c>
      <c r="AA1082" s="1">
        <f t="shared" si="70"/>
        <v>0</v>
      </c>
      <c r="AB1082" s="1">
        <f t="shared" si="71"/>
        <v>0</v>
      </c>
    </row>
    <row r="1083" spans="25:28" ht="15" customHeight="1" x14ac:dyDescent="0.2">
      <c r="Y1083" s="1">
        <f t="shared" si="68"/>
        <v>0</v>
      </c>
      <c r="Z1083" s="1">
        <f t="shared" si="69"/>
        <v>0</v>
      </c>
      <c r="AA1083" s="1">
        <f t="shared" si="70"/>
        <v>0</v>
      </c>
      <c r="AB1083" s="1">
        <f t="shared" si="71"/>
        <v>0</v>
      </c>
    </row>
    <row r="1084" spans="25:28" ht="15" customHeight="1" x14ac:dyDescent="0.2">
      <c r="Y1084" s="1">
        <f t="shared" si="68"/>
        <v>0</v>
      </c>
      <c r="Z1084" s="1">
        <f t="shared" si="69"/>
        <v>0</v>
      </c>
      <c r="AA1084" s="1">
        <f t="shared" si="70"/>
        <v>0</v>
      </c>
      <c r="AB1084" s="1">
        <f t="shared" si="71"/>
        <v>0</v>
      </c>
    </row>
    <row r="1085" spans="25:28" ht="15" customHeight="1" x14ac:dyDescent="0.2">
      <c r="Y1085" s="1">
        <f t="shared" si="68"/>
        <v>0</v>
      </c>
      <c r="Z1085" s="1">
        <f t="shared" si="69"/>
        <v>0</v>
      </c>
      <c r="AA1085" s="1">
        <f t="shared" si="70"/>
        <v>0</v>
      </c>
      <c r="AB1085" s="1">
        <f t="shared" si="71"/>
        <v>0</v>
      </c>
    </row>
    <row r="1086" spans="25:28" ht="15" customHeight="1" x14ac:dyDescent="0.2">
      <c r="Y1086" s="1">
        <f t="shared" si="68"/>
        <v>0</v>
      </c>
      <c r="Z1086" s="1">
        <f t="shared" si="69"/>
        <v>0</v>
      </c>
      <c r="AA1086" s="1">
        <f t="shared" si="70"/>
        <v>0</v>
      </c>
      <c r="AB1086" s="1">
        <f t="shared" si="71"/>
        <v>0</v>
      </c>
    </row>
    <row r="1087" spans="25:28" ht="15" customHeight="1" x14ac:dyDescent="0.2">
      <c r="Y1087" s="1">
        <f t="shared" si="68"/>
        <v>0</v>
      </c>
      <c r="Z1087" s="1">
        <f t="shared" si="69"/>
        <v>0</v>
      </c>
      <c r="AA1087" s="1">
        <f t="shared" si="70"/>
        <v>0</v>
      </c>
      <c r="AB1087" s="1">
        <f t="shared" si="71"/>
        <v>0</v>
      </c>
    </row>
    <row r="1088" spans="25:28" ht="15" customHeight="1" x14ac:dyDescent="0.2">
      <c r="Y1088" s="1">
        <f t="shared" si="68"/>
        <v>0</v>
      </c>
      <c r="Z1088" s="1">
        <f t="shared" si="69"/>
        <v>0</v>
      </c>
      <c r="AA1088" s="1">
        <f t="shared" si="70"/>
        <v>0</v>
      </c>
      <c r="AB1088" s="1">
        <f t="shared" si="71"/>
        <v>0</v>
      </c>
    </row>
    <row r="1089" spans="25:28" ht="15" customHeight="1" x14ac:dyDescent="0.2">
      <c r="Y1089" s="1">
        <f t="shared" si="68"/>
        <v>0</v>
      </c>
      <c r="Z1089" s="1">
        <f t="shared" si="69"/>
        <v>0</v>
      </c>
      <c r="AA1089" s="1">
        <f t="shared" si="70"/>
        <v>0</v>
      </c>
      <c r="AB1089" s="1">
        <f t="shared" si="71"/>
        <v>0</v>
      </c>
    </row>
    <row r="1090" spans="25:28" ht="15" customHeight="1" x14ac:dyDescent="0.2">
      <c r="Y1090" s="1">
        <f t="shared" si="68"/>
        <v>0</v>
      </c>
      <c r="Z1090" s="1">
        <f t="shared" si="69"/>
        <v>0</v>
      </c>
      <c r="AA1090" s="1">
        <f t="shared" si="70"/>
        <v>0</v>
      </c>
      <c r="AB1090" s="1">
        <f t="shared" si="71"/>
        <v>0</v>
      </c>
    </row>
    <row r="1091" spans="25:28" ht="15" customHeight="1" x14ac:dyDescent="0.2">
      <c r="Y1091" s="1">
        <f t="shared" si="68"/>
        <v>0</v>
      </c>
      <c r="Z1091" s="1">
        <f t="shared" si="69"/>
        <v>0</v>
      </c>
      <c r="AA1091" s="1">
        <f t="shared" si="70"/>
        <v>0</v>
      </c>
      <c r="AB1091" s="1">
        <f t="shared" si="71"/>
        <v>0</v>
      </c>
    </row>
    <row r="1092" spans="25:28" ht="15" customHeight="1" x14ac:dyDescent="0.2">
      <c r="Y1092" s="1">
        <f t="shared" si="68"/>
        <v>0</v>
      </c>
      <c r="Z1092" s="1">
        <f t="shared" si="69"/>
        <v>0</v>
      </c>
      <c r="AA1092" s="1">
        <f t="shared" si="70"/>
        <v>0</v>
      </c>
      <c r="AB1092" s="1">
        <f t="shared" si="71"/>
        <v>0</v>
      </c>
    </row>
    <row r="1093" spans="25:28" ht="15" customHeight="1" x14ac:dyDescent="0.2">
      <c r="Y1093" s="1">
        <f t="shared" si="68"/>
        <v>0</v>
      </c>
      <c r="Z1093" s="1">
        <f t="shared" si="69"/>
        <v>0</v>
      </c>
      <c r="AA1093" s="1">
        <f t="shared" si="70"/>
        <v>0</v>
      </c>
      <c r="AB1093" s="1">
        <f t="shared" si="71"/>
        <v>0</v>
      </c>
    </row>
    <row r="1094" spans="25:28" ht="15" customHeight="1" x14ac:dyDescent="0.2">
      <c r="Y1094" s="1">
        <f t="shared" si="68"/>
        <v>0</v>
      </c>
      <c r="Z1094" s="1">
        <f t="shared" si="69"/>
        <v>0</v>
      </c>
      <c r="AA1094" s="1">
        <f t="shared" si="70"/>
        <v>0</v>
      </c>
      <c r="AB1094" s="1">
        <f t="shared" si="71"/>
        <v>0</v>
      </c>
    </row>
    <row r="1095" spans="25:28" ht="15" customHeight="1" x14ac:dyDescent="0.2">
      <c r="Y1095" s="1">
        <f t="shared" si="68"/>
        <v>0</v>
      </c>
      <c r="Z1095" s="1">
        <f t="shared" si="69"/>
        <v>0</v>
      </c>
      <c r="AA1095" s="1">
        <f t="shared" si="70"/>
        <v>0</v>
      </c>
      <c r="AB1095" s="1">
        <f t="shared" si="71"/>
        <v>0</v>
      </c>
    </row>
    <row r="1096" spans="25:28" ht="15" customHeight="1" x14ac:dyDescent="0.2">
      <c r="Y1096" s="1">
        <f t="shared" si="68"/>
        <v>0</v>
      </c>
      <c r="Z1096" s="1">
        <f t="shared" si="69"/>
        <v>0</v>
      </c>
      <c r="AA1096" s="1">
        <f t="shared" si="70"/>
        <v>0</v>
      </c>
      <c r="AB1096" s="1">
        <f t="shared" si="71"/>
        <v>0</v>
      </c>
    </row>
    <row r="1097" spans="25:28" ht="15" customHeight="1" x14ac:dyDescent="0.2">
      <c r="Y1097" s="1">
        <f t="shared" si="68"/>
        <v>0</v>
      </c>
      <c r="Z1097" s="1">
        <f t="shared" si="69"/>
        <v>0</v>
      </c>
      <c r="AA1097" s="1">
        <f t="shared" si="70"/>
        <v>0</v>
      </c>
      <c r="AB1097" s="1">
        <f t="shared" si="71"/>
        <v>0</v>
      </c>
    </row>
    <row r="1098" spans="25:28" ht="15" customHeight="1" x14ac:dyDescent="0.2">
      <c r="Y1098" s="1">
        <f t="shared" si="68"/>
        <v>0</v>
      </c>
      <c r="Z1098" s="1">
        <f t="shared" si="69"/>
        <v>0</v>
      </c>
      <c r="AA1098" s="1">
        <f t="shared" si="70"/>
        <v>0</v>
      </c>
      <c r="AB1098" s="1">
        <f t="shared" si="71"/>
        <v>0</v>
      </c>
    </row>
    <row r="1099" spans="25:28" ht="15" customHeight="1" x14ac:dyDescent="0.2">
      <c r="Y1099" s="1">
        <f t="shared" si="68"/>
        <v>0</v>
      </c>
      <c r="Z1099" s="1">
        <f t="shared" si="69"/>
        <v>0</v>
      </c>
      <c r="AA1099" s="1">
        <f t="shared" si="70"/>
        <v>0</v>
      </c>
      <c r="AB1099" s="1">
        <f t="shared" si="71"/>
        <v>0</v>
      </c>
    </row>
    <row r="1100" spans="25:28" ht="15" customHeight="1" x14ac:dyDescent="0.2">
      <c r="Y1100" s="1">
        <f t="shared" si="68"/>
        <v>0</v>
      </c>
      <c r="Z1100" s="1">
        <f t="shared" si="69"/>
        <v>0</v>
      </c>
      <c r="AA1100" s="1">
        <f t="shared" si="70"/>
        <v>0</v>
      </c>
      <c r="AB1100" s="1">
        <f t="shared" si="71"/>
        <v>0</v>
      </c>
    </row>
    <row r="1101" spans="25:28" ht="15" customHeight="1" x14ac:dyDescent="0.2">
      <c r="Y1101" s="1">
        <f t="shared" si="68"/>
        <v>0</v>
      </c>
      <c r="Z1101" s="1">
        <f t="shared" si="69"/>
        <v>0</v>
      </c>
      <c r="AA1101" s="1">
        <f t="shared" si="70"/>
        <v>0</v>
      </c>
      <c r="AB1101" s="1">
        <f t="shared" si="71"/>
        <v>0</v>
      </c>
    </row>
    <row r="1102" spans="25:28" ht="15" customHeight="1" x14ac:dyDescent="0.2">
      <c r="Y1102" s="1">
        <f t="shared" ref="Y1102:Y1165" si="72">MAX(0,IFERROR((LEN($T1103)-LEN(SUBSTITUTE($T1103,"Quality of Works / Criteria of Failings:","")))/LEN("Quality of Works / Criteria of Failings:"),0)-IFERROR((LEN($T1103)-LEN(SUBSTITUTE($T1103,"Quality of Works / Criteria of Failings:Compliant","")))/LEN("Quality of Works / Criteria of Failings:Compliant"),0))</f>
        <v>0</v>
      </c>
      <c r="Z1102" s="1">
        <f t="shared" ref="Z1102:Z1165" si="73">IFERROR($Y1103/MAX(1,(LEN($I1103)-LEN(SUBSTITUTE($I1103," Ltd","")))/LEN(" Ltd")),0)</f>
        <v>0</v>
      </c>
      <c r="AA1102" s="1">
        <f t="shared" ref="AA1102:AA1165" si="74">IFERROR(IFERROR((LEN($T1103)-LEN(SUBSTITUTE($T1103,"Quality of Works / Criteria of Failings:","")))/LEN("Quality of Works / Criteria of Failings:"),0)/MAX(1,(LEN($I1103)-LEN(SUBSTITUTE($I1103," Ltd","")))/LEN(" Ltd")),0)</f>
        <v>0</v>
      </c>
      <c r="AB1102" s="1">
        <f t="shared" ref="AB1102:AB1165" si="75">IFERROR(IFERROR((LEN($T1103)-LEN(SUBSTITUTE($T1103,"Quality of Works / Criteria of Failings:Compliant","")))/LEN("Quality of Works / Criteria of Failings:Compliant"),0)/MAX(1,(LEN($I1103)-LEN(SUBSTITUTE($I1103," Ltd","")))/LEN(" Ltd")),0)</f>
        <v>0</v>
      </c>
    </row>
    <row r="1103" spans="25:28" ht="15" customHeight="1" x14ac:dyDescent="0.2">
      <c r="Y1103" s="1">
        <f t="shared" si="72"/>
        <v>0</v>
      </c>
      <c r="Z1103" s="1">
        <f t="shared" si="73"/>
        <v>0</v>
      </c>
      <c r="AA1103" s="1">
        <f t="shared" si="74"/>
        <v>0</v>
      </c>
      <c r="AB1103" s="1">
        <f t="shared" si="75"/>
        <v>0</v>
      </c>
    </row>
    <row r="1104" spans="25:28" ht="15" customHeight="1" x14ac:dyDescent="0.2">
      <c r="Y1104" s="1">
        <f t="shared" si="72"/>
        <v>0</v>
      </c>
      <c r="Z1104" s="1">
        <f t="shared" si="73"/>
        <v>0</v>
      </c>
      <c r="AA1104" s="1">
        <f t="shared" si="74"/>
        <v>0</v>
      </c>
      <c r="AB1104" s="1">
        <f t="shared" si="75"/>
        <v>0</v>
      </c>
    </row>
    <row r="1105" spans="25:28" ht="15" customHeight="1" x14ac:dyDescent="0.2">
      <c r="Y1105" s="1">
        <f t="shared" si="72"/>
        <v>0</v>
      </c>
      <c r="Z1105" s="1">
        <f t="shared" si="73"/>
        <v>0</v>
      </c>
      <c r="AA1105" s="1">
        <f t="shared" si="74"/>
        <v>0</v>
      </c>
      <c r="AB1105" s="1">
        <f t="shared" si="75"/>
        <v>0</v>
      </c>
    </row>
    <row r="1106" spans="25:28" ht="15" customHeight="1" x14ac:dyDescent="0.2">
      <c r="Y1106" s="1">
        <f t="shared" si="72"/>
        <v>0</v>
      </c>
      <c r="Z1106" s="1">
        <f t="shared" si="73"/>
        <v>0</v>
      </c>
      <c r="AA1106" s="1">
        <f t="shared" si="74"/>
        <v>0</v>
      </c>
      <c r="AB1106" s="1">
        <f t="shared" si="75"/>
        <v>0</v>
      </c>
    </row>
    <row r="1107" spans="25:28" ht="15" customHeight="1" x14ac:dyDescent="0.2">
      <c r="Y1107" s="1">
        <f t="shared" si="72"/>
        <v>0</v>
      </c>
      <c r="Z1107" s="1">
        <f t="shared" si="73"/>
        <v>0</v>
      </c>
      <c r="AA1107" s="1">
        <f t="shared" si="74"/>
        <v>0</v>
      </c>
      <c r="AB1107" s="1">
        <f t="shared" si="75"/>
        <v>0</v>
      </c>
    </row>
    <row r="1108" spans="25:28" ht="15" customHeight="1" x14ac:dyDescent="0.2">
      <c r="Y1108" s="1">
        <f t="shared" si="72"/>
        <v>0</v>
      </c>
      <c r="Z1108" s="1">
        <f t="shared" si="73"/>
        <v>0</v>
      </c>
      <c r="AA1108" s="1">
        <f t="shared" si="74"/>
        <v>0</v>
      </c>
      <c r="AB1108" s="1">
        <f t="shared" si="75"/>
        <v>0</v>
      </c>
    </row>
    <row r="1109" spans="25:28" ht="15" customHeight="1" x14ac:dyDescent="0.2">
      <c r="Y1109" s="1">
        <f t="shared" si="72"/>
        <v>0</v>
      </c>
      <c r="Z1109" s="1">
        <f t="shared" si="73"/>
        <v>0</v>
      </c>
      <c r="AA1109" s="1">
        <f t="shared" si="74"/>
        <v>0</v>
      </c>
      <c r="AB1109" s="1">
        <f t="shared" si="75"/>
        <v>0</v>
      </c>
    </row>
    <row r="1110" spans="25:28" ht="15" customHeight="1" x14ac:dyDescent="0.2">
      <c r="Y1110" s="1">
        <f t="shared" si="72"/>
        <v>0</v>
      </c>
      <c r="Z1110" s="1">
        <f t="shared" si="73"/>
        <v>0</v>
      </c>
      <c r="AA1110" s="1">
        <f t="shared" si="74"/>
        <v>0</v>
      </c>
      <c r="AB1110" s="1">
        <f t="shared" si="75"/>
        <v>0</v>
      </c>
    </row>
    <row r="1111" spans="25:28" ht="15" customHeight="1" x14ac:dyDescent="0.2">
      <c r="Y1111" s="1">
        <f t="shared" si="72"/>
        <v>0</v>
      </c>
      <c r="Z1111" s="1">
        <f t="shared" si="73"/>
        <v>0</v>
      </c>
      <c r="AA1111" s="1">
        <f t="shared" si="74"/>
        <v>0</v>
      </c>
      <c r="AB1111" s="1">
        <f t="shared" si="75"/>
        <v>0</v>
      </c>
    </row>
    <row r="1112" spans="25:28" ht="15" customHeight="1" x14ac:dyDescent="0.2">
      <c r="Y1112" s="1">
        <f t="shared" si="72"/>
        <v>0</v>
      </c>
      <c r="Z1112" s="1">
        <f t="shared" si="73"/>
        <v>0</v>
      </c>
      <c r="AA1112" s="1">
        <f t="shared" si="74"/>
        <v>0</v>
      </c>
      <c r="AB1112" s="1">
        <f t="shared" si="75"/>
        <v>0</v>
      </c>
    </row>
    <row r="1113" spans="25:28" ht="15" customHeight="1" x14ac:dyDescent="0.2">
      <c r="Y1113" s="1">
        <f t="shared" si="72"/>
        <v>0</v>
      </c>
      <c r="Z1113" s="1">
        <f t="shared" si="73"/>
        <v>0</v>
      </c>
      <c r="AA1113" s="1">
        <f t="shared" si="74"/>
        <v>0</v>
      </c>
      <c r="AB1113" s="1">
        <f t="shared" si="75"/>
        <v>0</v>
      </c>
    </row>
    <row r="1114" spans="25:28" ht="15" customHeight="1" x14ac:dyDescent="0.2">
      <c r="Y1114" s="1">
        <f t="shared" si="72"/>
        <v>0</v>
      </c>
      <c r="Z1114" s="1">
        <f t="shared" si="73"/>
        <v>0</v>
      </c>
      <c r="AA1114" s="1">
        <f t="shared" si="74"/>
        <v>0</v>
      </c>
      <c r="AB1114" s="1">
        <f t="shared" si="75"/>
        <v>0</v>
      </c>
    </row>
    <row r="1115" spans="25:28" ht="15" customHeight="1" x14ac:dyDescent="0.2">
      <c r="Y1115" s="1">
        <f t="shared" si="72"/>
        <v>0</v>
      </c>
      <c r="Z1115" s="1">
        <f t="shared" si="73"/>
        <v>0</v>
      </c>
      <c r="AA1115" s="1">
        <f t="shared" si="74"/>
        <v>0</v>
      </c>
      <c r="AB1115" s="1">
        <f t="shared" si="75"/>
        <v>0</v>
      </c>
    </row>
    <row r="1116" spans="25:28" ht="15" customHeight="1" x14ac:dyDescent="0.2">
      <c r="Y1116" s="1">
        <f t="shared" si="72"/>
        <v>0</v>
      </c>
      <c r="Z1116" s="1">
        <f t="shared" si="73"/>
        <v>0</v>
      </c>
      <c r="AA1116" s="1">
        <f t="shared" si="74"/>
        <v>0</v>
      </c>
      <c r="AB1116" s="1">
        <f t="shared" si="75"/>
        <v>0</v>
      </c>
    </row>
    <row r="1117" spans="25:28" ht="15" customHeight="1" x14ac:dyDescent="0.2">
      <c r="Y1117" s="1">
        <f t="shared" si="72"/>
        <v>0</v>
      </c>
      <c r="Z1117" s="1">
        <f t="shared" si="73"/>
        <v>0</v>
      </c>
      <c r="AA1117" s="1">
        <f t="shared" si="74"/>
        <v>0</v>
      </c>
      <c r="AB1117" s="1">
        <f t="shared" si="75"/>
        <v>0</v>
      </c>
    </row>
    <row r="1118" spans="25:28" ht="15" customHeight="1" x14ac:dyDescent="0.2">
      <c r="Y1118" s="1">
        <f t="shared" si="72"/>
        <v>0</v>
      </c>
      <c r="Z1118" s="1">
        <f t="shared" si="73"/>
        <v>0</v>
      </c>
      <c r="AA1118" s="1">
        <f t="shared" si="74"/>
        <v>0</v>
      </c>
      <c r="AB1118" s="1">
        <f t="shared" si="75"/>
        <v>0</v>
      </c>
    </row>
    <row r="1119" spans="25:28" ht="15" customHeight="1" x14ac:dyDescent="0.2">
      <c r="Y1119" s="1">
        <f t="shared" si="72"/>
        <v>0</v>
      </c>
      <c r="Z1119" s="1">
        <f t="shared" si="73"/>
        <v>0</v>
      </c>
      <c r="AA1119" s="1">
        <f t="shared" si="74"/>
        <v>0</v>
      </c>
      <c r="AB1119" s="1">
        <f t="shared" si="75"/>
        <v>0</v>
      </c>
    </row>
    <row r="1120" spans="25:28" ht="15" customHeight="1" x14ac:dyDescent="0.2">
      <c r="Y1120" s="1">
        <f t="shared" si="72"/>
        <v>0</v>
      </c>
      <c r="Z1120" s="1">
        <f t="shared" si="73"/>
        <v>0</v>
      </c>
      <c r="AA1120" s="1">
        <f t="shared" si="74"/>
        <v>0</v>
      </c>
      <c r="AB1120" s="1">
        <f t="shared" si="75"/>
        <v>0</v>
      </c>
    </row>
    <row r="1121" spans="25:28" ht="15" customHeight="1" x14ac:dyDescent="0.2">
      <c r="Y1121" s="1">
        <f t="shared" si="72"/>
        <v>0</v>
      </c>
      <c r="Z1121" s="1">
        <f t="shared" si="73"/>
        <v>0</v>
      </c>
      <c r="AA1121" s="1">
        <f t="shared" si="74"/>
        <v>0</v>
      </c>
      <c r="AB1121" s="1">
        <f t="shared" si="75"/>
        <v>0</v>
      </c>
    </row>
    <row r="1122" spans="25:28" ht="15" customHeight="1" x14ac:dyDescent="0.2">
      <c r="Y1122" s="1">
        <f t="shared" si="72"/>
        <v>0</v>
      </c>
      <c r="Z1122" s="1">
        <f t="shared" si="73"/>
        <v>0</v>
      </c>
      <c r="AA1122" s="1">
        <f t="shared" si="74"/>
        <v>0</v>
      </c>
      <c r="AB1122" s="1">
        <f t="shared" si="75"/>
        <v>0</v>
      </c>
    </row>
    <row r="1123" spans="25:28" ht="15" customHeight="1" x14ac:dyDescent="0.2">
      <c r="Y1123" s="1">
        <f t="shared" si="72"/>
        <v>0</v>
      </c>
      <c r="Z1123" s="1">
        <f t="shared" si="73"/>
        <v>0</v>
      </c>
      <c r="AA1123" s="1">
        <f t="shared" si="74"/>
        <v>0</v>
      </c>
      <c r="AB1123" s="1">
        <f t="shared" si="75"/>
        <v>0</v>
      </c>
    </row>
    <row r="1124" spans="25:28" ht="15" customHeight="1" x14ac:dyDescent="0.2">
      <c r="Y1124" s="1">
        <f t="shared" si="72"/>
        <v>0</v>
      </c>
      <c r="Z1124" s="1">
        <f t="shared" si="73"/>
        <v>0</v>
      </c>
      <c r="AA1124" s="1">
        <f t="shared" si="74"/>
        <v>0</v>
      </c>
      <c r="AB1124" s="1">
        <f t="shared" si="75"/>
        <v>0</v>
      </c>
    </row>
    <row r="1125" spans="25:28" ht="15" customHeight="1" x14ac:dyDescent="0.2">
      <c r="Y1125" s="1">
        <f t="shared" si="72"/>
        <v>0</v>
      </c>
      <c r="Z1125" s="1">
        <f t="shared" si="73"/>
        <v>0</v>
      </c>
      <c r="AA1125" s="1">
        <f t="shared" si="74"/>
        <v>0</v>
      </c>
      <c r="AB1125" s="1">
        <f t="shared" si="75"/>
        <v>0</v>
      </c>
    </row>
    <row r="1126" spans="25:28" ht="15" customHeight="1" x14ac:dyDescent="0.2">
      <c r="Y1126" s="1">
        <f t="shared" si="72"/>
        <v>0</v>
      </c>
      <c r="Z1126" s="1">
        <f t="shared" si="73"/>
        <v>0</v>
      </c>
      <c r="AA1126" s="1">
        <f t="shared" si="74"/>
        <v>0</v>
      </c>
      <c r="AB1126" s="1">
        <f t="shared" si="75"/>
        <v>0</v>
      </c>
    </row>
    <row r="1127" spans="25:28" ht="15" customHeight="1" x14ac:dyDescent="0.2">
      <c r="Y1127" s="1">
        <f t="shared" si="72"/>
        <v>0</v>
      </c>
      <c r="Z1127" s="1">
        <f t="shared" si="73"/>
        <v>0</v>
      </c>
      <c r="AA1127" s="1">
        <f t="shared" si="74"/>
        <v>0</v>
      </c>
      <c r="AB1127" s="1">
        <f t="shared" si="75"/>
        <v>0</v>
      </c>
    </row>
    <row r="1128" spans="25:28" ht="15" customHeight="1" x14ac:dyDescent="0.2">
      <c r="Y1128" s="1">
        <f t="shared" si="72"/>
        <v>0</v>
      </c>
      <c r="Z1128" s="1">
        <f t="shared" si="73"/>
        <v>0</v>
      </c>
      <c r="AA1128" s="1">
        <f t="shared" si="74"/>
        <v>0</v>
      </c>
      <c r="AB1128" s="1">
        <f t="shared" si="75"/>
        <v>0</v>
      </c>
    </row>
    <row r="1129" spans="25:28" ht="15" customHeight="1" x14ac:dyDescent="0.2">
      <c r="Y1129" s="1">
        <f t="shared" si="72"/>
        <v>0</v>
      </c>
      <c r="Z1129" s="1">
        <f t="shared" si="73"/>
        <v>0</v>
      </c>
      <c r="AA1129" s="1">
        <f t="shared" si="74"/>
        <v>0</v>
      </c>
      <c r="AB1129" s="1">
        <f t="shared" si="75"/>
        <v>0</v>
      </c>
    </row>
    <row r="1130" spans="25:28" ht="15" customHeight="1" x14ac:dyDescent="0.2">
      <c r="Y1130" s="1">
        <f t="shared" si="72"/>
        <v>0</v>
      </c>
      <c r="Z1130" s="1">
        <f t="shared" si="73"/>
        <v>0</v>
      </c>
      <c r="AA1130" s="1">
        <f t="shared" si="74"/>
        <v>0</v>
      </c>
      <c r="AB1130" s="1">
        <f t="shared" si="75"/>
        <v>0</v>
      </c>
    </row>
    <row r="1131" spans="25:28" ht="15" customHeight="1" x14ac:dyDescent="0.2">
      <c r="Y1131" s="1">
        <f t="shared" si="72"/>
        <v>0</v>
      </c>
      <c r="Z1131" s="1">
        <f t="shared" si="73"/>
        <v>0</v>
      </c>
      <c r="AA1131" s="1">
        <f t="shared" si="74"/>
        <v>0</v>
      </c>
      <c r="AB1131" s="1">
        <f t="shared" si="75"/>
        <v>0</v>
      </c>
    </row>
    <row r="1132" spans="25:28" ht="15" customHeight="1" x14ac:dyDescent="0.2">
      <c r="Y1132" s="1">
        <f t="shared" si="72"/>
        <v>0</v>
      </c>
      <c r="Z1132" s="1">
        <f t="shared" si="73"/>
        <v>0</v>
      </c>
      <c r="AA1132" s="1">
        <f t="shared" si="74"/>
        <v>0</v>
      </c>
      <c r="AB1132" s="1">
        <f t="shared" si="75"/>
        <v>0</v>
      </c>
    </row>
    <row r="1133" spans="25:28" ht="15" customHeight="1" x14ac:dyDescent="0.2">
      <c r="Y1133" s="1">
        <f t="shared" si="72"/>
        <v>0</v>
      </c>
      <c r="Z1133" s="1">
        <f t="shared" si="73"/>
        <v>0</v>
      </c>
      <c r="AA1133" s="1">
        <f t="shared" si="74"/>
        <v>0</v>
      </c>
      <c r="AB1133" s="1">
        <f t="shared" si="75"/>
        <v>0</v>
      </c>
    </row>
    <row r="1134" spans="25:28" ht="15" customHeight="1" x14ac:dyDescent="0.2">
      <c r="Y1134" s="1">
        <f t="shared" si="72"/>
        <v>0</v>
      </c>
      <c r="Z1134" s="1">
        <f t="shared" si="73"/>
        <v>0</v>
      </c>
      <c r="AA1134" s="1">
        <f t="shared" si="74"/>
        <v>0</v>
      </c>
      <c r="AB1134" s="1">
        <f t="shared" si="75"/>
        <v>0</v>
      </c>
    </row>
    <row r="1135" spans="25:28" ht="15" customHeight="1" x14ac:dyDescent="0.2">
      <c r="Y1135" s="1">
        <f t="shared" si="72"/>
        <v>0</v>
      </c>
      <c r="Z1135" s="1">
        <f t="shared" si="73"/>
        <v>0</v>
      </c>
      <c r="AA1135" s="1">
        <f t="shared" si="74"/>
        <v>0</v>
      </c>
      <c r="AB1135" s="1">
        <f t="shared" si="75"/>
        <v>0</v>
      </c>
    </row>
    <row r="1136" spans="25:28" ht="15" customHeight="1" x14ac:dyDescent="0.2">
      <c r="Y1136" s="1">
        <f t="shared" si="72"/>
        <v>0</v>
      </c>
      <c r="Z1136" s="1">
        <f t="shared" si="73"/>
        <v>0</v>
      </c>
      <c r="AA1136" s="1">
        <f t="shared" si="74"/>
        <v>0</v>
      </c>
      <c r="AB1136" s="1">
        <f t="shared" si="75"/>
        <v>0</v>
      </c>
    </row>
    <row r="1137" spans="25:28" ht="15" customHeight="1" x14ac:dyDescent="0.2">
      <c r="Y1137" s="1">
        <f t="shared" si="72"/>
        <v>0</v>
      </c>
      <c r="Z1137" s="1">
        <f t="shared" si="73"/>
        <v>0</v>
      </c>
      <c r="AA1137" s="1">
        <f t="shared" si="74"/>
        <v>0</v>
      </c>
      <c r="AB1137" s="1">
        <f t="shared" si="75"/>
        <v>0</v>
      </c>
    </row>
    <row r="1138" spans="25:28" ht="15" customHeight="1" x14ac:dyDescent="0.2">
      <c r="Y1138" s="1">
        <f t="shared" si="72"/>
        <v>0</v>
      </c>
      <c r="Z1138" s="1">
        <f t="shared" si="73"/>
        <v>0</v>
      </c>
      <c r="AA1138" s="1">
        <f t="shared" si="74"/>
        <v>0</v>
      </c>
      <c r="AB1138" s="1">
        <f t="shared" si="75"/>
        <v>0</v>
      </c>
    </row>
    <row r="1139" spans="25:28" ht="15" customHeight="1" x14ac:dyDescent="0.2">
      <c r="Y1139" s="1">
        <f t="shared" si="72"/>
        <v>0</v>
      </c>
      <c r="Z1139" s="1">
        <f t="shared" si="73"/>
        <v>0</v>
      </c>
      <c r="AA1139" s="1">
        <f t="shared" si="74"/>
        <v>0</v>
      </c>
      <c r="AB1139" s="1">
        <f t="shared" si="75"/>
        <v>0</v>
      </c>
    </row>
    <row r="1140" spans="25:28" ht="15" customHeight="1" x14ac:dyDescent="0.2">
      <c r="Y1140" s="1">
        <f t="shared" si="72"/>
        <v>0</v>
      </c>
      <c r="Z1140" s="1">
        <f t="shared" si="73"/>
        <v>0</v>
      </c>
      <c r="AA1140" s="1">
        <f t="shared" si="74"/>
        <v>0</v>
      </c>
      <c r="AB1140" s="1">
        <f t="shared" si="75"/>
        <v>0</v>
      </c>
    </row>
    <row r="1141" spans="25:28" ht="15" customHeight="1" x14ac:dyDescent="0.2">
      <c r="Y1141" s="1">
        <f t="shared" si="72"/>
        <v>0</v>
      </c>
      <c r="Z1141" s="1">
        <f t="shared" si="73"/>
        <v>0</v>
      </c>
      <c r="AA1141" s="1">
        <f t="shared" si="74"/>
        <v>0</v>
      </c>
      <c r="AB1141" s="1">
        <f t="shared" si="75"/>
        <v>0</v>
      </c>
    </row>
    <row r="1142" spans="25:28" ht="15" customHeight="1" x14ac:dyDescent="0.2">
      <c r="Y1142" s="1">
        <f t="shared" si="72"/>
        <v>0</v>
      </c>
      <c r="Z1142" s="1">
        <f t="shared" si="73"/>
        <v>0</v>
      </c>
      <c r="AA1142" s="1">
        <f t="shared" si="74"/>
        <v>0</v>
      </c>
      <c r="AB1142" s="1">
        <f t="shared" si="75"/>
        <v>0</v>
      </c>
    </row>
    <row r="1143" spans="25:28" ht="15" customHeight="1" x14ac:dyDescent="0.2">
      <c r="Y1143" s="1">
        <f t="shared" si="72"/>
        <v>0</v>
      </c>
      <c r="Z1143" s="1">
        <f t="shared" si="73"/>
        <v>0</v>
      </c>
      <c r="AA1143" s="1">
        <f t="shared" si="74"/>
        <v>0</v>
      </c>
      <c r="AB1143" s="1">
        <f t="shared" si="75"/>
        <v>0</v>
      </c>
    </row>
    <row r="1144" spans="25:28" ht="15" customHeight="1" x14ac:dyDescent="0.2">
      <c r="Y1144" s="1">
        <f t="shared" si="72"/>
        <v>0</v>
      </c>
      <c r="Z1144" s="1">
        <f t="shared" si="73"/>
        <v>0</v>
      </c>
      <c r="AA1144" s="1">
        <f t="shared" si="74"/>
        <v>0</v>
      </c>
      <c r="AB1144" s="1">
        <f t="shared" si="75"/>
        <v>0</v>
      </c>
    </row>
    <row r="1145" spans="25:28" ht="15" customHeight="1" x14ac:dyDescent="0.2">
      <c r="Y1145" s="1">
        <f t="shared" si="72"/>
        <v>0</v>
      </c>
      <c r="Z1145" s="1">
        <f t="shared" si="73"/>
        <v>0</v>
      </c>
      <c r="AA1145" s="1">
        <f t="shared" si="74"/>
        <v>0</v>
      </c>
      <c r="AB1145" s="1">
        <f t="shared" si="75"/>
        <v>0</v>
      </c>
    </row>
    <row r="1146" spans="25:28" ht="15" customHeight="1" x14ac:dyDescent="0.2">
      <c r="Y1146" s="1">
        <f t="shared" si="72"/>
        <v>0</v>
      </c>
      <c r="Z1146" s="1">
        <f t="shared" si="73"/>
        <v>0</v>
      </c>
      <c r="AA1146" s="1">
        <f t="shared" si="74"/>
        <v>0</v>
      </c>
      <c r="AB1146" s="1">
        <f t="shared" si="75"/>
        <v>0</v>
      </c>
    </row>
    <row r="1147" spans="25:28" ht="15" customHeight="1" x14ac:dyDescent="0.2">
      <c r="Y1147" s="1">
        <f t="shared" si="72"/>
        <v>0</v>
      </c>
      <c r="Z1147" s="1">
        <f t="shared" si="73"/>
        <v>0</v>
      </c>
      <c r="AA1147" s="1">
        <f t="shared" si="74"/>
        <v>0</v>
      </c>
      <c r="AB1147" s="1">
        <f t="shared" si="75"/>
        <v>0</v>
      </c>
    </row>
    <row r="1148" spans="25:28" ht="15" customHeight="1" x14ac:dyDescent="0.2">
      <c r="Y1148" s="1">
        <f t="shared" si="72"/>
        <v>0</v>
      </c>
      <c r="Z1148" s="1">
        <f t="shared" si="73"/>
        <v>0</v>
      </c>
      <c r="AA1148" s="1">
        <f t="shared" si="74"/>
        <v>0</v>
      </c>
      <c r="AB1148" s="1">
        <f t="shared" si="75"/>
        <v>0</v>
      </c>
    </row>
    <row r="1149" spans="25:28" ht="15" customHeight="1" x14ac:dyDescent="0.2">
      <c r="Y1149" s="1">
        <f t="shared" si="72"/>
        <v>0</v>
      </c>
      <c r="Z1149" s="1">
        <f t="shared" si="73"/>
        <v>0</v>
      </c>
      <c r="AA1149" s="1">
        <f t="shared" si="74"/>
        <v>0</v>
      </c>
      <c r="AB1149" s="1">
        <f t="shared" si="75"/>
        <v>0</v>
      </c>
    </row>
    <row r="1150" spans="25:28" ht="15" customHeight="1" x14ac:dyDescent="0.2">
      <c r="Y1150" s="1">
        <f t="shared" si="72"/>
        <v>0</v>
      </c>
      <c r="Z1150" s="1">
        <f t="shared" si="73"/>
        <v>0</v>
      </c>
      <c r="AA1150" s="1">
        <f t="shared" si="74"/>
        <v>0</v>
      </c>
      <c r="AB1150" s="1">
        <f t="shared" si="75"/>
        <v>0</v>
      </c>
    </row>
    <row r="1151" spans="25:28" ht="15" customHeight="1" x14ac:dyDescent="0.2">
      <c r="Y1151" s="1">
        <f t="shared" si="72"/>
        <v>0</v>
      </c>
      <c r="Z1151" s="1">
        <f t="shared" si="73"/>
        <v>0</v>
      </c>
      <c r="AA1151" s="1">
        <f t="shared" si="74"/>
        <v>0</v>
      </c>
      <c r="AB1151" s="1">
        <f t="shared" si="75"/>
        <v>0</v>
      </c>
    </row>
    <row r="1152" spans="25:28" ht="15" customHeight="1" x14ac:dyDescent="0.2">
      <c r="Y1152" s="1">
        <f t="shared" si="72"/>
        <v>0</v>
      </c>
      <c r="Z1152" s="1">
        <f t="shared" si="73"/>
        <v>0</v>
      </c>
      <c r="AA1152" s="1">
        <f t="shared" si="74"/>
        <v>0</v>
      </c>
      <c r="AB1152" s="1">
        <f t="shared" si="75"/>
        <v>0</v>
      </c>
    </row>
    <row r="1153" spans="25:28" ht="15" customHeight="1" x14ac:dyDescent="0.2">
      <c r="Y1153" s="1">
        <f t="shared" si="72"/>
        <v>0</v>
      </c>
      <c r="Z1153" s="1">
        <f t="shared" si="73"/>
        <v>0</v>
      </c>
      <c r="AA1153" s="1">
        <f t="shared" si="74"/>
        <v>0</v>
      </c>
      <c r="AB1153" s="1">
        <f t="shared" si="75"/>
        <v>0</v>
      </c>
    </row>
    <row r="1154" spans="25:28" ht="15" customHeight="1" x14ac:dyDescent="0.2">
      <c r="Y1154" s="1">
        <f t="shared" si="72"/>
        <v>0</v>
      </c>
      <c r="Z1154" s="1">
        <f t="shared" si="73"/>
        <v>0</v>
      </c>
      <c r="AA1154" s="1">
        <f t="shared" si="74"/>
        <v>0</v>
      </c>
      <c r="AB1154" s="1">
        <f t="shared" si="75"/>
        <v>0</v>
      </c>
    </row>
    <row r="1155" spans="25:28" ht="15" customHeight="1" x14ac:dyDescent="0.2">
      <c r="Y1155" s="1">
        <f t="shared" si="72"/>
        <v>0</v>
      </c>
      <c r="Z1155" s="1">
        <f t="shared" si="73"/>
        <v>0</v>
      </c>
      <c r="AA1155" s="1">
        <f t="shared" si="74"/>
        <v>0</v>
      </c>
      <c r="AB1155" s="1">
        <f t="shared" si="75"/>
        <v>0</v>
      </c>
    </row>
    <row r="1156" spans="25:28" ht="15" customHeight="1" x14ac:dyDescent="0.2">
      <c r="Y1156" s="1">
        <f t="shared" si="72"/>
        <v>0</v>
      </c>
      <c r="Z1156" s="1">
        <f t="shared" si="73"/>
        <v>0</v>
      </c>
      <c r="AA1156" s="1">
        <f t="shared" si="74"/>
        <v>0</v>
      </c>
      <c r="AB1156" s="1">
        <f t="shared" si="75"/>
        <v>0</v>
      </c>
    </row>
    <row r="1157" spans="25:28" ht="15" customHeight="1" x14ac:dyDescent="0.2">
      <c r="Y1157" s="1">
        <f t="shared" si="72"/>
        <v>0</v>
      </c>
      <c r="Z1157" s="1">
        <f t="shared" si="73"/>
        <v>0</v>
      </c>
      <c r="AA1157" s="1">
        <f t="shared" si="74"/>
        <v>0</v>
      </c>
      <c r="AB1157" s="1">
        <f t="shared" si="75"/>
        <v>0</v>
      </c>
    </row>
    <row r="1158" spans="25:28" ht="15" customHeight="1" x14ac:dyDescent="0.2">
      <c r="Y1158" s="1">
        <f t="shared" si="72"/>
        <v>0</v>
      </c>
      <c r="Z1158" s="1">
        <f t="shared" si="73"/>
        <v>0</v>
      </c>
      <c r="AA1158" s="1">
        <f t="shared" si="74"/>
        <v>0</v>
      </c>
      <c r="AB1158" s="1">
        <f t="shared" si="75"/>
        <v>0</v>
      </c>
    </row>
    <row r="1159" spans="25:28" ht="15" customHeight="1" x14ac:dyDescent="0.2">
      <c r="Y1159" s="1">
        <f t="shared" si="72"/>
        <v>0</v>
      </c>
      <c r="Z1159" s="1">
        <f t="shared" si="73"/>
        <v>0</v>
      </c>
      <c r="AA1159" s="1">
        <f t="shared" si="74"/>
        <v>0</v>
      </c>
      <c r="AB1159" s="1">
        <f t="shared" si="75"/>
        <v>0</v>
      </c>
    </row>
    <row r="1160" spans="25:28" ht="15" customHeight="1" x14ac:dyDescent="0.2">
      <c r="Y1160" s="1">
        <f t="shared" si="72"/>
        <v>0</v>
      </c>
      <c r="Z1160" s="1">
        <f t="shared" si="73"/>
        <v>0</v>
      </c>
      <c r="AA1160" s="1">
        <f t="shared" si="74"/>
        <v>0</v>
      </c>
      <c r="AB1160" s="1">
        <f t="shared" si="75"/>
        <v>0</v>
      </c>
    </row>
    <row r="1161" spans="25:28" ht="15" customHeight="1" x14ac:dyDescent="0.2">
      <c r="Y1161" s="1">
        <f t="shared" si="72"/>
        <v>0</v>
      </c>
      <c r="Z1161" s="1">
        <f t="shared" si="73"/>
        <v>0</v>
      </c>
      <c r="AA1161" s="1">
        <f t="shared" si="74"/>
        <v>0</v>
      </c>
      <c r="AB1161" s="1">
        <f t="shared" si="75"/>
        <v>0</v>
      </c>
    </row>
    <row r="1162" spans="25:28" ht="15" customHeight="1" x14ac:dyDescent="0.2">
      <c r="Y1162" s="1">
        <f t="shared" si="72"/>
        <v>0</v>
      </c>
      <c r="Z1162" s="1">
        <f t="shared" si="73"/>
        <v>0</v>
      </c>
      <c r="AA1162" s="1">
        <f t="shared" si="74"/>
        <v>0</v>
      </c>
      <c r="AB1162" s="1">
        <f t="shared" si="75"/>
        <v>0</v>
      </c>
    </row>
    <row r="1163" spans="25:28" ht="15" customHeight="1" x14ac:dyDescent="0.2">
      <c r="Y1163" s="1">
        <f t="shared" si="72"/>
        <v>0</v>
      </c>
      <c r="Z1163" s="1">
        <f t="shared" si="73"/>
        <v>0</v>
      </c>
      <c r="AA1163" s="1">
        <f t="shared" si="74"/>
        <v>0</v>
      </c>
      <c r="AB1163" s="1">
        <f t="shared" si="75"/>
        <v>0</v>
      </c>
    </row>
    <row r="1164" spans="25:28" ht="15" customHeight="1" x14ac:dyDescent="0.2">
      <c r="Y1164" s="1">
        <f t="shared" si="72"/>
        <v>0</v>
      </c>
      <c r="Z1164" s="1">
        <f t="shared" si="73"/>
        <v>0</v>
      </c>
      <c r="AA1164" s="1">
        <f t="shared" si="74"/>
        <v>0</v>
      </c>
      <c r="AB1164" s="1">
        <f t="shared" si="75"/>
        <v>0</v>
      </c>
    </row>
    <row r="1165" spans="25:28" ht="15" customHeight="1" x14ac:dyDescent="0.2">
      <c r="Y1165" s="1">
        <f t="shared" si="72"/>
        <v>0</v>
      </c>
      <c r="Z1165" s="1">
        <f t="shared" si="73"/>
        <v>0</v>
      </c>
      <c r="AA1165" s="1">
        <f t="shared" si="74"/>
        <v>0</v>
      </c>
      <c r="AB1165" s="1">
        <f t="shared" si="75"/>
        <v>0</v>
      </c>
    </row>
    <row r="1166" spans="25:28" ht="15" customHeight="1" x14ac:dyDescent="0.2">
      <c r="Y1166" s="1">
        <f t="shared" ref="Y1166:Y1229" si="76">MAX(0,IFERROR((LEN($T1167)-LEN(SUBSTITUTE($T1167,"Quality of Works / Criteria of Failings:","")))/LEN("Quality of Works / Criteria of Failings:"),0)-IFERROR((LEN($T1167)-LEN(SUBSTITUTE($T1167,"Quality of Works / Criteria of Failings:Compliant","")))/LEN("Quality of Works / Criteria of Failings:Compliant"),0))</f>
        <v>0</v>
      </c>
      <c r="Z1166" s="1">
        <f t="shared" ref="Z1166:Z1229" si="77">IFERROR($Y1167/MAX(1,(LEN($I1167)-LEN(SUBSTITUTE($I1167," Ltd","")))/LEN(" Ltd")),0)</f>
        <v>0</v>
      </c>
      <c r="AA1166" s="1">
        <f t="shared" ref="AA1166:AA1229" si="78">IFERROR(IFERROR((LEN($T1167)-LEN(SUBSTITUTE($T1167,"Quality of Works / Criteria of Failings:","")))/LEN("Quality of Works / Criteria of Failings:"),0)/MAX(1,(LEN($I1167)-LEN(SUBSTITUTE($I1167," Ltd","")))/LEN(" Ltd")),0)</f>
        <v>0</v>
      </c>
      <c r="AB1166" s="1">
        <f t="shared" ref="AB1166:AB1229" si="79">IFERROR(IFERROR((LEN($T1167)-LEN(SUBSTITUTE($T1167,"Quality of Works / Criteria of Failings:Compliant","")))/LEN("Quality of Works / Criteria of Failings:Compliant"),0)/MAX(1,(LEN($I1167)-LEN(SUBSTITUTE($I1167," Ltd","")))/LEN(" Ltd")),0)</f>
        <v>0</v>
      </c>
    </row>
    <row r="1167" spans="25:28" ht="15" customHeight="1" x14ac:dyDescent="0.2">
      <c r="Y1167" s="1">
        <f t="shared" si="76"/>
        <v>0</v>
      </c>
      <c r="Z1167" s="1">
        <f t="shared" si="77"/>
        <v>0</v>
      </c>
      <c r="AA1167" s="1">
        <f t="shared" si="78"/>
        <v>0</v>
      </c>
      <c r="AB1167" s="1">
        <f t="shared" si="79"/>
        <v>0</v>
      </c>
    </row>
    <row r="1168" spans="25:28" ht="15" customHeight="1" x14ac:dyDescent="0.2">
      <c r="Y1168" s="1">
        <f t="shared" si="76"/>
        <v>0</v>
      </c>
      <c r="Z1168" s="1">
        <f t="shared" si="77"/>
        <v>0</v>
      </c>
      <c r="AA1168" s="1">
        <f t="shared" si="78"/>
        <v>0</v>
      </c>
      <c r="AB1168" s="1">
        <f t="shared" si="79"/>
        <v>0</v>
      </c>
    </row>
    <row r="1169" spans="25:28" ht="15" customHeight="1" x14ac:dyDescent="0.2">
      <c r="Y1169" s="1">
        <f t="shared" si="76"/>
        <v>0</v>
      </c>
      <c r="Z1169" s="1">
        <f t="shared" si="77"/>
        <v>0</v>
      </c>
      <c r="AA1169" s="1">
        <f t="shared" si="78"/>
        <v>0</v>
      </c>
      <c r="AB1169" s="1">
        <f t="shared" si="79"/>
        <v>0</v>
      </c>
    </row>
    <row r="1170" spans="25:28" ht="15" customHeight="1" x14ac:dyDescent="0.2">
      <c r="Y1170" s="1">
        <f t="shared" si="76"/>
        <v>0</v>
      </c>
      <c r="Z1170" s="1">
        <f t="shared" si="77"/>
        <v>0</v>
      </c>
      <c r="AA1170" s="1">
        <f t="shared" si="78"/>
        <v>0</v>
      </c>
      <c r="AB1170" s="1">
        <f t="shared" si="79"/>
        <v>0</v>
      </c>
    </row>
    <row r="1171" spans="25:28" ht="15" customHeight="1" x14ac:dyDescent="0.2">
      <c r="Y1171" s="1">
        <f t="shared" si="76"/>
        <v>0</v>
      </c>
      <c r="Z1171" s="1">
        <f t="shared" si="77"/>
        <v>0</v>
      </c>
      <c r="AA1171" s="1">
        <f t="shared" si="78"/>
        <v>0</v>
      </c>
      <c r="AB1171" s="1">
        <f t="shared" si="79"/>
        <v>0</v>
      </c>
    </row>
    <row r="1172" spans="25:28" ht="15" customHeight="1" x14ac:dyDescent="0.2">
      <c r="Y1172" s="1">
        <f t="shared" si="76"/>
        <v>0</v>
      </c>
      <c r="Z1172" s="1">
        <f t="shared" si="77"/>
        <v>0</v>
      </c>
      <c r="AA1172" s="1">
        <f t="shared" si="78"/>
        <v>0</v>
      </c>
      <c r="AB1172" s="1">
        <f t="shared" si="79"/>
        <v>0</v>
      </c>
    </row>
    <row r="1173" spans="25:28" ht="15" customHeight="1" x14ac:dyDescent="0.2">
      <c r="Y1173" s="1">
        <f t="shared" si="76"/>
        <v>0</v>
      </c>
      <c r="Z1173" s="1">
        <f t="shared" si="77"/>
        <v>0</v>
      </c>
      <c r="AA1173" s="1">
        <f t="shared" si="78"/>
        <v>0</v>
      </c>
      <c r="AB1173" s="1">
        <f t="shared" si="79"/>
        <v>0</v>
      </c>
    </row>
    <row r="1174" spans="25:28" ht="15" customHeight="1" x14ac:dyDescent="0.2">
      <c r="Y1174" s="1">
        <f t="shared" si="76"/>
        <v>0</v>
      </c>
      <c r="Z1174" s="1">
        <f t="shared" si="77"/>
        <v>0</v>
      </c>
      <c r="AA1174" s="1">
        <f t="shared" si="78"/>
        <v>0</v>
      </c>
      <c r="AB1174" s="1">
        <f t="shared" si="79"/>
        <v>0</v>
      </c>
    </row>
    <row r="1175" spans="25:28" ht="15" customHeight="1" x14ac:dyDescent="0.2">
      <c r="Y1175" s="1">
        <f t="shared" si="76"/>
        <v>0</v>
      </c>
      <c r="Z1175" s="1">
        <f t="shared" si="77"/>
        <v>0</v>
      </c>
      <c r="AA1175" s="1">
        <f t="shared" si="78"/>
        <v>0</v>
      </c>
      <c r="AB1175" s="1">
        <f t="shared" si="79"/>
        <v>0</v>
      </c>
    </row>
    <row r="1176" spans="25:28" ht="15" customHeight="1" x14ac:dyDescent="0.2">
      <c r="Y1176" s="1">
        <f t="shared" si="76"/>
        <v>0</v>
      </c>
      <c r="Z1176" s="1">
        <f t="shared" si="77"/>
        <v>0</v>
      </c>
      <c r="AA1176" s="1">
        <f t="shared" si="78"/>
        <v>0</v>
      </c>
      <c r="AB1176" s="1">
        <f t="shared" si="79"/>
        <v>0</v>
      </c>
    </row>
    <row r="1177" spans="25:28" ht="15" customHeight="1" x14ac:dyDescent="0.2">
      <c r="Y1177" s="1">
        <f t="shared" si="76"/>
        <v>0</v>
      </c>
      <c r="Z1177" s="1">
        <f t="shared" si="77"/>
        <v>0</v>
      </c>
      <c r="AA1177" s="1">
        <f t="shared" si="78"/>
        <v>0</v>
      </c>
      <c r="AB1177" s="1">
        <f t="shared" si="79"/>
        <v>0</v>
      </c>
    </row>
    <row r="1178" spans="25:28" ht="15" customHeight="1" x14ac:dyDescent="0.2">
      <c r="Y1178" s="1">
        <f t="shared" si="76"/>
        <v>0</v>
      </c>
      <c r="Z1178" s="1">
        <f t="shared" si="77"/>
        <v>0</v>
      </c>
      <c r="AA1178" s="1">
        <f t="shared" si="78"/>
        <v>0</v>
      </c>
      <c r="AB1178" s="1">
        <f t="shared" si="79"/>
        <v>0</v>
      </c>
    </row>
    <row r="1179" spans="25:28" ht="15" customHeight="1" x14ac:dyDescent="0.2">
      <c r="Y1179" s="1">
        <f t="shared" si="76"/>
        <v>0</v>
      </c>
      <c r="Z1179" s="1">
        <f t="shared" si="77"/>
        <v>0</v>
      </c>
      <c r="AA1179" s="1">
        <f t="shared" si="78"/>
        <v>0</v>
      </c>
      <c r="AB1179" s="1">
        <f t="shared" si="79"/>
        <v>0</v>
      </c>
    </row>
    <row r="1180" spans="25:28" ht="15" customHeight="1" x14ac:dyDescent="0.2">
      <c r="Y1180" s="1">
        <f t="shared" si="76"/>
        <v>0</v>
      </c>
      <c r="Z1180" s="1">
        <f t="shared" si="77"/>
        <v>0</v>
      </c>
      <c r="AA1180" s="1">
        <f t="shared" si="78"/>
        <v>0</v>
      </c>
      <c r="AB1180" s="1">
        <f t="shared" si="79"/>
        <v>0</v>
      </c>
    </row>
    <row r="1181" spans="25:28" ht="15" customHeight="1" x14ac:dyDescent="0.2">
      <c r="Y1181" s="1">
        <f t="shared" si="76"/>
        <v>0</v>
      </c>
      <c r="Z1181" s="1">
        <f t="shared" si="77"/>
        <v>0</v>
      </c>
      <c r="AA1181" s="1">
        <f t="shared" si="78"/>
        <v>0</v>
      </c>
      <c r="AB1181" s="1">
        <f t="shared" si="79"/>
        <v>0</v>
      </c>
    </row>
    <row r="1182" spans="25:28" ht="15" customHeight="1" x14ac:dyDescent="0.2">
      <c r="Y1182" s="1">
        <f t="shared" si="76"/>
        <v>0</v>
      </c>
      <c r="Z1182" s="1">
        <f t="shared" si="77"/>
        <v>0</v>
      </c>
      <c r="AA1182" s="1">
        <f t="shared" si="78"/>
        <v>0</v>
      </c>
      <c r="AB1182" s="1">
        <f t="shared" si="79"/>
        <v>0</v>
      </c>
    </row>
    <row r="1183" spans="25:28" ht="15" customHeight="1" x14ac:dyDescent="0.2">
      <c r="Y1183" s="1">
        <f t="shared" si="76"/>
        <v>0</v>
      </c>
      <c r="Z1183" s="1">
        <f t="shared" si="77"/>
        <v>0</v>
      </c>
      <c r="AA1183" s="1">
        <f t="shared" si="78"/>
        <v>0</v>
      </c>
      <c r="AB1183" s="1">
        <f t="shared" si="79"/>
        <v>0</v>
      </c>
    </row>
    <row r="1184" spans="25:28" ht="15" customHeight="1" x14ac:dyDescent="0.2">
      <c r="Y1184" s="1">
        <f t="shared" si="76"/>
        <v>0</v>
      </c>
      <c r="Z1184" s="1">
        <f t="shared" si="77"/>
        <v>0</v>
      </c>
      <c r="AA1184" s="1">
        <f t="shared" si="78"/>
        <v>0</v>
      </c>
      <c r="AB1184" s="1">
        <f t="shared" si="79"/>
        <v>0</v>
      </c>
    </row>
    <row r="1185" spans="25:28" ht="15" customHeight="1" x14ac:dyDescent="0.2">
      <c r="Y1185" s="1">
        <f t="shared" si="76"/>
        <v>0</v>
      </c>
      <c r="Z1185" s="1">
        <f t="shared" si="77"/>
        <v>0</v>
      </c>
      <c r="AA1185" s="1">
        <f t="shared" si="78"/>
        <v>0</v>
      </c>
      <c r="AB1185" s="1">
        <f t="shared" si="79"/>
        <v>0</v>
      </c>
    </row>
    <row r="1186" spans="25:28" ht="15" customHeight="1" x14ac:dyDescent="0.2">
      <c r="Y1186" s="1">
        <f t="shared" si="76"/>
        <v>0</v>
      </c>
      <c r="Z1186" s="1">
        <f t="shared" si="77"/>
        <v>0</v>
      </c>
      <c r="AA1186" s="1">
        <f t="shared" si="78"/>
        <v>0</v>
      </c>
      <c r="AB1186" s="1">
        <f t="shared" si="79"/>
        <v>0</v>
      </c>
    </row>
    <row r="1187" spans="25:28" ht="15" customHeight="1" x14ac:dyDescent="0.2">
      <c r="Y1187" s="1">
        <f t="shared" si="76"/>
        <v>0</v>
      </c>
      <c r="Z1187" s="1">
        <f t="shared" si="77"/>
        <v>0</v>
      </c>
      <c r="AA1187" s="1">
        <f t="shared" si="78"/>
        <v>0</v>
      </c>
      <c r="AB1187" s="1">
        <f t="shared" si="79"/>
        <v>0</v>
      </c>
    </row>
    <row r="1188" spans="25:28" ht="15" customHeight="1" x14ac:dyDescent="0.2">
      <c r="Y1188" s="1">
        <f t="shared" si="76"/>
        <v>0</v>
      </c>
      <c r="Z1188" s="1">
        <f t="shared" si="77"/>
        <v>0</v>
      </c>
      <c r="AA1188" s="1">
        <f t="shared" si="78"/>
        <v>0</v>
      </c>
      <c r="AB1188" s="1">
        <f t="shared" si="79"/>
        <v>0</v>
      </c>
    </row>
    <row r="1189" spans="25:28" ht="15" customHeight="1" x14ac:dyDescent="0.2">
      <c r="Y1189" s="1">
        <f t="shared" si="76"/>
        <v>0</v>
      </c>
      <c r="Z1189" s="1">
        <f t="shared" si="77"/>
        <v>0</v>
      </c>
      <c r="AA1189" s="1">
        <f t="shared" si="78"/>
        <v>0</v>
      </c>
      <c r="AB1189" s="1">
        <f t="shared" si="79"/>
        <v>0</v>
      </c>
    </row>
    <row r="1190" spans="25:28" ht="15" customHeight="1" x14ac:dyDescent="0.2">
      <c r="Y1190" s="1">
        <f t="shared" si="76"/>
        <v>0</v>
      </c>
      <c r="Z1190" s="1">
        <f t="shared" si="77"/>
        <v>0</v>
      </c>
      <c r="AA1190" s="1">
        <f t="shared" si="78"/>
        <v>0</v>
      </c>
      <c r="AB1190" s="1">
        <f t="shared" si="79"/>
        <v>0</v>
      </c>
    </row>
    <row r="1191" spans="25:28" ht="15" customHeight="1" x14ac:dyDescent="0.2">
      <c r="Y1191" s="1">
        <f t="shared" si="76"/>
        <v>0</v>
      </c>
      <c r="Z1191" s="1">
        <f t="shared" si="77"/>
        <v>0</v>
      </c>
      <c r="AA1191" s="1">
        <f t="shared" si="78"/>
        <v>0</v>
      </c>
      <c r="AB1191" s="1">
        <f t="shared" si="79"/>
        <v>0</v>
      </c>
    </row>
    <row r="1192" spans="25:28" ht="15" customHeight="1" x14ac:dyDescent="0.2">
      <c r="Y1192" s="1">
        <f t="shared" si="76"/>
        <v>0</v>
      </c>
      <c r="Z1192" s="1">
        <f t="shared" si="77"/>
        <v>0</v>
      </c>
      <c r="AA1192" s="1">
        <f t="shared" si="78"/>
        <v>0</v>
      </c>
      <c r="AB1192" s="1">
        <f t="shared" si="79"/>
        <v>0</v>
      </c>
    </row>
    <row r="1193" spans="25:28" ht="15" customHeight="1" x14ac:dyDescent="0.2">
      <c r="Y1193" s="1">
        <f t="shared" si="76"/>
        <v>0</v>
      </c>
      <c r="Z1193" s="1">
        <f t="shared" si="77"/>
        <v>0</v>
      </c>
      <c r="AA1193" s="1">
        <f t="shared" si="78"/>
        <v>0</v>
      </c>
      <c r="AB1193" s="1">
        <f t="shared" si="79"/>
        <v>0</v>
      </c>
    </row>
    <row r="1194" spans="25:28" ht="15" customHeight="1" x14ac:dyDescent="0.2">
      <c r="Y1194" s="1">
        <f t="shared" si="76"/>
        <v>0</v>
      </c>
      <c r="Z1194" s="1">
        <f t="shared" si="77"/>
        <v>0</v>
      </c>
      <c r="AA1194" s="1">
        <f t="shared" si="78"/>
        <v>0</v>
      </c>
      <c r="AB1194" s="1">
        <f t="shared" si="79"/>
        <v>0</v>
      </c>
    </row>
    <row r="1195" spans="25:28" ht="15" customHeight="1" x14ac:dyDescent="0.2">
      <c r="Y1195" s="1">
        <f t="shared" si="76"/>
        <v>0</v>
      </c>
      <c r="Z1195" s="1">
        <f t="shared" si="77"/>
        <v>0</v>
      </c>
      <c r="AA1195" s="1">
        <f t="shared" si="78"/>
        <v>0</v>
      </c>
      <c r="AB1195" s="1">
        <f t="shared" si="79"/>
        <v>0</v>
      </c>
    </row>
    <row r="1196" spans="25:28" ht="15" customHeight="1" x14ac:dyDescent="0.2">
      <c r="Y1196" s="1">
        <f t="shared" si="76"/>
        <v>0</v>
      </c>
      <c r="Z1196" s="1">
        <f t="shared" si="77"/>
        <v>0</v>
      </c>
      <c r="AA1196" s="1">
        <f t="shared" si="78"/>
        <v>0</v>
      </c>
      <c r="AB1196" s="1">
        <f t="shared" si="79"/>
        <v>0</v>
      </c>
    </row>
    <row r="1197" spans="25:28" ht="15" customHeight="1" x14ac:dyDescent="0.2">
      <c r="Y1197" s="1">
        <f t="shared" si="76"/>
        <v>0</v>
      </c>
      <c r="Z1197" s="1">
        <f t="shared" si="77"/>
        <v>0</v>
      </c>
      <c r="AA1197" s="1">
        <f t="shared" si="78"/>
        <v>0</v>
      </c>
      <c r="AB1197" s="1">
        <f t="shared" si="79"/>
        <v>0</v>
      </c>
    </row>
    <row r="1198" spans="25:28" ht="15" customHeight="1" x14ac:dyDescent="0.2">
      <c r="Y1198" s="1">
        <f t="shared" si="76"/>
        <v>0</v>
      </c>
      <c r="Z1198" s="1">
        <f t="shared" si="77"/>
        <v>0</v>
      </c>
      <c r="AA1198" s="1">
        <f t="shared" si="78"/>
        <v>0</v>
      </c>
      <c r="AB1198" s="1">
        <f t="shared" si="79"/>
        <v>0</v>
      </c>
    </row>
    <row r="1199" spans="25:28" ht="15" customHeight="1" x14ac:dyDescent="0.2">
      <c r="Y1199" s="1">
        <f t="shared" si="76"/>
        <v>0</v>
      </c>
      <c r="Z1199" s="1">
        <f t="shared" si="77"/>
        <v>0</v>
      </c>
      <c r="AA1199" s="1">
        <f t="shared" si="78"/>
        <v>0</v>
      </c>
      <c r="AB1199" s="1">
        <f t="shared" si="79"/>
        <v>0</v>
      </c>
    </row>
    <row r="1200" spans="25:28" ht="15" customHeight="1" x14ac:dyDescent="0.2">
      <c r="Y1200" s="1">
        <f t="shared" si="76"/>
        <v>0</v>
      </c>
      <c r="Z1200" s="1">
        <f t="shared" si="77"/>
        <v>0</v>
      </c>
      <c r="AA1200" s="1">
        <f t="shared" si="78"/>
        <v>0</v>
      </c>
      <c r="AB1200" s="1">
        <f t="shared" si="79"/>
        <v>0</v>
      </c>
    </row>
    <row r="1201" spans="25:28" ht="15" customHeight="1" x14ac:dyDescent="0.2">
      <c r="Y1201" s="1">
        <f t="shared" si="76"/>
        <v>0</v>
      </c>
      <c r="Z1201" s="1">
        <f t="shared" si="77"/>
        <v>0</v>
      </c>
      <c r="AA1201" s="1">
        <f t="shared" si="78"/>
        <v>0</v>
      </c>
      <c r="AB1201" s="1">
        <f t="shared" si="79"/>
        <v>0</v>
      </c>
    </row>
    <row r="1202" spans="25:28" ht="15" customHeight="1" x14ac:dyDescent="0.2">
      <c r="Y1202" s="1">
        <f t="shared" si="76"/>
        <v>0</v>
      </c>
      <c r="Z1202" s="1">
        <f t="shared" si="77"/>
        <v>0</v>
      </c>
      <c r="AA1202" s="1">
        <f t="shared" si="78"/>
        <v>0</v>
      </c>
      <c r="AB1202" s="1">
        <f t="shared" si="79"/>
        <v>0</v>
      </c>
    </row>
    <row r="1203" spans="25:28" ht="15" customHeight="1" x14ac:dyDescent="0.2">
      <c r="Y1203" s="1">
        <f t="shared" si="76"/>
        <v>0</v>
      </c>
      <c r="Z1203" s="1">
        <f t="shared" si="77"/>
        <v>0</v>
      </c>
      <c r="AA1203" s="1">
        <f t="shared" si="78"/>
        <v>0</v>
      </c>
      <c r="AB1203" s="1">
        <f t="shared" si="79"/>
        <v>0</v>
      </c>
    </row>
    <row r="1204" spans="25:28" ht="15" customHeight="1" x14ac:dyDescent="0.2">
      <c r="Y1204" s="1">
        <f t="shared" si="76"/>
        <v>0</v>
      </c>
      <c r="Z1204" s="1">
        <f t="shared" si="77"/>
        <v>0</v>
      </c>
      <c r="AA1204" s="1">
        <f t="shared" si="78"/>
        <v>0</v>
      </c>
      <c r="AB1204" s="1">
        <f t="shared" si="79"/>
        <v>0</v>
      </c>
    </row>
    <row r="1205" spans="25:28" ht="15" customHeight="1" x14ac:dyDescent="0.2">
      <c r="Y1205" s="1">
        <f t="shared" si="76"/>
        <v>0</v>
      </c>
      <c r="Z1205" s="1">
        <f t="shared" si="77"/>
        <v>0</v>
      </c>
      <c r="AA1205" s="1">
        <f t="shared" si="78"/>
        <v>0</v>
      </c>
      <c r="AB1205" s="1">
        <f t="shared" si="79"/>
        <v>0</v>
      </c>
    </row>
    <row r="1206" spans="25:28" ht="15" customHeight="1" x14ac:dyDescent="0.2">
      <c r="Y1206" s="1">
        <f t="shared" si="76"/>
        <v>0</v>
      </c>
      <c r="Z1206" s="1">
        <f t="shared" si="77"/>
        <v>0</v>
      </c>
      <c r="AA1206" s="1">
        <f t="shared" si="78"/>
        <v>0</v>
      </c>
      <c r="AB1206" s="1">
        <f t="shared" si="79"/>
        <v>0</v>
      </c>
    </row>
    <row r="1207" spans="25:28" ht="15" customHeight="1" x14ac:dyDescent="0.2">
      <c r="Y1207" s="1">
        <f t="shared" si="76"/>
        <v>0</v>
      </c>
      <c r="Z1207" s="1">
        <f t="shared" si="77"/>
        <v>0</v>
      </c>
      <c r="AA1207" s="1">
        <f t="shared" si="78"/>
        <v>0</v>
      </c>
      <c r="AB1207" s="1">
        <f t="shared" si="79"/>
        <v>0</v>
      </c>
    </row>
    <row r="1208" spans="25:28" ht="15" customHeight="1" x14ac:dyDescent="0.2">
      <c r="Y1208" s="1">
        <f t="shared" si="76"/>
        <v>0</v>
      </c>
      <c r="Z1208" s="1">
        <f t="shared" si="77"/>
        <v>0</v>
      </c>
      <c r="AA1208" s="1">
        <f t="shared" si="78"/>
        <v>0</v>
      </c>
      <c r="AB1208" s="1">
        <f t="shared" si="79"/>
        <v>0</v>
      </c>
    </row>
    <row r="1209" spans="25:28" ht="15" customHeight="1" x14ac:dyDescent="0.2">
      <c r="Y1209" s="1">
        <f t="shared" si="76"/>
        <v>0</v>
      </c>
      <c r="Z1209" s="1">
        <f t="shared" si="77"/>
        <v>0</v>
      </c>
      <c r="AA1209" s="1">
        <f t="shared" si="78"/>
        <v>0</v>
      </c>
      <c r="AB1209" s="1">
        <f t="shared" si="79"/>
        <v>0</v>
      </c>
    </row>
    <row r="1210" spans="25:28" ht="15" customHeight="1" x14ac:dyDescent="0.2">
      <c r="Y1210" s="1">
        <f t="shared" si="76"/>
        <v>0</v>
      </c>
      <c r="Z1210" s="1">
        <f t="shared" si="77"/>
        <v>0</v>
      </c>
      <c r="AA1210" s="1">
        <f t="shared" si="78"/>
        <v>0</v>
      </c>
      <c r="AB1210" s="1">
        <f t="shared" si="79"/>
        <v>0</v>
      </c>
    </row>
    <row r="1211" spans="25:28" ht="15" customHeight="1" x14ac:dyDescent="0.2">
      <c r="Y1211" s="1">
        <f t="shared" si="76"/>
        <v>0</v>
      </c>
      <c r="Z1211" s="1">
        <f t="shared" si="77"/>
        <v>0</v>
      </c>
      <c r="AA1211" s="1">
        <f t="shared" si="78"/>
        <v>0</v>
      </c>
      <c r="AB1211" s="1">
        <f t="shared" si="79"/>
        <v>0</v>
      </c>
    </row>
    <row r="1212" spans="25:28" ht="15" customHeight="1" x14ac:dyDescent="0.2">
      <c r="Y1212" s="1">
        <f t="shared" si="76"/>
        <v>0</v>
      </c>
      <c r="Z1212" s="1">
        <f t="shared" si="77"/>
        <v>0</v>
      </c>
      <c r="AA1212" s="1">
        <f t="shared" si="78"/>
        <v>0</v>
      </c>
      <c r="AB1212" s="1">
        <f t="shared" si="79"/>
        <v>0</v>
      </c>
    </row>
    <row r="1213" spans="25:28" ht="15" customHeight="1" x14ac:dyDescent="0.2">
      <c r="Y1213" s="1">
        <f t="shared" si="76"/>
        <v>0</v>
      </c>
      <c r="Z1213" s="1">
        <f t="shared" si="77"/>
        <v>0</v>
      </c>
      <c r="AA1213" s="1">
        <f t="shared" si="78"/>
        <v>0</v>
      </c>
      <c r="AB1213" s="1">
        <f t="shared" si="79"/>
        <v>0</v>
      </c>
    </row>
    <row r="1214" spans="25:28" ht="15" customHeight="1" x14ac:dyDescent="0.2">
      <c r="Y1214" s="1">
        <f t="shared" si="76"/>
        <v>0</v>
      </c>
      <c r="Z1214" s="1">
        <f t="shared" si="77"/>
        <v>0</v>
      </c>
      <c r="AA1214" s="1">
        <f t="shared" si="78"/>
        <v>0</v>
      </c>
      <c r="AB1214" s="1">
        <f t="shared" si="79"/>
        <v>0</v>
      </c>
    </row>
    <row r="1215" spans="25:28" ht="15" customHeight="1" x14ac:dyDescent="0.2">
      <c r="Y1215" s="1">
        <f t="shared" si="76"/>
        <v>0</v>
      </c>
      <c r="Z1215" s="1">
        <f t="shared" si="77"/>
        <v>0</v>
      </c>
      <c r="AA1215" s="1">
        <f t="shared" si="78"/>
        <v>0</v>
      </c>
      <c r="AB1215" s="1">
        <f t="shared" si="79"/>
        <v>0</v>
      </c>
    </row>
    <row r="1216" spans="25:28" ht="15" customHeight="1" x14ac:dyDescent="0.2">
      <c r="Y1216" s="1">
        <f t="shared" si="76"/>
        <v>0</v>
      </c>
      <c r="Z1216" s="1">
        <f t="shared" si="77"/>
        <v>0</v>
      </c>
      <c r="AA1216" s="1">
        <f t="shared" si="78"/>
        <v>0</v>
      </c>
      <c r="AB1216" s="1">
        <f t="shared" si="79"/>
        <v>0</v>
      </c>
    </row>
    <row r="1217" spans="25:28" ht="15" customHeight="1" x14ac:dyDescent="0.2">
      <c r="Y1217" s="1">
        <f t="shared" si="76"/>
        <v>0</v>
      </c>
      <c r="Z1217" s="1">
        <f t="shared" si="77"/>
        <v>0</v>
      </c>
      <c r="AA1217" s="1">
        <f t="shared" si="78"/>
        <v>0</v>
      </c>
      <c r="AB1217" s="1">
        <f t="shared" si="79"/>
        <v>0</v>
      </c>
    </row>
    <row r="1218" spans="25:28" ht="15" customHeight="1" x14ac:dyDescent="0.2">
      <c r="Y1218" s="1">
        <f t="shared" si="76"/>
        <v>0</v>
      </c>
      <c r="Z1218" s="1">
        <f t="shared" si="77"/>
        <v>0</v>
      </c>
      <c r="AA1218" s="1">
        <f t="shared" si="78"/>
        <v>0</v>
      </c>
      <c r="AB1218" s="1">
        <f t="shared" si="79"/>
        <v>0</v>
      </c>
    </row>
    <row r="1219" spans="25:28" ht="15" customHeight="1" x14ac:dyDescent="0.2">
      <c r="Y1219" s="1">
        <f t="shared" si="76"/>
        <v>0</v>
      </c>
      <c r="Z1219" s="1">
        <f t="shared" si="77"/>
        <v>0</v>
      </c>
      <c r="AA1219" s="1">
        <f t="shared" si="78"/>
        <v>0</v>
      </c>
      <c r="AB1219" s="1">
        <f t="shared" si="79"/>
        <v>0</v>
      </c>
    </row>
    <row r="1220" spans="25:28" ht="15" customHeight="1" x14ac:dyDescent="0.2">
      <c r="Y1220" s="1">
        <f t="shared" si="76"/>
        <v>0</v>
      </c>
      <c r="Z1220" s="1">
        <f t="shared" si="77"/>
        <v>0</v>
      </c>
      <c r="AA1220" s="1">
        <f t="shared" si="78"/>
        <v>0</v>
      </c>
      <c r="AB1220" s="1">
        <f t="shared" si="79"/>
        <v>0</v>
      </c>
    </row>
    <row r="1221" spans="25:28" ht="15" customHeight="1" x14ac:dyDescent="0.2">
      <c r="Y1221" s="1">
        <f t="shared" si="76"/>
        <v>0</v>
      </c>
      <c r="Z1221" s="1">
        <f t="shared" si="77"/>
        <v>0</v>
      </c>
      <c r="AA1221" s="1">
        <f t="shared" si="78"/>
        <v>0</v>
      </c>
      <c r="AB1221" s="1">
        <f t="shared" si="79"/>
        <v>0</v>
      </c>
    </row>
    <row r="1222" spans="25:28" ht="15" customHeight="1" x14ac:dyDescent="0.2">
      <c r="Y1222" s="1">
        <f t="shared" si="76"/>
        <v>0</v>
      </c>
      <c r="Z1222" s="1">
        <f t="shared" si="77"/>
        <v>0</v>
      </c>
      <c r="AA1222" s="1">
        <f t="shared" si="78"/>
        <v>0</v>
      </c>
      <c r="AB1222" s="1">
        <f t="shared" si="79"/>
        <v>0</v>
      </c>
    </row>
    <row r="1223" spans="25:28" ht="15" customHeight="1" x14ac:dyDescent="0.2">
      <c r="Y1223" s="1">
        <f t="shared" si="76"/>
        <v>0</v>
      </c>
      <c r="Z1223" s="1">
        <f t="shared" si="77"/>
        <v>0</v>
      </c>
      <c r="AA1223" s="1">
        <f t="shared" si="78"/>
        <v>0</v>
      </c>
      <c r="AB1223" s="1">
        <f t="shared" si="79"/>
        <v>0</v>
      </c>
    </row>
    <row r="1224" spans="25:28" ht="15" customHeight="1" x14ac:dyDescent="0.2">
      <c r="Y1224" s="1">
        <f t="shared" si="76"/>
        <v>0</v>
      </c>
      <c r="Z1224" s="1">
        <f t="shared" si="77"/>
        <v>0</v>
      </c>
      <c r="AA1224" s="1">
        <f t="shared" si="78"/>
        <v>0</v>
      </c>
      <c r="AB1224" s="1">
        <f t="shared" si="79"/>
        <v>0</v>
      </c>
    </row>
    <row r="1225" spans="25:28" ht="15" customHeight="1" x14ac:dyDescent="0.2">
      <c r="Y1225" s="1">
        <f t="shared" si="76"/>
        <v>0</v>
      </c>
      <c r="Z1225" s="1">
        <f t="shared" si="77"/>
        <v>0</v>
      </c>
      <c r="AA1225" s="1">
        <f t="shared" si="78"/>
        <v>0</v>
      </c>
      <c r="AB1225" s="1">
        <f t="shared" si="79"/>
        <v>0</v>
      </c>
    </row>
    <row r="1226" spans="25:28" ht="15" customHeight="1" x14ac:dyDescent="0.2">
      <c r="Y1226" s="1">
        <f t="shared" si="76"/>
        <v>0</v>
      </c>
      <c r="Z1226" s="1">
        <f t="shared" si="77"/>
        <v>0</v>
      </c>
      <c r="AA1226" s="1">
        <f t="shared" si="78"/>
        <v>0</v>
      </c>
      <c r="AB1226" s="1">
        <f t="shared" si="79"/>
        <v>0</v>
      </c>
    </row>
    <row r="1227" spans="25:28" ht="15" customHeight="1" x14ac:dyDescent="0.2">
      <c r="Y1227" s="1">
        <f t="shared" si="76"/>
        <v>0</v>
      </c>
      <c r="Z1227" s="1">
        <f t="shared" si="77"/>
        <v>0</v>
      </c>
      <c r="AA1227" s="1">
        <f t="shared" si="78"/>
        <v>0</v>
      </c>
      <c r="AB1227" s="1">
        <f t="shared" si="79"/>
        <v>0</v>
      </c>
    </row>
    <row r="1228" spans="25:28" ht="15" customHeight="1" x14ac:dyDescent="0.2">
      <c r="Y1228" s="1">
        <f t="shared" si="76"/>
        <v>0</v>
      </c>
      <c r="Z1228" s="1">
        <f t="shared" si="77"/>
        <v>0</v>
      </c>
      <c r="AA1228" s="1">
        <f t="shared" si="78"/>
        <v>0</v>
      </c>
      <c r="AB1228" s="1">
        <f t="shared" si="79"/>
        <v>0</v>
      </c>
    </row>
    <row r="1229" spans="25:28" ht="15" customHeight="1" x14ac:dyDescent="0.2">
      <c r="Y1229" s="1">
        <f t="shared" si="76"/>
        <v>0</v>
      </c>
      <c r="Z1229" s="1">
        <f t="shared" si="77"/>
        <v>0</v>
      </c>
      <c r="AA1229" s="1">
        <f t="shared" si="78"/>
        <v>0</v>
      </c>
      <c r="AB1229" s="1">
        <f t="shared" si="79"/>
        <v>0</v>
      </c>
    </row>
    <row r="1230" spans="25:28" ht="15" customHeight="1" x14ac:dyDescent="0.2">
      <c r="Y1230" s="1">
        <f t="shared" ref="Y1230:Y1293" si="80">MAX(0,IFERROR((LEN($T1231)-LEN(SUBSTITUTE($T1231,"Quality of Works / Criteria of Failings:","")))/LEN("Quality of Works / Criteria of Failings:"),0)-IFERROR((LEN($T1231)-LEN(SUBSTITUTE($T1231,"Quality of Works / Criteria of Failings:Compliant","")))/LEN("Quality of Works / Criteria of Failings:Compliant"),0))</f>
        <v>0</v>
      </c>
      <c r="Z1230" s="1">
        <f t="shared" ref="Z1230:Z1293" si="81">IFERROR($Y1231/MAX(1,(LEN($I1231)-LEN(SUBSTITUTE($I1231," Ltd","")))/LEN(" Ltd")),0)</f>
        <v>0</v>
      </c>
      <c r="AA1230" s="1">
        <f t="shared" ref="AA1230:AA1293" si="82">IFERROR(IFERROR((LEN($T1231)-LEN(SUBSTITUTE($T1231,"Quality of Works / Criteria of Failings:","")))/LEN("Quality of Works / Criteria of Failings:"),0)/MAX(1,(LEN($I1231)-LEN(SUBSTITUTE($I1231," Ltd","")))/LEN(" Ltd")),0)</f>
        <v>0</v>
      </c>
      <c r="AB1230" s="1">
        <f t="shared" ref="AB1230:AB1293" si="83">IFERROR(IFERROR((LEN($T1231)-LEN(SUBSTITUTE($T1231,"Quality of Works / Criteria of Failings:Compliant","")))/LEN("Quality of Works / Criteria of Failings:Compliant"),0)/MAX(1,(LEN($I1231)-LEN(SUBSTITUTE($I1231," Ltd","")))/LEN(" Ltd")),0)</f>
        <v>0</v>
      </c>
    </row>
    <row r="1231" spans="25:28" ht="15" customHeight="1" x14ac:dyDescent="0.2">
      <c r="Y1231" s="1">
        <f t="shared" si="80"/>
        <v>0</v>
      </c>
      <c r="Z1231" s="1">
        <f t="shared" si="81"/>
        <v>0</v>
      </c>
      <c r="AA1231" s="1">
        <f t="shared" si="82"/>
        <v>0</v>
      </c>
      <c r="AB1231" s="1">
        <f t="shared" si="83"/>
        <v>0</v>
      </c>
    </row>
    <row r="1232" spans="25:28" ht="15" customHeight="1" x14ac:dyDescent="0.2">
      <c r="Y1232" s="1">
        <f t="shared" si="80"/>
        <v>0</v>
      </c>
      <c r="Z1232" s="1">
        <f t="shared" si="81"/>
        <v>0</v>
      </c>
      <c r="AA1232" s="1">
        <f t="shared" si="82"/>
        <v>0</v>
      </c>
      <c r="AB1232" s="1">
        <f t="shared" si="83"/>
        <v>0</v>
      </c>
    </row>
    <row r="1233" spans="25:28" ht="15" customHeight="1" x14ac:dyDescent="0.2">
      <c r="Y1233" s="1">
        <f t="shared" si="80"/>
        <v>0</v>
      </c>
      <c r="Z1233" s="1">
        <f t="shared" si="81"/>
        <v>0</v>
      </c>
      <c r="AA1233" s="1">
        <f t="shared" si="82"/>
        <v>0</v>
      </c>
      <c r="AB1233" s="1">
        <f t="shared" si="83"/>
        <v>0</v>
      </c>
    </row>
    <row r="1234" spans="25:28" ht="15" customHeight="1" x14ac:dyDescent="0.2">
      <c r="Y1234" s="1">
        <f t="shared" si="80"/>
        <v>0</v>
      </c>
      <c r="Z1234" s="1">
        <f t="shared" si="81"/>
        <v>0</v>
      </c>
      <c r="AA1234" s="1">
        <f t="shared" si="82"/>
        <v>0</v>
      </c>
      <c r="AB1234" s="1">
        <f t="shared" si="83"/>
        <v>0</v>
      </c>
    </row>
    <row r="1235" spans="25:28" ht="15" customHeight="1" x14ac:dyDescent="0.2">
      <c r="Y1235" s="1">
        <f t="shared" si="80"/>
        <v>0</v>
      </c>
      <c r="Z1235" s="1">
        <f t="shared" si="81"/>
        <v>0</v>
      </c>
      <c r="AA1235" s="1">
        <f t="shared" si="82"/>
        <v>0</v>
      </c>
      <c r="AB1235" s="1">
        <f t="shared" si="83"/>
        <v>0</v>
      </c>
    </row>
    <row r="1236" spans="25:28" ht="15" customHeight="1" x14ac:dyDescent="0.2">
      <c r="Y1236" s="1">
        <f t="shared" si="80"/>
        <v>0</v>
      </c>
      <c r="Z1236" s="1">
        <f t="shared" si="81"/>
        <v>0</v>
      </c>
      <c r="AA1236" s="1">
        <f t="shared" si="82"/>
        <v>0</v>
      </c>
      <c r="AB1236" s="1">
        <f t="shared" si="83"/>
        <v>0</v>
      </c>
    </row>
    <row r="1237" spans="25:28" ht="15" customHeight="1" x14ac:dyDescent="0.2">
      <c r="Y1237" s="1">
        <f t="shared" si="80"/>
        <v>0</v>
      </c>
      <c r="Z1237" s="1">
        <f t="shared" si="81"/>
        <v>0</v>
      </c>
      <c r="AA1237" s="1">
        <f t="shared" si="82"/>
        <v>0</v>
      </c>
      <c r="AB1237" s="1">
        <f t="shared" si="83"/>
        <v>0</v>
      </c>
    </row>
    <row r="1238" spans="25:28" ht="15" customHeight="1" x14ac:dyDescent="0.2">
      <c r="Y1238" s="1">
        <f t="shared" si="80"/>
        <v>0</v>
      </c>
      <c r="Z1238" s="1">
        <f t="shared" si="81"/>
        <v>0</v>
      </c>
      <c r="AA1238" s="1">
        <f t="shared" si="82"/>
        <v>0</v>
      </c>
      <c r="AB1238" s="1">
        <f t="shared" si="83"/>
        <v>0</v>
      </c>
    </row>
    <row r="1239" spans="25:28" ht="15" customHeight="1" x14ac:dyDescent="0.2">
      <c r="Y1239" s="1">
        <f t="shared" si="80"/>
        <v>0</v>
      </c>
      <c r="Z1239" s="1">
        <f t="shared" si="81"/>
        <v>0</v>
      </c>
      <c r="AA1239" s="1">
        <f t="shared" si="82"/>
        <v>0</v>
      </c>
      <c r="AB1239" s="1">
        <f t="shared" si="83"/>
        <v>0</v>
      </c>
    </row>
    <row r="1240" spans="25:28" ht="15" customHeight="1" x14ac:dyDescent="0.2">
      <c r="Y1240" s="1">
        <f t="shared" si="80"/>
        <v>0</v>
      </c>
      <c r="Z1240" s="1">
        <f t="shared" si="81"/>
        <v>0</v>
      </c>
      <c r="AA1240" s="1">
        <f t="shared" si="82"/>
        <v>0</v>
      </c>
      <c r="AB1240" s="1">
        <f t="shared" si="83"/>
        <v>0</v>
      </c>
    </row>
    <row r="1241" spans="25:28" ht="15" customHeight="1" x14ac:dyDescent="0.2">
      <c r="Y1241" s="1">
        <f t="shared" si="80"/>
        <v>0</v>
      </c>
      <c r="Z1241" s="1">
        <f t="shared" si="81"/>
        <v>0</v>
      </c>
      <c r="AA1241" s="1">
        <f t="shared" si="82"/>
        <v>0</v>
      </c>
      <c r="AB1241" s="1">
        <f t="shared" si="83"/>
        <v>0</v>
      </c>
    </row>
    <row r="1242" spans="25:28" ht="15" customHeight="1" x14ac:dyDescent="0.2">
      <c r="Y1242" s="1">
        <f t="shared" si="80"/>
        <v>0</v>
      </c>
      <c r="Z1242" s="1">
        <f t="shared" si="81"/>
        <v>0</v>
      </c>
      <c r="AA1242" s="1">
        <f t="shared" si="82"/>
        <v>0</v>
      </c>
      <c r="AB1242" s="1">
        <f t="shared" si="83"/>
        <v>0</v>
      </c>
    </row>
    <row r="1243" spans="25:28" ht="15" customHeight="1" x14ac:dyDescent="0.2">
      <c r="Y1243" s="1">
        <f t="shared" si="80"/>
        <v>0</v>
      </c>
      <c r="Z1243" s="1">
        <f t="shared" si="81"/>
        <v>0</v>
      </c>
      <c r="AA1243" s="1">
        <f t="shared" si="82"/>
        <v>0</v>
      </c>
      <c r="AB1243" s="1">
        <f t="shared" si="83"/>
        <v>0</v>
      </c>
    </row>
    <row r="1244" spans="25:28" ht="15" customHeight="1" x14ac:dyDescent="0.2">
      <c r="Y1244" s="1">
        <f t="shared" si="80"/>
        <v>0</v>
      </c>
      <c r="Z1244" s="1">
        <f t="shared" si="81"/>
        <v>0</v>
      </c>
      <c r="AA1244" s="1">
        <f t="shared" si="82"/>
        <v>0</v>
      </c>
      <c r="AB1244" s="1">
        <f t="shared" si="83"/>
        <v>0</v>
      </c>
    </row>
    <row r="1245" spans="25:28" ht="15" customHeight="1" x14ac:dyDescent="0.2">
      <c r="Y1245" s="1">
        <f t="shared" si="80"/>
        <v>0</v>
      </c>
      <c r="Z1245" s="1">
        <f t="shared" si="81"/>
        <v>0</v>
      </c>
      <c r="AA1245" s="1">
        <f t="shared" si="82"/>
        <v>0</v>
      </c>
      <c r="AB1245" s="1">
        <f t="shared" si="83"/>
        <v>0</v>
      </c>
    </row>
    <row r="1246" spans="25:28" ht="15" customHeight="1" x14ac:dyDescent="0.2">
      <c r="Y1246" s="1">
        <f t="shared" si="80"/>
        <v>0</v>
      </c>
      <c r="Z1246" s="1">
        <f t="shared" si="81"/>
        <v>0</v>
      </c>
      <c r="AA1246" s="1">
        <f t="shared" si="82"/>
        <v>0</v>
      </c>
      <c r="AB1246" s="1">
        <f t="shared" si="83"/>
        <v>0</v>
      </c>
    </row>
    <row r="1247" spans="25:28" ht="15" customHeight="1" x14ac:dyDescent="0.2">
      <c r="Y1247" s="1">
        <f t="shared" si="80"/>
        <v>0</v>
      </c>
      <c r="Z1247" s="1">
        <f t="shared" si="81"/>
        <v>0</v>
      </c>
      <c r="AA1247" s="1">
        <f t="shared" si="82"/>
        <v>0</v>
      </c>
      <c r="AB1247" s="1">
        <f t="shared" si="83"/>
        <v>0</v>
      </c>
    </row>
    <row r="1248" spans="25:28" ht="15" customHeight="1" x14ac:dyDescent="0.2">
      <c r="Y1248" s="1">
        <f t="shared" si="80"/>
        <v>0</v>
      </c>
      <c r="Z1248" s="1">
        <f t="shared" si="81"/>
        <v>0</v>
      </c>
      <c r="AA1248" s="1">
        <f t="shared" si="82"/>
        <v>0</v>
      </c>
      <c r="AB1248" s="1">
        <f t="shared" si="83"/>
        <v>0</v>
      </c>
    </row>
    <row r="1249" spans="25:28" ht="15" customHeight="1" x14ac:dyDescent="0.2">
      <c r="Y1249" s="1">
        <f t="shared" si="80"/>
        <v>0</v>
      </c>
      <c r="Z1249" s="1">
        <f t="shared" si="81"/>
        <v>0</v>
      </c>
      <c r="AA1249" s="1">
        <f t="shared" si="82"/>
        <v>0</v>
      </c>
      <c r="AB1249" s="1">
        <f t="shared" si="83"/>
        <v>0</v>
      </c>
    </row>
    <row r="1250" spans="25:28" ht="15" customHeight="1" x14ac:dyDescent="0.2">
      <c r="Y1250" s="1">
        <f t="shared" si="80"/>
        <v>0</v>
      </c>
      <c r="Z1250" s="1">
        <f t="shared" si="81"/>
        <v>0</v>
      </c>
      <c r="AA1250" s="1">
        <f t="shared" si="82"/>
        <v>0</v>
      </c>
      <c r="AB1250" s="1">
        <f t="shared" si="83"/>
        <v>0</v>
      </c>
    </row>
    <row r="1251" spans="25:28" ht="15" customHeight="1" x14ac:dyDescent="0.2">
      <c r="Y1251" s="1">
        <f t="shared" si="80"/>
        <v>0</v>
      </c>
      <c r="Z1251" s="1">
        <f t="shared" si="81"/>
        <v>0</v>
      </c>
      <c r="AA1251" s="1">
        <f t="shared" si="82"/>
        <v>0</v>
      </c>
      <c r="AB1251" s="1">
        <f t="shared" si="83"/>
        <v>0</v>
      </c>
    </row>
    <row r="1252" spans="25:28" ht="15" customHeight="1" x14ac:dyDescent="0.2">
      <c r="Y1252" s="1">
        <f t="shared" si="80"/>
        <v>0</v>
      </c>
      <c r="Z1252" s="1">
        <f t="shared" si="81"/>
        <v>0</v>
      </c>
      <c r="AA1252" s="1">
        <f t="shared" si="82"/>
        <v>0</v>
      </c>
      <c r="AB1252" s="1">
        <f t="shared" si="83"/>
        <v>0</v>
      </c>
    </row>
    <row r="1253" spans="25:28" ht="15" customHeight="1" x14ac:dyDescent="0.2">
      <c r="Y1253" s="1">
        <f t="shared" si="80"/>
        <v>0</v>
      </c>
      <c r="Z1253" s="1">
        <f t="shared" si="81"/>
        <v>0</v>
      </c>
      <c r="AA1253" s="1">
        <f t="shared" si="82"/>
        <v>0</v>
      </c>
      <c r="AB1253" s="1">
        <f t="shared" si="83"/>
        <v>0</v>
      </c>
    </row>
    <row r="1254" spans="25:28" ht="15" customHeight="1" x14ac:dyDescent="0.2">
      <c r="Y1254" s="1">
        <f t="shared" si="80"/>
        <v>0</v>
      </c>
      <c r="Z1254" s="1">
        <f t="shared" si="81"/>
        <v>0</v>
      </c>
      <c r="AA1254" s="1">
        <f t="shared" si="82"/>
        <v>0</v>
      </c>
      <c r="AB1254" s="1">
        <f t="shared" si="83"/>
        <v>0</v>
      </c>
    </row>
    <row r="1255" spans="25:28" ht="15" customHeight="1" x14ac:dyDescent="0.2">
      <c r="Y1255" s="1">
        <f t="shared" si="80"/>
        <v>0</v>
      </c>
      <c r="Z1255" s="1">
        <f t="shared" si="81"/>
        <v>0</v>
      </c>
      <c r="AA1255" s="1">
        <f t="shared" si="82"/>
        <v>0</v>
      </c>
      <c r="AB1255" s="1">
        <f t="shared" si="83"/>
        <v>0</v>
      </c>
    </row>
    <row r="1256" spans="25:28" ht="15" customHeight="1" x14ac:dyDescent="0.2">
      <c r="Y1256" s="1">
        <f t="shared" si="80"/>
        <v>0</v>
      </c>
      <c r="Z1256" s="1">
        <f t="shared" si="81"/>
        <v>0</v>
      </c>
      <c r="AA1256" s="1">
        <f t="shared" si="82"/>
        <v>0</v>
      </c>
      <c r="AB1256" s="1">
        <f t="shared" si="83"/>
        <v>0</v>
      </c>
    </row>
    <row r="1257" spans="25:28" ht="15" customHeight="1" x14ac:dyDescent="0.2">
      <c r="Y1257" s="1">
        <f t="shared" si="80"/>
        <v>0</v>
      </c>
      <c r="Z1257" s="1">
        <f t="shared" si="81"/>
        <v>0</v>
      </c>
      <c r="AA1257" s="1">
        <f t="shared" si="82"/>
        <v>0</v>
      </c>
      <c r="AB1257" s="1">
        <f t="shared" si="83"/>
        <v>0</v>
      </c>
    </row>
    <row r="1258" spans="25:28" ht="15" customHeight="1" x14ac:dyDescent="0.2">
      <c r="Y1258" s="1">
        <f t="shared" si="80"/>
        <v>0</v>
      </c>
      <c r="Z1258" s="1">
        <f t="shared" si="81"/>
        <v>0</v>
      </c>
      <c r="AA1258" s="1">
        <f t="shared" si="82"/>
        <v>0</v>
      </c>
      <c r="AB1258" s="1">
        <f t="shared" si="83"/>
        <v>0</v>
      </c>
    </row>
    <row r="1259" spans="25:28" ht="15" customHeight="1" x14ac:dyDescent="0.2">
      <c r="Y1259" s="1">
        <f t="shared" si="80"/>
        <v>0</v>
      </c>
      <c r="Z1259" s="1">
        <f t="shared" si="81"/>
        <v>0</v>
      </c>
      <c r="AA1259" s="1">
        <f t="shared" si="82"/>
        <v>0</v>
      </c>
      <c r="AB1259" s="1">
        <f t="shared" si="83"/>
        <v>0</v>
      </c>
    </row>
    <row r="1260" spans="25:28" ht="15" customHeight="1" x14ac:dyDescent="0.2">
      <c r="Y1260" s="1">
        <f t="shared" si="80"/>
        <v>0</v>
      </c>
      <c r="Z1260" s="1">
        <f t="shared" si="81"/>
        <v>0</v>
      </c>
      <c r="AA1260" s="1">
        <f t="shared" si="82"/>
        <v>0</v>
      </c>
      <c r="AB1260" s="1">
        <f t="shared" si="83"/>
        <v>0</v>
      </c>
    </row>
    <row r="1261" spans="25:28" ht="15" customHeight="1" x14ac:dyDescent="0.2">
      <c r="Y1261" s="1">
        <f t="shared" si="80"/>
        <v>0</v>
      </c>
      <c r="Z1261" s="1">
        <f t="shared" si="81"/>
        <v>0</v>
      </c>
      <c r="AA1261" s="1">
        <f t="shared" si="82"/>
        <v>0</v>
      </c>
      <c r="AB1261" s="1">
        <f t="shared" si="83"/>
        <v>0</v>
      </c>
    </row>
    <row r="1262" spans="25:28" ht="15" customHeight="1" x14ac:dyDescent="0.2">
      <c r="Y1262" s="1">
        <f t="shared" si="80"/>
        <v>0</v>
      </c>
      <c r="Z1262" s="1">
        <f t="shared" si="81"/>
        <v>0</v>
      </c>
      <c r="AA1262" s="1">
        <f t="shared" si="82"/>
        <v>0</v>
      </c>
      <c r="AB1262" s="1">
        <f t="shared" si="83"/>
        <v>0</v>
      </c>
    </row>
    <row r="1263" spans="25:28" ht="15" customHeight="1" x14ac:dyDescent="0.2">
      <c r="Y1263" s="1">
        <f t="shared" si="80"/>
        <v>0</v>
      </c>
      <c r="Z1263" s="1">
        <f t="shared" si="81"/>
        <v>0</v>
      </c>
      <c r="AA1263" s="1">
        <f t="shared" si="82"/>
        <v>0</v>
      </c>
      <c r="AB1263" s="1">
        <f t="shared" si="83"/>
        <v>0</v>
      </c>
    </row>
    <row r="1264" spans="25:28" ht="15" customHeight="1" x14ac:dyDescent="0.2">
      <c r="Y1264" s="1">
        <f t="shared" si="80"/>
        <v>0</v>
      </c>
      <c r="Z1264" s="1">
        <f t="shared" si="81"/>
        <v>0</v>
      </c>
      <c r="AA1264" s="1">
        <f t="shared" si="82"/>
        <v>0</v>
      </c>
      <c r="AB1264" s="1">
        <f t="shared" si="83"/>
        <v>0</v>
      </c>
    </row>
    <row r="1265" spans="25:28" ht="15" customHeight="1" x14ac:dyDescent="0.2">
      <c r="Y1265" s="1">
        <f t="shared" si="80"/>
        <v>0</v>
      </c>
      <c r="Z1265" s="1">
        <f t="shared" si="81"/>
        <v>0</v>
      </c>
      <c r="AA1265" s="1">
        <f t="shared" si="82"/>
        <v>0</v>
      </c>
      <c r="AB1265" s="1">
        <f t="shared" si="83"/>
        <v>0</v>
      </c>
    </row>
    <row r="1266" spans="25:28" ht="15" customHeight="1" x14ac:dyDescent="0.2">
      <c r="Y1266" s="1">
        <f t="shared" si="80"/>
        <v>0</v>
      </c>
      <c r="Z1266" s="1">
        <f t="shared" si="81"/>
        <v>0</v>
      </c>
      <c r="AA1266" s="1">
        <f t="shared" si="82"/>
        <v>0</v>
      </c>
      <c r="AB1266" s="1">
        <f t="shared" si="83"/>
        <v>0</v>
      </c>
    </row>
    <row r="1267" spans="25:28" ht="15" customHeight="1" x14ac:dyDescent="0.2">
      <c r="Y1267" s="1">
        <f t="shared" si="80"/>
        <v>0</v>
      </c>
      <c r="Z1267" s="1">
        <f t="shared" si="81"/>
        <v>0</v>
      </c>
      <c r="AA1267" s="1">
        <f t="shared" si="82"/>
        <v>0</v>
      </c>
      <c r="AB1267" s="1">
        <f t="shared" si="83"/>
        <v>0</v>
      </c>
    </row>
    <row r="1268" spans="25:28" ht="15" customHeight="1" x14ac:dyDescent="0.2">
      <c r="Y1268" s="1">
        <f t="shared" si="80"/>
        <v>0</v>
      </c>
      <c r="Z1268" s="1">
        <f t="shared" si="81"/>
        <v>0</v>
      </c>
      <c r="AA1268" s="1">
        <f t="shared" si="82"/>
        <v>0</v>
      </c>
      <c r="AB1268" s="1">
        <f t="shared" si="83"/>
        <v>0</v>
      </c>
    </row>
    <row r="1269" spans="25:28" ht="15" customHeight="1" x14ac:dyDescent="0.2">
      <c r="Y1269" s="1">
        <f t="shared" si="80"/>
        <v>0</v>
      </c>
      <c r="Z1269" s="1">
        <f t="shared" si="81"/>
        <v>0</v>
      </c>
      <c r="AA1269" s="1">
        <f t="shared" si="82"/>
        <v>0</v>
      </c>
      <c r="AB1269" s="1">
        <f t="shared" si="83"/>
        <v>0</v>
      </c>
    </row>
    <row r="1270" spans="25:28" ht="15" customHeight="1" x14ac:dyDescent="0.2">
      <c r="Y1270" s="1">
        <f t="shared" si="80"/>
        <v>0</v>
      </c>
      <c r="Z1270" s="1">
        <f t="shared" si="81"/>
        <v>0</v>
      </c>
      <c r="AA1270" s="1">
        <f t="shared" si="82"/>
        <v>0</v>
      </c>
      <c r="AB1270" s="1">
        <f t="shared" si="83"/>
        <v>0</v>
      </c>
    </row>
    <row r="1271" spans="25:28" ht="15" customHeight="1" x14ac:dyDescent="0.2">
      <c r="Y1271" s="1">
        <f t="shared" si="80"/>
        <v>0</v>
      </c>
      <c r="Z1271" s="1">
        <f t="shared" si="81"/>
        <v>0</v>
      </c>
      <c r="AA1271" s="1">
        <f t="shared" si="82"/>
        <v>0</v>
      </c>
      <c r="AB1271" s="1">
        <f t="shared" si="83"/>
        <v>0</v>
      </c>
    </row>
    <row r="1272" spans="25:28" ht="15" customHeight="1" x14ac:dyDescent="0.2">
      <c r="Y1272" s="1">
        <f t="shared" si="80"/>
        <v>0</v>
      </c>
      <c r="Z1272" s="1">
        <f t="shared" si="81"/>
        <v>0</v>
      </c>
      <c r="AA1272" s="1">
        <f t="shared" si="82"/>
        <v>0</v>
      </c>
      <c r="AB1272" s="1">
        <f t="shared" si="83"/>
        <v>0</v>
      </c>
    </row>
    <row r="1273" spans="25:28" ht="15" customHeight="1" x14ac:dyDescent="0.2">
      <c r="Y1273" s="1">
        <f t="shared" si="80"/>
        <v>0</v>
      </c>
      <c r="Z1273" s="1">
        <f t="shared" si="81"/>
        <v>0</v>
      </c>
      <c r="AA1273" s="1">
        <f t="shared" si="82"/>
        <v>0</v>
      </c>
      <c r="AB1273" s="1">
        <f t="shared" si="83"/>
        <v>0</v>
      </c>
    </row>
    <row r="1274" spans="25:28" ht="15" customHeight="1" x14ac:dyDescent="0.2">
      <c r="Y1274" s="1">
        <f t="shared" si="80"/>
        <v>0</v>
      </c>
      <c r="Z1274" s="1">
        <f t="shared" si="81"/>
        <v>0</v>
      </c>
      <c r="AA1274" s="1">
        <f t="shared" si="82"/>
        <v>0</v>
      </c>
      <c r="AB1274" s="1">
        <f t="shared" si="83"/>
        <v>0</v>
      </c>
    </row>
    <row r="1275" spans="25:28" ht="15" customHeight="1" x14ac:dyDescent="0.2">
      <c r="Y1275" s="1">
        <f t="shared" si="80"/>
        <v>0</v>
      </c>
      <c r="Z1275" s="1">
        <f t="shared" si="81"/>
        <v>0</v>
      </c>
      <c r="AA1275" s="1">
        <f t="shared" si="82"/>
        <v>0</v>
      </c>
      <c r="AB1275" s="1">
        <f t="shared" si="83"/>
        <v>0</v>
      </c>
    </row>
    <row r="1276" spans="25:28" ht="15" customHeight="1" x14ac:dyDescent="0.2">
      <c r="Y1276" s="1">
        <f t="shared" si="80"/>
        <v>0</v>
      </c>
      <c r="Z1276" s="1">
        <f t="shared" si="81"/>
        <v>0</v>
      </c>
      <c r="AA1276" s="1">
        <f t="shared" si="82"/>
        <v>0</v>
      </c>
      <c r="AB1276" s="1">
        <f t="shared" si="83"/>
        <v>0</v>
      </c>
    </row>
    <row r="1277" spans="25:28" ht="15" customHeight="1" x14ac:dyDescent="0.2">
      <c r="Y1277" s="1">
        <f t="shared" si="80"/>
        <v>0</v>
      </c>
      <c r="Z1277" s="1">
        <f t="shared" si="81"/>
        <v>0</v>
      </c>
      <c r="AA1277" s="1">
        <f t="shared" si="82"/>
        <v>0</v>
      </c>
      <c r="AB1277" s="1">
        <f t="shared" si="83"/>
        <v>0</v>
      </c>
    </row>
    <row r="1278" spans="25:28" ht="15" customHeight="1" x14ac:dyDescent="0.2">
      <c r="Y1278" s="1">
        <f t="shared" si="80"/>
        <v>0</v>
      </c>
      <c r="Z1278" s="1">
        <f t="shared" si="81"/>
        <v>0</v>
      </c>
      <c r="AA1278" s="1">
        <f t="shared" si="82"/>
        <v>0</v>
      </c>
      <c r="AB1278" s="1">
        <f t="shared" si="83"/>
        <v>0</v>
      </c>
    </row>
    <row r="1279" spans="25:28" ht="15" customHeight="1" x14ac:dyDescent="0.2">
      <c r="Y1279" s="1">
        <f t="shared" si="80"/>
        <v>0</v>
      </c>
      <c r="Z1279" s="1">
        <f t="shared" si="81"/>
        <v>0</v>
      </c>
      <c r="AA1279" s="1">
        <f t="shared" si="82"/>
        <v>0</v>
      </c>
      <c r="AB1279" s="1">
        <f t="shared" si="83"/>
        <v>0</v>
      </c>
    </row>
    <row r="1280" spans="25:28" ht="15" customHeight="1" x14ac:dyDescent="0.2">
      <c r="Y1280" s="1">
        <f t="shared" si="80"/>
        <v>0</v>
      </c>
      <c r="Z1280" s="1">
        <f t="shared" si="81"/>
        <v>0</v>
      </c>
      <c r="AA1280" s="1">
        <f t="shared" si="82"/>
        <v>0</v>
      </c>
      <c r="AB1280" s="1">
        <f t="shared" si="83"/>
        <v>0</v>
      </c>
    </row>
    <row r="1281" spans="25:28" ht="15" customHeight="1" x14ac:dyDescent="0.2">
      <c r="Y1281" s="1">
        <f t="shared" si="80"/>
        <v>0</v>
      </c>
      <c r="Z1281" s="1">
        <f t="shared" si="81"/>
        <v>0</v>
      </c>
      <c r="AA1281" s="1">
        <f t="shared" si="82"/>
        <v>0</v>
      </c>
      <c r="AB1281" s="1">
        <f t="shared" si="83"/>
        <v>0</v>
      </c>
    </row>
    <row r="1282" spans="25:28" ht="15" customHeight="1" x14ac:dyDescent="0.2">
      <c r="Y1282" s="1">
        <f t="shared" si="80"/>
        <v>0</v>
      </c>
      <c r="Z1282" s="1">
        <f t="shared" si="81"/>
        <v>0</v>
      </c>
      <c r="AA1282" s="1">
        <f t="shared" si="82"/>
        <v>0</v>
      </c>
      <c r="AB1282" s="1">
        <f t="shared" si="83"/>
        <v>0</v>
      </c>
    </row>
    <row r="1283" spans="25:28" ht="15" customHeight="1" x14ac:dyDescent="0.2">
      <c r="Y1283" s="1">
        <f t="shared" si="80"/>
        <v>0</v>
      </c>
      <c r="Z1283" s="1">
        <f t="shared" si="81"/>
        <v>0</v>
      </c>
      <c r="AA1283" s="1">
        <f t="shared" si="82"/>
        <v>0</v>
      </c>
      <c r="AB1283" s="1">
        <f t="shared" si="83"/>
        <v>0</v>
      </c>
    </row>
    <row r="1284" spans="25:28" ht="15" customHeight="1" x14ac:dyDescent="0.2">
      <c r="Y1284" s="1">
        <f t="shared" si="80"/>
        <v>0</v>
      </c>
      <c r="Z1284" s="1">
        <f t="shared" si="81"/>
        <v>0</v>
      </c>
      <c r="AA1284" s="1">
        <f t="shared" si="82"/>
        <v>0</v>
      </c>
      <c r="AB1284" s="1">
        <f t="shared" si="83"/>
        <v>0</v>
      </c>
    </row>
    <row r="1285" spans="25:28" ht="15" customHeight="1" x14ac:dyDescent="0.2">
      <c r="Y1285" s="1">
        <f t="shared" si="80"/>
        <v>0</v>
      </c>
      <c r="Z1285" s="1">
        <f t="shared" si="81"/>
        <v>0</v>
      </c>
      <c r="AA1285" s="1">
        <f t="shared" si="82"/>
        <v>0</v>
      </c>
      <c r="AB1285" s="1">
        <f t="shared" si="83"/>
        <v>0</v>
      </c>
    </row>
    <row r="1286" spans="25:28" ht="15" customHeight="1" x14ac:dyDescent="0.2">
      <c r="Y1286" s="1">
        <f t="shared" si="80"/>
        <v>0</v>
      </c>
      <c r="Z1286" s="1">
        <f t="shared" si="81"/>
        <v>0</v>
      </c>
      <c r="AA1286" s="1">
        <f t="shared" si="82"/>
        <v>0</v>
      </c>
      <c r="AB1286" s="1">
        <f t="shared" si="83"/>
        <v>0</v>
      </c>
    </row>
    <row r="1287" spans="25:28" ht="15" customHeight="1" x14ac:dyDescent="0.2">
      <c r="Y1287" s="1">
        <f t="shared" si="80"/>
        <v>0</v>
      </c>
      <c r="Z1287" s="1">
        <f t="shared" si="81"/>
        <v>0</v>
      </c>
      <c r="AA1287" s="1">
        <f t="shared" si="82"/>
        <v>0</v>
      </c>
      <c r="AB1287" s="1">
        <f t="shared" si="83"/>
        <v>0</v>
      </c>
    </row>
    <row r="1288" spans="25:28" ht="15" customHeight="1" x14ac:dyDescent="0.2">
      <c r="Y1288" s="1">
        <f t="shared" si="80"/>
        <v>0</v>
      </c>
      <c r="Z1288" s="1">
        <f t="shared" si="81"/>
        <v>0</v>
      </c>
      <c r="AA1288" s="1">
        <f t="shared" si="82"/>
        <v>0</v>
      </c>
      <c r="AB1288" s="1">
        <f t="shared" si="83"/>
        <v>0</v>
      </c>
    </row>
    <row r="1289" spans="25:28" ht="15" customHeight="1" x14ac:dyDescent="0.2">
      <c r="Y1289" s="1">
        <f t="shared" si="80"/>
        <v>0</v>
      </c>
      <c r="Z1289" s="1">
        <f t="shared" si="81"/>
        <v>0</v>
      </c>
      <c r="AA1289" s="1">
        <f t="shared" si="82"/>
        <v>0</v>
      </c>
      <c r="AB1289" s="1">
        <f t="shared" si="83"/>
        <v>0</v>
      </c>
    </row>
    <row r="1290" spans="25:28" ht="15" customHeight="1" x14ac:dyDescent="0.2">
      <c r="Y1290" s="1">
        <f t="shared" si="80"/>
        <v>0</v>
      </c>
      <c r="Z1290" s="1">
        <f t="shared" si="81"/>
        <v>0</v>
      </c>
      <c r="AA1290" s="1">
        <f t="shared" si="82"/>
        <v>0</v>
      </c>
      <c r="AB1290" s="1">
        <f t="shared" si="83"/>
        <v>0</v>
      </c>
    </row>
    <row r="1291" spans="25:28" ht="15" customHeight="1" x14ac:dyDescent="0.2">
      <c r="Y1291" s="1">
        <f t="shared" si="80"/>
        <v>0</v>
      </c>
      <c r="Z1291" s="1">
        <f t="shared" si="81"/>
        <v>0</v>
      </c>
      <c r="AA1291" s="1">
        <f t="shared" si="82"/>
        <v>0</v>
      </c>
      <c r="AB1291" s="1">
        <f t="shared" si="83"/>
        <v>0</v>
      </c>
    </row>
    <row r="1292" spans="25:28" ht="15" customHeight="1" x14ac:dyDescent="0.2">
      <c r="Y1292" s="1">
        <f t="shared" si="80"/>
        <v>0</v>
      </c>
      <c r="Z1292" s="1">
        <f t="shared" si="81"/>
        <v>0</v>
      </c>
      <c r="AA1292" s="1">
        <f t="shared" si="82"/>
        <v>0</v>
      </c>
      <c r="AB1292" s="1">
        <f t="shared" si="83"/>
        <v>0</v>
      </c>
    </row>
    <row r="1293" spans="25:28" ht="15" customHeight="1" x14ac:dyDescent="0.2">
      <c r="Y1293" s="1">
        <f t="shared" si="80"/>
        <v>0</v>
      </c>
      <c r="Z1293" s="1">
        <f t="shared" si="81"/>
        <v>0</v>
      </c>
      <c r="AA1293" s="1">
        <f t="shared" si="82"/>
        <v>0</v>
      </c>
      <c r="AB1293" s="1">
        <f t="shared" si="83"/>
        <v>0</v>
      </c>
    </row>
    <row r="1294" spans="25:28" ht="15" customHeight="1" x14ac:dyDescent="0.2">
      <c r="Y1294" s="1">
        <f t="shared" ref="Y1294:Y1357" si="84">MAX(0,IFERROR((LEN($T1295)-LEN(SUBSTITUTE($T1295,"Quality of Works / Criteria of Failings:","")))/LEN("Quality of Works / Criteria of Failings:"),0)-IFERROR((LEN($T1295)-LEN(SUBSTITUTE($T1295,"Quality of Works / Criteria of Failings:Compliant","")))/LEN("Quality of Works / Criteria of Failings:Compliant"),0))</f>
        <v>0</v>
      </c>
      <c r="Z1294" s="1">
        <f t="shared" ref="Z1294:Z1357" si="85">IFERROR($Y1295/MAX(1,(LEN($I1295)-LEN(SUBSTITUTE($I1295," Ltd","")))/LEN(" Ltd")),0)</f>
        <v>0</v>
      </c>
      <c r="AA1294" s="1">
        <f t="shared" ref="AA1294:AA1357" si="86">IFERROR(IFERROR((LEN($T1295)-LEN(SUBSTITUTE($T1295,"Quality of Works / Criteria of Failings:","")))/LEN("Quality of Works / Criteria of Failings:"),0)/MAX(1,(LEN($I1295)-LEN(SUBSTITUTE($I1295," Ltd","")))/LEN(" Ltd")),0)</f>
        <v>0</v>
      </c>
      <c r="AB1294" s="1">
        <f t="shared" ref="AB1294:AB1357" si="87">IFERROR(IFERROR((LEN($T1295)-LEN(SUBSTITUTE($T1295,"Quality of Works / Criteria of Failings:Compliant","")))/LEN("Quality of Works / Criteria of Failings:Compliant"),0)/MAX(1,(LEN($I1295)-LEN(SUBSTITUTE($I1295," Ltd","")))/LEN(" Ltd")),0)</f>
        <v>0</v>
      </c>
    </row>
    <row r="1295" spans="25:28" ht="15" customHeight="1" x14ac:dyDescent="0.2">
      <c r="Y1295" s="1">
        <f t="shared" si="84"/>
        <v>0</v>
      </c>
      <c r="Z1295" s="1">
        <f t="shared" si="85"/>
        <v>0</v>
      </c>
      <c r="AA1295" s="1">
        <f t="shared" si="86"/>
        <v>0</v>
      </c>
      <c r="AB1295" s="1">
        <f t="shared" si="87"/>
        <v>0</v>
      </c>
    </row>
    <row r="1296" spans="25:28" ht="15" customHeight="1" x14ac:dyDescent="0.2">
      <c r="Y1296" s="1">
        <f t="shared" si="84"/>
        <v>0</v>
      </c>
      <c r="Z1296" s="1">
        <f t="shared" si="85"/>
        <v>0</v>
      </c>
      <c r="AA1296" s="1">
        <f t="shared" si="86"/>
        <v>0</v>
      </c>
      <c r="AB1296" s="1">
        <f t="shared" si="87"/>
        <v>0</v>
      </c>
    </row>
    <row r="1297" spans="25:28" ht="15" customHeight="1" x14ac:dyDescent="0.2">
      <c r="Y1297" s="1">
        <f t="shared" si="84"/>
        <v>0</v>
      </c>
      <c r="Z1297" s="1">
        <f t="shared" si="85"/>
        <v>0</v>
      </c>
      <c r="AA1297" s="1">
        <f t="shared" si="86"/>
        <v>0</v>
      </c>
      <c r="AB1297" s="1">
        <f t="shared" si="87"/>
        <v>0</v>
      </c>
    </row>
    <row r="1298" spans="25:28" ht="15" customHeight="1" x14ac:dyDescent="0.2">
      <c r="Y1298" s="1">
        <f t="shared" si="84"/>
        <v>0</v>
      </c>
      <c r="Z1298" s="1">
        <f t="shared" si="85"/>
        <v>0</v>
      </c>
      <c r="AA1298" s="1">
        <f t="shared" si="86"/>
        <v>0</v>
      </c>
      <c r="AB1298" s="1">
        <f t="shared" si="87"/>
        <v>0</v>
      </c>
    </row>
    <row r="1299" spans="25:28" ht="15" customHeight="1" x14ac:dyDescent="0.2">
      <c r="Y1299" s="1">
        <f t="shared" si="84"/>
        <v>0</v>
      </c>
      <c r="Z1299" s="1">
        <f t="shared" si="85"/>
        <v>0</v>
      </c>
      <c r="AA1299" s="1">
        <f t="shared" si="86"/>
        <v>0</v>
      </c>
      <c r="AB1299" s="1">
        <f t="shared" si="87"/>
        <v>0</v>
      </c>
    </row>
    <row r="1300" spans="25:28" ht="15" customHeight="1" x14ac:dyDescent="0.2">
      <c r="Y1300" s="1">
        <f t="shared" si="84"/>
        <v>0</v>
      </c>
      <c r="Z1300" s="1">
        <f t="shared" si="85"/>
        <v>0</v>
      </c>
      <c r="AA1300" s="1">
        <f t="shared" si="86"/>
        <v>0</v>
      </c>
      <c r="AB1300" s="1">
        <f t="shared" si="87"/>
        <v>0</v>
      </c>
    </row>
    <row r="1301" spans="25:28" ht="15" customHeight="1" x14ac:dyDescent="0.2">
      <c r="Y1301" s="1">
        <f t="shared" si="84"/>
        <v>0</v>
      </c>
      <c r="Z1301" s="1">
        <f t="shared" si="85"/>
        <v>0</v>
      </c>
      <c r="AA1301" s="1">
        <f t="shared" si="86"/>
        <v>0</v>
      </c>
      <c r="AB1301" s="1">
        <f t="shared" si="87"/>
        <v>0</v>
      </c>
    </row>
    <row r="1302" spans="25:28" ht="15" customHeight="1" x14ac:dyDescent="0.2">
      <c r="Y1302" s="1">
        <f t="shared" si="84"/>
        <v>0</v>
      </c>
      <c r="Z1302" s="1">
        <f t="shared" si="85"/>
        <v>0</v>
      </c>
      <c r="AA1302" s="1">
        <f t="shared" si="86"/>
        <v>0</v>
      </c>
      <c r="AB1302" s="1">
        <f t="shared" si="87"/>
        <v>0</v>
      </c>
    </row>
    <row r="1303" spans="25:28" ht="15" customHeight="1" x14ac:dyDescent="0.2">
      <c r="Y1303" s="1">
        <f t="shared" si="84"/>
        <v>0</v>
      </c>
      <c r="Z1303" s="1">
        <f t="shared" si="85"/>
        <v>0</v>
      </c>
      <c r="AA1303" s="1">
        <f t="shared" si="86"/>
        <v>0</v>
      </c>
      <c r="AB1303" s="1">
        <f t="shared" si="87"/>
        <v>0</v>
      </c>
    </row>
    <row r="1304" spans="25:28" ht="15" customHeight="1" x14ac:dyDescent="0.2">
      <c r="Y1304" s="1">
        <f t="shared" si="84"/>
        <v>0</v>
      </c>
      <c r="Z1304" s="1">
        <f t="shared" si="85"/>
        <v>0</v>
      </c>
      <c r="AA1304" s="1">
        <f t="shared" si="86"/>
        <v>0</v>
      </c>
      <c r="AB1304" s="1">
        <f t="shared" si="87"/>
        <v>0</v>
      </c>
    </row>
    <row r="1305" spans="25:28" ht="15" customHeight="1" x14ac:dyDescent="0.2">
      <c r="Y1305" s="1">
        <f t="shared" si="84"/>
        <v>0</v>
      </c>
      <c r="Z1305" s="1">
        <f t="shared" si="85"/>
        <v>0</v>
      </c>
      <c r="AA1305" s="1">
        <f t="shared" si="86"/>
        <v>0</v>
      </c>
      <c r="AB1305" s="1">
        <f t="shared" si="87"/>
        <v>0</v>
      </c>
    </row>
    <row r="1306" spans="25:28" ht="15" customHeight="1" x14ac:dyDescent="0.2">
      <c r="Y1306" s="1">
        <f t="shared" si="84"/>
        <v>0</v>
      </c>
      <c r="Z1306" s="1">
        <f t="shared" si="85"/>
        <v>0</v>
      </c>
      <c r="AA1306" s="1">
        <f t="shared" si="86"/>
        <v>0</v>
      </c>
      <c r="AB1306" s="1">
        <f t="shared" si="87"/>
        <v>0</v>
      </c>
    </row>
    <row r="1307" spans="25:28" ht="15" customHeight="1" x14ac:dyDescent="0.2">
      <c r="Y1307" s="1">
        <f t="shared" si="84"/>
        <v>0</v>
      </c>
      <c r="Z1307" s="1">
        <f t="shared" si="85"/>
        <v>0</v>
      </c>
      <c r="AA1307" s="1">
        <f t="shared" si="86"/>
        <v>0</v>
      </c>
      <c r="AB1307" s="1">
        <f t="shared" si="87"/>
        <v>0</v>
      </c>
    </row>
    <row r="1308" spans="25:28" ht="15" customHeight="1" x14ac:dyDescent="0.2">
      <c r="Y1308" s="1">
        <f t="shared" si="84"/>
        <v>0</v>
      </c>
      <c r="Z1308" s="1">
        <f t="shared" si="85"/>
        <v>0</v>
      </c>
      <c r="AA1308" s="1">
        <f t="shared" si="86"/>
        <v>0</v>
      </c>
      <c r="AB1308" s="1">
        <f t="shared" si="87"/>
        <v>0</v>
      </c>
    </row>
    <row r="1309" spans="25:28" ht="15" customHeight="1" x14ac:dyDescent="0.2">
      <c r="Y1309" s="1">
        <f t="shared" si="84"/>
        <v>0</v>
      </c>
      <c r="Z1309" s="1">
        <f t="shared" si="85"/>
        <v>0</v>
      </c>
      <c r="AA1309" s="1">
        <f t="shared" si="86"/>
        <v>0</v>
      </c>
      <c r="AB1309" s="1">
        <f t="shared" si="87"/>
        <v>0</v>
      </c>
    </row>
    <row r="1310" spans="25:28" ht="15" customHeight="1" x14ac:dyDescent="0.2">
      <c r="Y1310" s="1">
        <f t="shared" si="84"/>
        <v>0</v>
      </c>
      <c r="Z1310" s="1">
        <f t="shared" si="85"/>
        <v>0</v>
      </c>
      <c r="AA1310" s="1">
        <f t="shared" si="86"/>
        <v>0</v>
      </c>
      <c r="AB1310" s="1">
        <f t="shared" si="87"/>
        <v>0</v>
      </c>
    </row>
    <row r="1311" spans="25:28" ht="15" customHeight="1" x14ac:dyDescent="0.2">
      <c r="Y1311" s="1">
        <f t="shared" si="84"/>
        <v>0</v>
      </c>
      <c r="Z1311" s="1">
        <f t="shared" si="85"/>
        <v>0</v>
      </c>
      <c r="AA1311" s="1">
        <f t="shared" si="86"/>
        <v>0</v>
      </c>
      <c r="AB1311" s="1">
        <f t="shared" si="87"/>
        <v>0</v>
      </c>
    </row>
    <row r="1312" spans="25:28" ht="15" customHeight="1" x14ac:dyDescent="0.2">
      <c r="Y1312" s="1">
        <f t="shared" si="84"/>
        <v>0</v>
      </c>
      <c r="Z1312" s="1">
        <f t="shared" si="85"/>
        <v>0</v>
      </c>
      <c r="AA1312" s="1">
        <f t="shared" si="86"/>
        <v>0</v>
      </c>
      <c r="AB1312" s="1">
        <f t="shared" si="87"/>
        <v>0</v>
      </c>
    </row>
    <row r="1313" spans="25:28" ht="15" customHeight="1" x14ac:dyDescent="0.2">
      <c r="Y1313" s="1">
        <f t="shared" si="84"/>
        <v>0</v>
      </c>
      <c r="Z1313" s="1">
        <f t="shared" si="85"/>
        <v>0</v>
      </c>
      <c r="AA1313" s="1">
        <f t="shared" si="86"/>
        <v>0</v>
      </c>
      <c r="AB1313" s="1">
        <f t="shared" si="87"/>
        <v>0</v>
      </c>
    </row>
    <row r="1314" spans="25:28" ht="15" customHeight="1" x14ac:dyDescent="0.2">
      <c r="Y1314" s="1">
        <f t="shared" si="84"/>
        <v>0</v>
      </c>
      <c r="Z1314" s="1">
        <f t="shared" si="85"/>
        <v>0</v>
      </c>
      <c r="AA1314" s="1">
        <f t="shared" si="86"/>
        <v>0</v>
      </c>
      <c r="AB1314" s="1">
        <f t="shared" si="87"/>
        <v>0</v>
      </c>
    </row>
    <row r="1315" spans="25:28" ht="15" customHeight="1" x14ac:dyDescent="0.2">
      <c r="Y1315" s="1">
        <f t="shared" si="84"/>
        <v>0</v>
      </c>
      <c r="Z1315" s="1">
        <f t="shared" si="85"/>
        <v>0</v>
      </c>
      <c r="AA1315" s="1">
        <f t="shared" si="86"/>
        <v>0</v>
      </c>
      <c r="AB1315" s="1">
        <f t="shared" si="87"/>
        <v>0</v>
      </c>
    </row>
    <row r="1316" spans="25:28" ht="15" customHeight="1" x14ac:dyDescent="0.2">
      <c r="Y1316" s="1">
        <f t="shared" si="84"/>
        <v>0</v>
      </c>
      <c r="Z1316" s="1">
        <f t="shared" si="85"/>
        <v>0</v>
      </c>
      <c r="AA1316" s="1">
        <f t="shared" si="86"/>
        <v>0</v>
      </c>
      <c r="AB1316" s="1">
        <f t="shared" si="87"/>
        <v>0</v>
      </c>
    </row>
    <row r="1317" spans="25:28" ht="15" customHeight="1" x14ac:dyDescent="0.2">
      <c r="Y1317" s="1">
        <f t="shared" si="84"/>
        <v>0</v>
      </c>
      <c r="Z1317" s="1">
        <f t="shared" si="85"/>
        <v>0</v>
      </c>
      <c r="AA1317" s="1">
        <f t="shared" si="86"/>
        <v>0</v>
      </c>
      <c r="AB1317" s="1">
        <f t="shared" si="87"/>
        <v>0</v>
      </c>
    </row>
    <row r="1318" spans="25:28" ht="15" customHeight="1" x14ac:dyDescent="0.2">
      <c r="Y1318" s="1">
        <f t="shared" si="84"/>
        <v>0</v>
      </c>
      <c r="Z1318" s="1">
        <f t="shared" si="85"/>
        <v>0</v>
      </c>
      <c r="AA1318" s="1">
        <f t="shared" si="86"/>
        <v>0</v>
      </c>
      <c r="AB1318" s="1">
        <f t="shared" si="87"/>
        <v>0</v>
      </c>
    </row>
    <row r="1319" spans="25:28" ht="15" customHeight="1" x14ac:dyDescent="0.2">
      <c r="Y1319" s="1">
        <f t="shared" si="84"/>
        <v>0</v>
      </c>
      <c r="Z1319" s="1">
        <f t="shared" si="85"/>
        <v>0</v>
      </c>
      <c r="AA1319" s="1">
        <f t="shared" si="86"/>
        <v>0</v>
      </c>
      <c r="AB1319" s="1">
        <f t="shared" si="87"/>
        <v>0</v>
      </c>
    </row>
    <row r="1320" spans="25:28" ht="15" customHeight="1" x14ac:dyDescent="0.2">
      <c r="Y1320" s="1">
        <f t="shared" si="84"/>
        <v>0</v>
      </c>
      <c r="Z1320" s="1">
        <f t="shared" si="85"/>
        <v>0</v>
      </c>
      <c r="AA1320" s="1">
        <f t="shared" si="86"/>
        <v>0</v>
      </c>
      <c r="AB1320" s="1">
        <f t="shared" si="87"/>
        <v>0</v>
      </c>
    </row>
    <row r="1321" spans="25:28" ht="15" customHeight="1" x14ac:dyDescent="0.2">
      <c r="Y1321" s="1">
        <f t="shared" si="84"/>
        <v>0</v>
      </c>
      <c r="Z1321" s="1">
        <f t="shared" si="85"/>
        <v>0</v>
      </c>
      <c r="AA1321" s="1">
        <f t="shared" si="86"/>
        <v>0</v>
      </c>
      <c r="AB1321" s="1">
        <f t="shared" si="87"/>
        <v>0</v>
      </c>
    </row>
    <row r="1322" spans="25:28" ht="15" customHeight="1" x14ac:dyDescent="0.2">
      <c r="Y1322" s="1">
        <f t="shared" si="84"/>
        <v>0</v>
      </c>
      <c r="Z1322" s="1">
        <f t="shared" si="85"/>
        <v>0</v>
      </c>
      <c r="AA1322" s="1">
        <f t="shared" si="86"/>
        <v>0</v>
      </c>
      <c r="AB1322" s="1">
        <f t="shared" si="87"/>
        <v>0</v>
      </c>
    </row>
    <row r="1323" spans="25:28" ht="15" customHeight="1" x14ac:dyDescent="0.2">
      <c r="Y1323" s="1">
        <f t="shared" si="84"/>
        <v>0</v>
      </c>
      <c r="Z1323" s="1">
        <f t="shared" si="85"/>
        <v>0</v>
      </c>
      <c r="AA1323" s="1">
        <f t="shared" si="86"/>
        <v>0</v>
      </c>
      <c r="AB1323" s="1">
        <f t="shared" si="87"/>
        <v>0</v>
      </c>
    </row>
    <row r="1324" spans="25:28" ht="15" customHeight="1" x14ac:dyDescent="0.2">
      <c r="Y1324" s="1">
        <f t="shared" si="84"/>
        <v>0</v>
      </c>
      <c r="Z1324" s="1">
        <f t="shared" si="85"/>
        <v>0</v>
      </c>
      <c r="AA1324" s="1">
        <f t="shared" si="86"/>
        <v>0</v>
      </c>
      <c r="AB1324" s="1">
        <f t="shared" si="87"/>
        <v>0</v>
      </c>
    </row>
    <row r="1325" spans="25:28" ht="15" customHeight="1" x14ac:dyDescent="0.2">
      <c r="Y1325" s="1">
        <f t="shared" si="84"/>
        <v>0</v>
      </c>
      <c r="Z1325" s="1">
        <f t="shared" si="85"/>
        <v>0</v>
      </c>
      <c r="AA1325" s="1">
        <f t="shared" si="86"/>
        <v>0</v>
      </c>
      <c r="AB1325" s="1">
        <f t="shared" si="87"/>
        <v>0</v>
      </c>
    </row>
    <row r="1326" spans="25:28" ht="15" customHeight="1" x14ac:dyDescent="0.2">
      <c r="Y1326" s="1">
        <f t="shared" si="84"/>
        <v>0</v>
      </c>
      <c r="Z1326" s="1">
        <f t="shared" si="85"/>
        <v>0</v>
      </c>
      <c r="AA1326" s="1">
        <f t="shared" si="86"/>
        <v>0</v>
      </c>
      <c r="AB1326" s="1">
        <f t="shared" si="87"/>
        <v>0</v>
      </c>
    </row>
    <row r="1327" spans="25:28" ht="15" customHeight="1" x14ac:dyDescent="0.2">
      <c r="Y1327" s="1">
        <f t="shared" si="84"/>
        <v>0</v>
      </c>
      <c r="Z1327" s="1">
        <f t="shared" si="85"/>
        <v>0</v>
      </c>
      <c r="AA1327" s="1">
        <f t="shared" si="86"/>
        <v>0</v>
      </c>
      <c r="AB1327" s="1">
        <f t="shared" si="87"/>
        <v>0</v>
      </c>
    </row>
    <row r="1328" spans="25:28" ht="15" customHeight="1" x14ac:dyDescent="0.2">
      <c r="Y1328" s="1">
        <f t="shared" si="84"/>
        <v>0</v>
      </c>
      <c r="Z1328" s="1">
        <f t="shared" si="85"/>
        <v>0</v>
      </c>
      <c r="AA1328" s="1">
        <f t="shared" si="86"/>
        <v>0</v>
      </c>
      <c r="AB1328" s="1">
        <f t="shared" si="87"/>
        <v>0</v>
      </c>
    </row>
    <row r="1329" spans="25:28" ht="15" customHeight="1" x14ac:dyDescent="0.2">
      <c r="Y1329" s="1">
        <f t="shared" si="84"/>
        <v>0</v>
      </c>
      <c r="Z1329" s="1">
        <f t="shared" si="85"/>
        <v>0</v>
      </c>
      <c r="AA1329" s="1">
        <f t="shared" si="86"/>
        <v>0</v>
      </c>
      <c r="AB1329" s="1">
        <f t="shared" si="87"/>
        <v>0</v>
      </c>
    </row>
    <row r="1330" spans="25:28" ht="15" customHeight="1" x14ac:dyDescent="0.2">
      <c r="Y1330" s="1">
        <f t="shared" si="84"/>
        <v>0</v>
      </c>
      <c r="Z1330" s="1">
        <f t="shared" si="85"/>
        <v>0</v>
      </c>
      <c r="AA1330" s="1">
        <f t="shared" si="86"/>
        <v>0</v>
      </c>
      <c r="AB1330" s="1">
        <f t="shared" si="87"/>
        <v>0</v>
      </c>
    </row>
    <row r="1331" spans="25:28" ht="15" customHeight="1" x14ac:dyDescent="0.2">
      <c r="Y1331" s="1">
        <f t="shared" si="84"/>
        <v>0</v>
      </c>
      <c r="Z1331" s="1">
        <f t="shared" si="85"/>
        <v>0</v>
      </c>
      <c r="AA1331" s="1">
        <f t="shared" si="86"/>
        <v>0</v>
      </c>
      <c r="AB1331" s="1">
        <f t="shared" si="87"/>
        <v>0</v>
      </c>
    </row>
    <row r="1332" spans="25:28" ht="15" customHeight="1" x14ac:dyDescent="0.2">
      <c r="Y1332" s="1">
        <f t="shared" si="84"/>
        <v>0</v>
      </c>
      <c r="Z1332" s="1">
        <f t="shared" si="85"/>
        <v>0</v>
      </c>
      <c r="AA1332" s="1">
        <f t="shared" si="86"/>
        <v>0</v>
      </c>
      <c r="AB1332" s="1">
        <f t="shared" si="87"/>
        <v>0</v>
      </c>
    </row>
    <row r="1333" spans="25:28" ht="15" customHeight="1" x14ac:dyDescent="0.2">
      <c r="Y1333" s="1">
        <f t="shared" si="84"/>
        <v>0</v>
      </c>
      <c r="Z1333" s="1">
        <f t="shared" si="85"/>
        <v>0</v>
      </c>
      <c r="AA1333" s="1">
        <f t="shared" si="86"/>
        <v>0</v>
      </c>
      <c r="AB1333" s="1">
        <f t="shared" si="87"/>
        <v>0</v>
      </c>
    </row>
    <row r="1334" spans="25:28" ht="15" customHeight="1" x14ac:dyDescent="0.2">
      <c r="Y1334" s="1">
        <f t="shared" si="84"/>
        <v>0</v>
      </c>
      <c r="Z1334" s="1">
        <f t="shared" si="85"/>
        <v>0</v>
      </c>
      <c r="AA1334" s="1">
        <f t="shared" si="86"/>
        <v>0</v>
      </c>
      <c r="AB1334" s="1">
        <f t="shared" si="87"/>
        <v>0</v>
      </c>
    </row>
    <row r="1335" spans="25:28" ht="15" customHeight="1" x14ac:dyDescent="0.2">
      <c r="Y1335" s="1">
        <f t="shared" si="84"/>
        <v>0</v>
      </c>
      <c r="Z1335" s="1">
        <f t="shared" si="85"/>
        <v>0</v>
      </c>
      <c r="AA1335" s="1">
        <f t="shared" si="86"/>
        <v>0</v>
      </c>
      <c r="AB1335" s="1">
        <f t="shared" si="87"/>
        <v>0</v>
      </c>
    </row>
    <row r="1336" spans="25:28" ht="15" customHeight="1" x14ac:dyDescent="0.2">
      <c r="Y1336" s="1">
        <f t="shared" si="84"/>
        <v>0</v>
      </c>
      <c r="Z1336" s="1">
        <f t="shared" si="85"/>
        <v>0</v>
      </c>
      <c r="AA1336" s="1">
        <f t="shared" si="86"/>
        <v>0</v>
      </c>
      <c r="AB1336" s="1">
        <f t="shared" si="87"/>
        <v>0</v>
      </c>
    </row>
    <row r="1337" spans="25:28" ht="15" customHeight="1" x14ac:dyDescent="0.2">
      <c r="Y1337" s="1">
        <f t="shared" si="84"/>
        <v>0</v>
      </c>
      <c r="Z1337" s="1">
        <f t="shared" si="85"/>
        <v>0</v>
      </c>
      <c r="AA1337" s="1">
        <f t="shared" si="86"/>
        <v>0</v>
      </c>
      <c r="AB1337" s="1">
        <f t="shared" si="87"/>
        <v>0</v>
      </c>
    </row>
    <row r="1338" spans="25:28" ht="15" customHeight="1" x14ac:dyDescent="0.2">
      <c r="Y1338" s="1">
        <f t="shared" si="84"/>
        <v>0</v>
      </c>
      <c r="Z1338" s="1">
        <f t="shared" si="85"/>
        <v>0</v>
      </c>
      <c r="AA1338" s="1">
        <f t="shared" si="86"/>
        <v>0</v>
      </c>
      <c r="AB1338" s="1">
        <f t="shared" si="87"/>
        <v>0</v>
      </c>
    </row>
    <row r="1339" spans="25:28" ht="15" customHeight="1" x14ac:dyDescent="0.2">
      <c r="Y1339" s="1">
        <f t="shared" si="84"/>
        <v>0</v>
      </c>
      <c r="Z1339" s="1">
        <f t="shared" si="85"/>
        <v>0</v>
      </c>
      <c r="AA1339" s="1">
        <f t="shared" si="86"/>
        <v>0</v>
      </c>
      <c r="AB1339" s="1">
        <f t="shared" si="87"/>
        <v>0</v>
      </c>
    </row>
    <row r="1340" spans="25:28" ht="15" customHeight="1" x14ac:dyDescent="0.2">
      <c r="Y1340" s="1">
        <f t="shared" si="84"/>
        <v>0</v>
      </c>
      <c r="Z1340" s="1">
        <f t="shared" si="85"/>
        <v>0</v>
      </c>
      <c r="AA1340" s="1">
        <f t="shared" si="86"/>
        <v>0</v>
      </c>
      <c r="AB1340" s="1">
        <f t="shared" si="87"/>
        <v>0</v>
      </c>
    </row>
    <row r="1341" spans="25:28" ht="15" customHeight="1" x14ac:dyDescent="0.2">
      <c r="Y1341" s="1">
        <f t="shared" si="84"/>
        <v>0</v>
      </c>
      <c r="Z1341" s="1">
        <f t="shared" si="85"/>
        <v>0</v>
      </c>
      <c r="AA1341" s="1">
        <f t="shared" si="86"/>
        <v>0</v>
      </c>
      <c r="AB1341" s="1">
        <f t="shared" si="87"/>
        <v>0</v>
      </c>
    </row>
    <row r="1342" spans="25:28" ht="15" customHeight="1" x14ac:dyDescent="0.2">
      <c r="Y1342" s="1">
        <f t="shared" si="84"/>
        <v>0</v>
      </c>
      <c r="Z1342" s="1">
        <f t="shared" si="85"/>
        <v>0</v>
      </c>
      <c r="AA1342" s="1">
        <f t="shared" si="86"/>
        <v>0</v>
      </c>
      <c r="AB1342" s="1">
        <f t="shared" si="87"/>
        <v>0</v>
      </c>
    </row>
    <row r="1343" spans="25:28" ht="15" customHeight="1" x14ac:dyDescent="0.2">
      <c r="Y1343" s="1">
        <f t="shared" si="84"/>
        <v>0</v>
      </c>
      <c r="Z1343" s="1">
        <f t="shared" si="85"/>
        <v>0</v>
      </c>
      <c r="AA1343" s="1">
        <f t="shared" si="86"/>
        <v>0</v>
      </c>
      <c r="AB1343" s="1">
        <f t="shared" si="87"/>
        <v>0</v>
      </c>
    </row>
    <row r="1344" spans="25:28" ht="15" customHeight="1" x14ac:dyDescent="0.2">
      <c r="Y1344" s="1">
        <f t="shared" si="84"/>
        <v>0</v>
      </c>
      <c r="Z1344" s="1">
        <f t="shared" si="85"/>
        <v>0</v>
      </c>
      <c r="AA1344" s="1">
        <f t="shared" si="86"/>
        <v>0</v>
      </c>
      <c r="AB1344" s="1">
        <f t="shared" si="87"/>
        <v>0</v>
      </c>
    </row>
    <row r="1345" spans="25:28" ht="15" customHeight="1" x14ac:dyDescent="0.2">
      <c r="Y1345" s="1">
        <f t="shared" si="84"/>
        <v>0</v>
      </c>
      <c r="Z1345" s="1">
        <f t="shared" si="85"/>
        <v>0</v>
      </c>
      <c r="AA1345" s="1">
        <f t="shared" si="86"/>
        <v>0</v>
      </c>
      <c r="AB1345" s="1">
        <f t="shared" si="87"/>
        <v>0</v>
      </c>
    </row>
    <row r="1346" spans="25:28" ht="15" customHeight="1" x14ac:dyDescent="0.2">
      <c r="Y1346" s="1">
        <f t="shared" si="84"/>
        <v>0</v>
      </c>
      <c r="Z1346" s="1">
        <f t="shared" si="85"/>
        <v>0</v>
      </c>
      <c r="AA1346" s="1">
        <f t="shared" si="86"/>
        <v>0</v>
      </c>
      <c r="AB1346" s="1">
        <f t="shared" si="87"/>
        <v>0</v>
      </c>
    </row>
    <row r="1347" spans="25:28" ht="15" customHeight="1" x14ac:dyDescent="0.2">
      <c r="Y1347" s="1">
        <f t="shared" si="84"/>
        <v>0</v>
      </c>
      <c r="Z1347" s="1">
        <f t="shared" si="85"/>
        <v>0</v>
      </c>
      <c r="AA1347" s="1">
        <f t="shared" si="86"/>
        <v>0</v>
      </c>
      <c r="AB1347" s="1">
        <f t="shared" si="87"/>
        <v>0</v>
      </c>
    </row>
    <row r="1348" spans="25:28" ht="15" customHeight="1" x14ac:dyDescent="0.2">
      <c r="Y1348" s="1">
        <f t="shared" si="84"/>
        <v>0</v>
      </c>
      <c r="Z1348" s="1">
        <f t="shared" si="85"/>
        <v>0</v>
      </c>
      <c r="AA1348" s="1">
        <f t="shared" si="86"/>
        <v>0</v>
      </c>
      <c r="AB1348" s="1">
        <f t="shared" si="87"/>
        <v>0</v>
      </c>
    </row>
    <row r="1349" spans="25:28" ht="15" customHeight="1" x14ac:dyDescent="0.2">
      <c r="Y1349" s="1">
        <f t="shared" si="84"/>
        <v>0</v>
      </c>
      <c r="Z1349" s="1">
        <f t="shared" si="85"/>
        <v>0</v>
      </c>
      <c r="AA1349" s="1">
        <f t="shared" si="86"/>
        <v>0</v>
      </c>
      <c r="AB1349" s="1">
        <f t="shared" si="87"/>
        <v>0</v>
      </c>
    </row>
    <row r="1350" spans="25:28" ht="15" customHeight="1" x14ac:dyDescent="0.2">
      <c r="Y1350" s="1">
        <f t="shared" si="84"/>
        <v>0</v>
      </c>
      <c r="Z1350" s="1">
        <f t="shared" si="85"/>
        <v>0</v>
      </c>
      <c r="AA1350" s="1">
        <f t="shared" si="86"/>
        <v>0</v>
      </c>
      <c r="AB1350" s="1">
        <f t="shared" si="87"/>
        <v>0</v>
      </c>
    </row>
    <row r="1351" spans="25:28" ht="15" customHeight="1" x14ac:dyDescent="0.2">
      <c r="Y1351" s="1">
        <f t="shared" si="84"/>
        <v>0</v>
      </c>
      <c r="Z1351" s="1">
        <f t="shared" si="85"/>
        <v>0</v>
      </c>
      <c r="AA1351" s="1">
        <f t="shared" si="86"/>
        <v>0</v>
      </c>
      <c r="AB1351" s="1">
        <f t="shared" si="87"/>
        <v>0</v>
      </c>
    </row>
    <row r="1352" spans="25:28" ht="15" customHeight="1" x14ac:dyDescent="0.2">
      <c r="Y1352" s="1">
        <f t="shared" si="84"/>
        <v>0</v>
      </c>
      <c r="Z1352" s="1">
        <f t="shared" si="85"/>
        <v>0</v>
      </c>
      <c r="AA1352" s="1">
        <f t="shared" si="86"/>
        <v>0</v>
      </c>
      <c r="AB1352" s="1">
        <f t="shared" si="87"/>
        <v>0</v>
      </c>
    </row>
    <row r="1353" spans="25:28" ht="15" customHeight="1" x14ac:dyDescent="0.2">
      <c r="Y1353" s="1">
        <f t="shared" si="84"/>
        <v>0</v>
      </c>
      <c r="Z1353" s="1">
        <f t="shared" si="85"/>
        <v>0</v>
      </c>
      <c r="AA1353" s="1">
        <f t="shared" si="86"/>
        <v>0</v>
      </c>
      <c r="AB1353" s="1">
        <f t="shared" si="87"/>
        <v>0</v>
      </c>
    </row>
    <row r="1354" spans="25:28" ht="15" customHeight="1" x14ac:dyDescent="0.2">
      <c r="Y1354" s="1">
        <f t="shared" si="84"/>
        <v>0</v>
      </c>
      <c r="Z1354" s="1">
        <f t="shared" si="85"/>
        <v>0</v>
      </c>
      <c r="AA1354" s="1">
        <f t="shared" si="86"/>
        <v>0</v>
      </c>
      <c r="AB1354" s="1">
        <f t="shared" si="87"/>
        <v>0</v>
      </c>
    </row>
    <row r="1355" spans="25:28" ht="15" customHeight="1" x14ac:dyDescent="0.2">
      <c r="Y1355" s="1">
        <f t="shared" si="84"/>
        <v>0</v>
      </c>
      <c r="Z1355" s="1">
        <f t="shared" si="85"/>
        <v>0</v>
      </c>
      <c r="AA1355" s="1">
        <f t="shared" si="86"/>
        <v>0</v>
      </c>
      <c r="AB1355" s="1">
        <f t="shared" si="87"/>
        <v>0</v>
      </c>
    </row>
    <row r="1356" spans="25:28" ht="15" customHeight="1" x14ac:dyDescent="0.2">
      <c r="Y1356" s="1">
        <f t="shared" si="84"/>
        <v>0</v>
      </c>
      <c r="Z1356" s="1">
        <f t="shared" si="85"/>
        <v>0</v>
      </c>
      <c r="AA1356" s="1">
        <f t="shared" si="86"/>
        <v>0</v>
      </c>
      <c r="AB1356" s="1">
        <f t="shared" si="87"/>
        <v>0</v>
      </c>
    </row>
    <row r="1357" spans="25:28" ht="15" customHeight="1" x14ac:dyDescent="0.2">
      <c r="Y1357" s="1">
        <f t="shared" si="84"/>
        <v>0</v>
      </c>
      <c r="Z1357" s="1">
        <f t="shared" si="85"/>
        <v>0</v>
      </c>
      <c r="AA1357" s="1">
        <f t="shared" si="86"/>
        <v>0</v>
      </c>
      <c r="AB1357" s="1">
        <f t="shared" si="87"/>
        <v>0</v>
      </c>
    </row>
    <row r="1358" spans="25:28" ht="15" customHeight="1" x14ac:dyDescent="0.2">
      <c r="Y1358" s="1">
        <f t="shared" ref="Y1358:Y1421" si="88">MAX(0,IFERROR((LEN($T1359)-LEN(SUBSTITUTE($T1359,"Quality of Works / Criteria of Failings:","")))/LEN("Quality of Works / Criteria of Failings:"),0)-IFERROR((LEN($T1359)-LEN(SUBSTITUTE($T1359,"Quality of Works / Criteria of Failings:Compliant","")))/LEN("Quality of Works / Criteria of Failings:Compliant"),0))</f>
        <v>0</v>
      </c>
      <c r="Z1358" s="1">
        <f t="shared" ref="Z1358:Z1421" si="89">IFERROR($Y1359/MAX(1,(LEN($I1359)-LEN(SUBSTITUTE($I1359," Ltd","")))/LEN(" Ltd")),0)</f>
        <v>0</v>
      </c>
      <c r="AA1358" s="1">
        <f t="shared" ref="AA1358:AA1421" si="90">IFERROR(IFERROR((LEN($T1359)-LEN(SUBSTITUTE($T1359,"Quality of Works / Criteria of Failings:","")))/LEN("Quality of Works / Criteria of Failings:"),0)/MAX(1,(LEN($I1359)-LEN(SUBSTITUTE($I1359," Ltd","")))/LEN(" Ltd")),0)</f>
        <v>0</v>
      </c>
      <c r="AB1358" s="1">
        <f t="shared" ref="AB1358:AB1421" si="91">IFERROR(IFERROR((LEN($T1359)-LEN(SUBSTITUTE($T1359,"Quality of Works / Criteria of Failings:Compliant","")))/LEN("Quality of Works / Criteria of Failings:Compliant"),0)/MAX(1,(LEN($I1359)-LEN(SUBSTITUTE($I1359," Ltd","")))/LEN(" Ltd")),0)</f>
        <v>0</v>
      </c>
    </row>
    <row r="1359" spans="25:28" ht="15" customHeight="1" x14ac:dyDescent="0.2">
      <c r="Y1359" s="1">
        <f t="shared" si="88"/>
        <v>0</v>
      </c>
      <c r="Z1359" s="1">
        <f t="shared" si="89"/>
        <v>0</v>
      </c>
      <c r="AA1359" s="1">
        <f t="shared" si="90"/>
        <v>0</v>
      </c>
      <c r="AB1359" s="1">
        <f t="shared" si="91"/>
        <v>0</v>
      </c>
    </row>
    <row r="1360" spans="25:28" ht="15" customHeight="1" x14ac:dyDescent="0.2">
      <c r="Y1360" s="1">
        <f t="shared" si="88"/>
        <v>0</v>
      </c>
      <c r="Z1360" s="1">
        <f t="shared" si="89"/>
        <v>0</v>
      </c>
      <c r="AA1360" s="1">
        <f t="shared" si="90"/>
        <v>0</v>
      </c>
      <c r="AB1360" s="1">
        <f t="shared" si="91"/>
        <v>0</v>
      </c>
    </row>
    <row r="1361" spans="25:28" ht="15" customHeight="1" x14ac:dyDescent="0.2">
      <c r="Y1361" s="1">
        <f t="shared" si="88"/>
        <v>0</v>
      </c>
      <c r="Z1361" s="1">
        <f t="shared" si="89"/>
        <v>0</v>
      </c>
      <c r="AA1361" s="1">
        <f t="shared" si="90"/>
        <v>0</v>
      </c>
      <c r="AB1361" s="1">
        <f t="shared" si="91"/>
        <v>0</v>
      </c>
    </row>
    <row r="1362" spans="25:28" ht="15" customHeight="1" x14ac:dyDescent="0.2">
      <c r="Y1362" s="1">
        <f t="shared" si="88"/>
        <v>0</v>
      </c>
      <c r="Z1362" s="1">
        <f t="shared" si="89"/>
        <v>0</v>
      </c>
      <c r="AA1362" s="1">
        <f t="shared" si="90"/>
        <v>0</v>
      </c>
      <c r="AB1362" s="1">
        <f t="shared" si="91"/>
        <v>0</v>
      </c>
    </row>
    <row r="1363" spans="25:28" ht="15" customHeight="1" x14ac:dyDescent="0.2">
      <c r="Y1363" s="1">
        <f t="shared" si="88"/>
        <v>0</v>
      </c>
      <c r="Z1363" s="1">
        <f t="shared" si="89"/>
        <v>0</v>
      </c>
      <c r="AA1363" s="1">
        <f t="shared" si="90"/>
        <v>0</v>
      </c>
      <c r="AB1363" s="1">
        <f t="shared" si="91"/>
        <v>0</v>
      </c>
    </row>
    <row r="1364" spans="25:28" ht="15" customHeight="1" x14ac:dyDescent="0.2">
      <c r="Y1364" s="1">
        <f t="shared" si="88"/>
        <v>0</v>
      </c>
      <c r="Z1364" s="1">
        <f t="shared" si="89"/>
        <v>0</v>
      </c>
      <c r="AA1364" s="1">
        <f t="shared" si="90"/>
        <v>0</v>
      </c>
      <c r="AB1364" s="1">
        <f t="shared" si="91"/>
        <v>0</v>
      </c>
    </row>
    <row r="1365" spans="25:28" ht="15" customHeight="1" x14ac:dyDescent="0.2">
      <c r="Y1365" s="1">
        <f t="shared" si="88"/>
        <v>0</v>
      </c>
      <c r="Z1365" s="1">
        <f t="shared" si="89"/>
        <v>0</v>
      </c>
      <c r="AA1365" s="1">
        <f t="shared" si="90"/>
        <v>0</v>
      </c>
      <c r="AB1365" s="1">
        <f t="shared" si="91"/>
        <v>0</v>
      </c>
    </row>
    <row r="1366" spans="25:28" ht="15" customHeight="1" x14ac:dyDescent="0.2">
      <c r="Y1366" s="1">
        <f t="shared" si="88"/>
        <v>0</v>
      </c>
      <c r="Z1366" s="1">
        <f t="shared" si="89"/>
        <v>0</v>
      </c>
      <c r="AA1366" s="1">
        <f t="shared" si="90"/>
        <v>0</v>
      </c>
      <c r="AB1366" s="1">
        <f t="shared" si="91"/>
        <v>0</v>
      </c>
    </row>
    <row r="1367" spans="25:28" ht="15" customHeight="1" x14ac:dyDescent="0.2">
      <c r="Y1367" s="1">
        <f t="shared" si="88"/>
        <v>0</v>
      </c>
      <c r="Z1367" s="1">
        <f t="shared" si="89"/>
        <v>0</v>
      </c>
      <c r="AA1367" s="1">
        <f t="shared" si="90"/>
        <v>0</v>
      </c>
      <c r="AB1367" s="1">
        <f t="shared" si="91"/>
        <v>0</v>
      </c>
    </row>
    <row r="1368" spans="25:28" ht="15" customHeight="1" x14ac:dyDescent="0.2">
      <c r="Y1368" s="1">
        <f t="shared" si="88"/>
        <v>0</v>
      </c>
      <c r="Z1368" s="1">
        <f t="shared" si="89"/>
        <v>0</v>
      </c>
      <c r="AA1368" s="1">
        <f t="shared" si="90"/>
        <v>0</v>
      </c>
      <c r="AB1368" s="1">
        <f t="shared" si="91"/>
        <v>0</v>
      </c>
    </row>
    <row r="1369" spans="25:28" ht="15" customHeight="1" x14ac:dyDescent="0.2">
      <c r="Y1369" s="1">
        <f t="shared" si="88"/>
        <v>0</v>
      </c>
      <c r="Z1369" s="1">
        <f t="shared" si="89"/>
        <v>0</v>
      </c>
      <c r="AA1369" s="1">
        <f t="shared" si="90"/>
        <v>0</v>
      </c>
      <c r="AB1369" s="1">
        <f t="shared" si="91"/>
        <v>0</v>
      </c>
    </row>
    <row r="1370" spans="25:28" ht="15" customHeight="1" x14ac:dyDescent="0.2">
      <c r="Y1370" s="1">
        <f t="shared" si="88"/>
        <v>0</v>
      </c>
      <c r="Z1370" s="1">
        <f t="shared" si="89"/>
        <v>0</v>
      </c>
      <c r="AA1370" s="1">
        <f t="shared" si="90"/>
        <v>0</v>
      </c>
      <c r="AB1370" s="1">
        <f t="shared" si="91"/>
        <v>0</v>
      </c>
    </row>
    <row r="1371" spans="25:28" ht="15" customHeight="1" x14ac:dyDescent="0.2">
      <c r="Y1371" s="1">
        <f t="shared" si="88"/>
        <v>0</v>
      </c>
      <c r="Z1371" s="1">
        <f t="shared" si="89"/>
        <v>0</v>
      </c>
      <c r="AA1371" s="1">
        <f t="shared" si="90"/>
        <v>0</v>
      </c>
      <c r="AB1371" s="1">
        <f t="shared" si="91"/>
        <v>0</v>
      </c>
    </row>
    <row r="1372" spans="25:28" ht="15" customHeight="1" x14ac:dyDescent="0.2">
      <c r="Y1372" s="1">
        <f t="shared" si="88"/>
        <v>0</v>
      </c>
      <c r="Z1372" s="1">
        <f t="shared" si="89"/>
        <v>0</v>
      </c>
      <c r="AA1372" s="1">
        <f t="shared" si="90"/>
        <v>0</v>
      </c>
      <c r="AB1372" s="1">
        <f t="shared" si="91"/>
        <v>0</v>
      </c>
    </row>
    <row r="1373" spans="25:28" ht="15" customHeight="1" x14ac:dyDescent="0.2">
      <c r="Y1373" s="1">
        <f t="shared" si="88"/>
        <v>0</v>
      </c>
      <c r="Z1373" s="1">
        <f t="shared" si="89"/>
        <v>0</v>
      </c>
      <c r="AA1373" s="1">
        <f t="shared" si="90"/>
        <v>0</v>
      </c>
      <c r="AB1373" s="1">
        <f t="shared" si="91"/>
        <v>0</v>
      </c>
    </row>
    <row r="1374" spans="25:28" ht="15" customHeight="1" x14ac:dyDescent="0.2">
      <c r="Y1374" s="1">
        <f t="shared" si="88"/>
        <v>0</v>
      </c>
      <c r="Z1374" s="1">
        <f t="shared" si="89"/>
        <v>0</v>
      </c>
      <c r="AA1374" s="1">
        <f t="shared" si="90"/>
        <v>0</v>
      </c>
      <c r="AB1374" s="1">
        <f t="shared" si="91"/>
        <v>0</v>
      </c>
    </row>
    <row r="1375" spans="25:28" ht="15" customHeight="1" x14ac:dyDescent="0.2">
      <c r="Y1375" s="1">
        <f t="shared" si="88"/>
        <v>0</v>
      </c>
      <c r="Z1375" s="1">
        <f t="shared" si="89"/>
        <v>0</v>
      </c>
      <c r="AA1375" s="1">
        <f t="shared" si="90"/>
        <v>0</v>
      </c>
      <c r="AB1375" s="1">
        <f t="shared" si="91"/>
        <v>0</v>
      </c>
    </row>
    <row r="1376" spans="25:28" ht="15" customHeight="1" x14ac:dyDescent="0.2">
      <c r="Y1376" s="1">
        <f t="shared" si="88"/>
        <v>0</v>
      </c>
      <c r="Z1376" s="1">
        <f t="shared" si="89"/>
        <v>0</v>
      </c>
      <c r="AA1376" s="1">
        <f t="shared" si="90"/>
        <v>0</v>
      </c>
      <c r="AB1376" s="1">
        <f t="shared" si="91"/>
        <v>0</v>
      </c>
    </row>
    <row r="1377" spans="25:28" ht="15" customHeight="1" x14ac:dyDescent="0.2">
      <c r="Y1377" s="1">
        <f t="shared" si="88"/>
        <v>0</v>
      </c>
      <c r="Z1377" s="1">
        <f t="shared" si="89"/>
        <v>0</v>
      </c>
      <c r="AA1377" s="1">
        <f t="shared" si="90"/>
        <v>0</v>
      </c>
      <c r="AB1377" s="1">
        <f t="shared" si="91"/>
        <v>0</v>
      </c>
    </row>
    <row r="1378" spans="25:28" ht="15" customHeight="1" x14ac:dyDescent="0.2">
      <c r="Y1378" s="1">
        <f t="shared" si="88"/>
        <v>0</v>
      </c>
      <c r="Z1378" s="1">
        <f t="shared" si="89"/>
        <v>0</v>
      </c>
      <c r="AA1378" s="1">
        <f t="shared" si="90"/>
        <v>0</v>
      </c>
      <c r="AB1378" s="1">
        <f t="shared" si="91"/>
        <v>0</v>
      </c>
    </row>
    <row r="1379" spans="25:28" ht="15" customHeight="1" x14ac:dyDescent="0.2">
      <c r="Y1379" s="1">
        <f t="shared" si="88"/>
        <v>0</v>
      </c>
      <c r="Z1379" s="1">
        <f t="shared" si="89"/>
        <v>0</v>
      </c>
      <c r="AA1379" s="1">
        <f t="shared" si="90"/>
        <v>0</v>
      </c>
      <c r="AB1379" s="1">
        <f t="shared" si="91"/>
        <v>0</v>
      </c>
    </row>
    <row r="1380" spans="25:28" ht="15" customHeight="1" x14ac:dyDescent="0.2">
      <c r="Y1380" s="1">
        <f t="shared" si="88"/>
        <v>0</v>
      </c>
      <c r="Z1380" s="1">
        <f t="shared" si="89"/>
        <v>0</v>
      </c>
      <c r="AA1380" s="1">
        <f t="shared" si="90"/>
        <v>0</v>
      </c>
      <c r="AB1380" s="1">
        <f t="shared" si="91"/>
        <v>0</v>
      </c>
    </row>
    <row r="1381" spans="25:28" ht="15" customHeight="1" x14ac:dyDescent="0.2">
      <c r="Y1381" s="1">
        <f t="shared" si="88"/>
        <v>0</v>
      </c>
      <c r="Z1381" s="1">
        <f t="shared" si="89"/>
        <v>0</v>
      </c>
      <c r="AA1381" s="1">
        <f t="shared" si="90"/>
        <v>0</v>
      </c>
      <c r="AB1381" s="1">
        <f t="shared" si="91"/>
        <v>0</v>
      </c>
    </row>
    <row r="1382" spans="25:28" ht="15" customHeight="1" x14ac:dyDescent="0.2">
      <c r="Y1382" s="1">
        <f t="shared" si="88"/>
        <v>0</v>
      </c>
      <c r="Z1382" s="1">
        <f t="shared" si="89"/>
        <v>0</v>
      </c>
      <c r="AA1382" s="1">
        <f t="shared" si="90"/>
        <v>0</v>
      </c>
      <c r="AB1382" s="1">
        <f t="shared" si="91"/>
        <v>0</v>
      </c>
    </row>
    <row r="1383" spans="25:28" ht="15" customHeight="1" x14ac:dyDescent="0.2">
      <c r="Y1383" s="1">
        <f t="shared" si="88"/>
        <v>0</v>
      </c>
      <c r="Z1383" s="1">
        <f t="shared" si="89"/>
        <v>0</v>
      </c>
      <c r="AA1383" s="1">
        <f t="shared" si="90"/>
        <v>0</v>
      </c>
      <c r="AB1383" s="1">
        <f t="shared" si="91"/>
        <v>0</v>
      </c>
    </row>
    <row r="1384" spans="25:28" ht="15" customHeight="1" x14ac:dyDescent="0.2">
      <c r="Y1384" s="1">
        <f t="shared" si="88"/>
        <v>0</v>
      </c>
      <c r="Z1384" s="1">
        <f t="shared" si="89"/>
        <v>0</v>
      </c>
      <c r="AA1384" s="1">
        <f t="shared" si="90"/>
        <v>0</v>
      </c>
      <c r="AB1384" s="1">
        <f t="shared" si="91"/>
        <v>0</v>
      </c>
    </row>
    <row r="1385" spans="25:28" ht="15" customHeight="1" x14ac:dyDescent="0.2">
      <c r="Y1385" s="1">
        <f t="shared" si="88"/>
        <v>0</v>
      </c>
      <c r="Z1385" s="1">
        <f t="shared" si="89"/>
        <v>0</v>
      </c>
      <c r="AA1385" s="1">
        <f t="shared" si="90"/>
        <v>0</v>
      </c>
      <c r="AB1385" s="1">
        <f t="shared" si="91"/>
        <v>0</v>
      </c>
    </row>
    <row r="1386" spans="25:28" ht="15" customHeight="1" x14ac:dyDescent="0.2">
      <c r="Y1386" s="1">
        <f t="shared" si="88"/>
        <v>0</v>
      </c>
      <c r="Z1386" s="1">
        <f t="shared" si="89"/>
        <v>0</v>
      </c>
      <c r="AA1386" s="1">
        <f t="shared" si="90"/>
        <v>0</v>
      </c>
      <c r="AB1386" s="1">
        <f t="shared" si="91"/>
        <v>0</v>
      </c>
    </row>
    <row r="1387" spans="25:28" ht="15" customHeight="1" x14ac:dyDescent="0.2">
      <c r="Y1387" s="1">
        <f t="shared" si="88"/>
        <v>0</v>
      </c>
      <c r="Z1387" s="1">
        <f t="shared" si="89"/>
        <v>0</v>
      </c>
      <c r="AA1387" s="1">
        <f t="shared" si="90"/>
        <v>0</v>
      </c>
      <c r="AB1387" s="1">
        <f t="shared" si="91"/>
        <v>0</v>
      </c>
    </row>
    <row r="1388" spans="25:28" ht="15" customHeight="1" x14ac:dyDescent="0.2">
      <c r="Y1388" s="1">
        <f t="shared" si="88"/>
        <v>0</v>
      </c>
      <c r="Z1388" s="1">
        <f t="shared" si="89"/>
        <v>0</v>
      </c>
      <c r="AA1388" s="1">
        <f t="shared" si="90"/>
        <v>0</v>
      </c>
      <c r="AB1388" s="1">
        <f t="shared" si="91"/>
        <v>0</v>
      </c>
    </row>
    <row r="1389" spans="25:28" ht="15" customHeight="1" x14ac:dyDescent="0.2">
      <c r="Y1389" s="1">
        <f t="shared" si="88"/>
        <v>0</v>
      </c>
      <c r="Z1389" s="1">
        <f t="shared" si="89"/>
        <v>0</v>
      </c>
      <c r="AA1389" s="1">
        <f t="shared" si="90"/>
        <v>0</v>
      </c>
      <c r="AB1389" s="1">
        <f t="shared" si="91"/>
        <v>0</v>
      </c>
    </row>
    <row r="1390" spans="25:28" ht="15" customHeight="1" x14ac:dyDescent="0.2">
      <c r="Y1390" s="1">
        <f t="shared" si="88"/>
        <v>0</v>
      </c>
      <c r="Z1390" s="1">
        <f t="shared" si="89"/>
        <v>0</v>
      </c>
      <c r="AA1390" s="1">
        <f t="shared" si="90"/>
        <v>0</v>
      </c>
      <c r="AB1390" s="1">
        <f t="shared" si="91"/>
        <v>0</v>
      </c>
    </row>
    <row r="1391" spans="25:28" ht="15" customHeight="1" x14ac:dyDescent="0.2">
      <c r="Y1391" s="1">
        <f t="shared" si="88"/>
        <v>0</v>
      </c>
      <c r="Z1391" s="1">
        <f t="shared" si="89"/>
        <v>0</v>
      </c>
      <c r="AA1391" s="1">
        <f t="shared" si="90"/>
        <v>0</v>
      </c>
      <c r="AB1391" s="1">
        <f t="shared" si="91"/>
        <v>0</v>
      </c>
    </row>
    <row r="1392" spans="25:28" ht="15" customHeight="1" x14ac:dyDescent="0.2">
      <c r="Y1392" s="1">
        <f t="shared" si="88"/>
        <v>0</v>
      </c>
      <c r="Z1392" s="1">
        <f t="shared" si="89"/>
        <v>0</v>
      </c>
      <c r="AA1392" s="1">
        <f t="shared" si="90"/>
        <v>0</v>
      </c>
      <c r="AB1392" s="1">
        <f t="shared" si="91"/>
        <v>0</v>
      </c>
    </row>
    <row r="1393" spans="25:28" ht="15" customHeight="1" x14ac:dyDescent="0.2">
      <c r="Y1393" s="1">
        <f t="shared" si="88"/>
        <v>0</v>
      </c>
      <c r="Z1393" s="1">
        <f t="shared" si="89"/>
        <v>0</v>
      </c>
      <c r="AA1393" s="1">
        <f t="shared" si="90"/>
        <v>0</v>
      </c>
      <c r="AB1393" s="1">
        <f t="shared" si="91"/>
        <v>0</v>
      </c>
    </row>
    <row r="1394" spans="25:28" ht="15" customHeight="1" x14ac:dyDescent="0.2">
      <c r="Y1394" s="1">
        <f t="shared" si="88"/>
        <v>0</v>
      </c>
      <c r="Z1394" s="1">
        <f t="shared" si="89"/>
        <v>0</v>
      </c>
      <c r="AA1394" s="1">
        <f t="shared" si="90"/>
        <v>0</v>
      </c>
      <c r="AB1394" s="1">
        <f t="shared" si="91"/>
        <v>0</v>
      </c>
    </row>
    <row r="1395" spans="25:28" ht="15" customHeight="1" x14ac:dyDescent="0.2">
      <c r="Y1395" s="1">
        <f t="shared" si="88"/>
        <v>0</v>
      </c>
      <c r="Z1395" s="1">
        <f t="shared" si="89"/>
        <v>0</v>
      </c>
      <c r="AA1395" s="1">
        <f t="shared" si="90"/>
        <v>0</v>
      </c>
      <c r="AB1395" s="1">
        <f t="shared" si="91"/>
        <v>0</v>
      </c>
    </row>
    <row r="1396" spans="25:28" ht="15" customHeight="1" x14ac:dyDescent="0.2">
      <c r="Y1396" s="1">
        <f t="shared" si="88"/>
        <v>0</v>
      </c>
      <c r="Z1396" s="1">
        <f t="shared" si="89"/>
        <v>0</v>
      </c>
      <c r="AA1396" s="1">
        <f t="shared" si="90"/>
        <v>0</v>
      </c>
      <c r="AB1396" s="1">
        <f t="shared" si="91"/>
        <v>0</v>
      </c>
    </row>
    <row r="1397" spans="25:28" ht="15" customHeight="1" x14ac:dyDescent="0.2">
      <c r="Y1397" s="1">
        <f t="shared" si="88"/>
        <v>0</v>
      </c>
      <c r="Z1397" s="1">
        <f t="shared" si="89"/>
        <v>0</v>
      </c>
      <c r="AA1397" s="1">
        <f t="shared" si="90"/>
        <v>0</v>
      </c>
      <c r="AB1397" s="1">
        <f t="shared" si="91"/>
        <v>0</v>
      </c>
    </row>
    <row r="1398" spans="25:28" ht="15" customHeight="1" x14ac:dyDescent="0.2">
      <c r="Y1398" s="1">
        <f t="shared" si="88"/>
        <v>0</v>
      </c>
      <c r="Z1398" s="1">
        <f t="shared" si="89"/>
        <v>0</v>
      </c>
      <c r="AA1398" s="1">
        <f t="shared" si="90"/>
        <v>0</v>
      </c>
      <c r="AB1398" s="1">
        <f t="shared" si="91"/>
        <v>0</v>
      </c>
    </row>
    <row r="1399" spans="25:28" ht="15" customHeight="1" x14ac:dyDescent="0.2">
      <c r="Y1399" s="1">
        <f t="shared" si="88"/>
        <v>0</v>
      </c>
      <c r="Z1399" s="1">
        <f t="shared" si="89"/>
        <v>0</v>
      </c>
      <c r="AA1399" s="1">
        <f t="shared" si="90"/>
        <v>0</v>
      </c>
      <c r="AB1399" s="1">
        <f t="shared" si="91"/>
        <v>0</v>
      </c>
    </row>
    <row r="1400" spans="25:28" ht="15" customHeight="1" x14ac:dyDescent="0.2">
      <c r="Y1400" s="1">
        <f t="shared" si="88"/>
        <v>0</v>
      </c>
      <c r="Z1400" s="1">
        <f t="shared" si="89"/>
        <v>0</v>
      </c>
      <c r="AA1400" s="1">
        <f t="shared" si="90"/>
        <v>0</v>
      </c>
      <c r="AB1400" s="1">
        <f t="shared" si="91"/>
        <v>0</v>
      </c>
    </row>
    <row r="1401" spans="25:28" ht="15" customHeight="1" x14ac:dyDescent="0.2">
      <c r="Y1401" s="1">
        <f t="shared" si="88"/>
        <v>0</v>
      </c>
      <c r="Z1401" s="1">
        <f t="shared" si="89"/>
        <v>0</v>
      </c>
      <c r="AA1401" s="1">
        <f t="shared" si="90"/>
        <v>0</v>
      </c>
      <c r="AB1401" s="1">
        <f t="shared" si="91"/>
        <v>0</v>
      </c>
    </row>
    <row r="1402" spans="25:28" ht="15" customHeight="1" x14ac:dyDescent="0.2">
      <c r="Y1402" s="1">
        <f t="shared" si="88"/>
        <v>0</v>
      </c>
      <c r="Z1402" s="1">
        <f t="shared" si="89"/>
        <v>0</v>
      </c>
      <c r="AA1402" s="1">
        <f t="shared" si="90"/>
        <v>0</v>
      </c>
      <c r="AB1402" s="1">
        <f t="shared" si="91"/>
        <v>0</v>
      </c>
    </row>
    <row r="1403" spans="25:28" ht="15" customHeight="1" x14ac:dyDescent="0.2">
      <c r="Y1403" s="1">
        <f t="shared" si="88"/>
        <v>0</v>
      </c>
      <c r="Z1403" s="1">
        <f t="shared" si="89"/>
        <v>0</v>
      </c>
      <c r="AA1403" s="1">
        <f t="shared" si="90"/>
        <v>0</v>
      </c>
      <c r="AB1403" s="1">
        <f t="shared" si="91"/>
        <v>0</v>
      </c>
    </row>
    <row r="1404" spans="25:28" ht="15" customHeight="1" x14ac:dyDescent="0.2">
      <c r="Y1404" s="1">
        <f t="shared" si="88"/>
        <v>0</v>
      </c>
      <c r="Z1404" s="1">
        <f t="shared" si="89"/>
        <v>0</v>
      </c>
      <c r="AA1404" s="1">
        <f t="shared" si="90"/>
        <v>0</v>
      </c>
      <c r="AB1404" s="1">
        <f t="shared" si="91"/>
        <v>0</v>
      </c>
    </row>
    <row r="1405" spans="25:28" ht="15" customHeight="1" x14ac:dyDescent="0.2">
      <c r="Y1405" s="1">
        <f t="shared" si="88"/>
        <v>0</v>
      </c>
      <c r="Z1405" s="1">
        <f t="shared" si="89"/>
        <v>0</v>
      </c>
      <c r="AA1405" s="1">
        <f t="shared" si="90"/>
        <v>0</v>
      </c>
      <c r="AB1405" s="1">
        <f t="shared" si="91"/>
        <v>0</v>
      </c>
    </row>
    <row r="1406" spans="25:28" ht="15" customHeight="1" x14ac:dyDescent="0.2">
      <c r="Y1406" s="1">
        <f t="shared" si="88"/>
        <v>0</v>
      </c>
      <c r="Z1406" s="1">
        <f t="shared" si="89"/>
        <v>0</v>
      </c>
      <c r="AA1406" s="1">
        <f t="shared" si="90"/>
        <v>0</v>
      </c>
      <c r="AB1406" s="1">
        <f t="shared" si="91"/>
        <v>0</v>
      </c>
    </row>
    <row r="1407" spans="25:28" ht="15" customHeight="1" x14ac:dyDescent="0.2">
      <c r="Y1407" s="1">
        <f t="shared" si="88"/>
        <v>0</v>
      </c>
      <c r="Z1407" s="1">
        <f t="shared" si="89"/>
        <v>0</v>
      </c>
      <c r="AA1407" s="1">
        <f t="shared" si="90"/>
        <v>0</v>
      </c>
      <c r="AB1407" s="1">
        <f t="shared" si="91"/>
        <v>0</v>
      </c>
    </row>
    <row r="1408" spans="25:28" ht="15" customHeight="1" x14ac:dyDescent="0.2">
      <c r="Y1408" s="1">
        <f t="shared" si="88"/>
        <v>0</v>
      </c>
      <c r="Z1408" s="1">
        <f t="shared" si="89"/>
        <v>0</v>
      </c>
      <c r="AA1408" s="1">
        <f t="shared" si="90"/>
        <v>0</v>
      </c>
      <c r="AB1408" s="1">
        <f t="shared" si="91"/>
        <v>0</v>
      </c>
    </row>
    <row r="1409" spans="25:28" ht="15" customHeight="1" x14ac:dyDescent="0.2">
      <c r="Y1409" s="1">
        <f t="shared" si="88"/>
        <v>0</v>
      </c>
      <c r="Z1409" s="1">
        <f t="shared" si="89"/>
        <v>0</v>
      </c>
      <c r="AA1409" s="1">
        <f t="shared" si="90"/>
        <v>0</v>
      </c>
      <c r="AB1409" s="1">
        <f t="shared" si="91"/>
        <v>0</v>
      </c>
    </row>
    <row r="1410" spans="25:28" ht="15" customHeight="1" x14ac:dyDescent="0.2">
      <c r="Y1410" s="1">
        <f t="shared" si="88"/>
        <v>0</v>
      </c>
      <c r="Z1410" s="1">
        <f t="shared" si="89"/>
        <v>0</v>
      </c>
      <c r="AA1410" s="1">
        <f t="shared" si="90"/>
        <v>0</v>
      </c>
      <c r="AB1410" s="1">
        <f t="shared" si="91"/>
        <v>0</v>
      </c>
    </row>
    <row r="1411" spans="25:28" ht="15" customHeight="1" x14ac:dyDescent="0.2">
      <c r="Y1411" s="1">
        <f t="shared" si="88"/>
        <v>0</v>
      </c>
      <c r="Z1411" s="1">
        <f t="shared" si="89"/>
        <v>0</v>
      </c>
      <c r="AA1411" s="1">
        <f t="shared" si="90"/>
        <v>0</v>
      </c>
      <c r="AB1411" s="1">
        <f t="shared" si="91"/>
        <v>0</v>
      </c>
    </row>
    <row r="1412" spans="25:28" ht="15" customHeight="1" x14ac:dyDescent="0.2">
      <c r="Y1412" s="1">
        <f t="shared" si="88"/>
        <v>0</v>
      </c>
      <c r="Z1412" s="1">
        <f t="shared" si="89"/>
        <v>0</v>
      </c>
      <c r="AA1412" s="1">
        <f t="shared" si="90"/>
        <v>0</v>
      </c>
      <c r="AB1412" s="1">
        <f t="shared" si="91"/>
        <v>0</v>
      </c>
    </row>
    <row r="1413" spans="25:28" ht="15" customHeight="1" x14ac:dyDescent="0.2">
      <c r="Y1413" s="1">
        <f t="shared" si="88"/>
        <v>0</v>
      </c>
      <c r="Z1413" s="1">
        <f t="shared" si="89"/>
        <v>0</v>
      </c>
      <c r="AA1413" s="1">
        <f t="shared" si="90"/>
        <v>0</v>
      </c>
      <c r="AB1413" s="1">
        <f t="shared" si="91"/>
        <v>0</v>
      </c>
    </row>
    <row r="1414" spans="25:28" ht="15" customHeight="1" x14ac:dyDescent="0.2">
      <c r="Y1414" s="1">
        <f t="shared" si="88"/>
        <v>0</v>
      </c>
      <c r="Z1414" s="1">
        <f t="shared" si="89"/>
        <v>0</v>
      </c>
      <c r="AA1414" s="1">
        <f t="shared" si="90"/>
        <v>0</v>
      </c>
      <c r="AB1414" s="1">
        <f t="shared" si="91"/>
        <v>0</v>
      </c>
    </row>
    <row r="1415" spans="25:28" ht="15" customHeight="1" x14ac:dyDescent="0.2">
      <c r="Y1415" s="1">
        <f t="shared" si="88"/>
        <v>0</v>
      </c>
      <c r="Z1415" s="1">
        <f t="shared" si="89"/>
        <v>0</v>
      </c>
      <c r="AA1415" s="1">
        <f t="shared" si="90"/>
        <v>0</v>
      </c>
      <c r="AB1415" s="1">
        <f t="shared" si="91"/>
        <v>0</v>
      </c>
    </row>
    <row r="1416" spans="25:28" ht="15" customHeight="1" x14ac:dyDescent="0.2">
      <c r="Y1416" s="1">
        <f t="shared" si="88"/>
        <v>0</v>
      </c>
      <c r="Z1416" s="1">
        <f t="shared" si="89"/>
        <v>0</v>
      </c>
      <c r="AA1416" s="1">
        <f t="shared" si="90"/>
        <v>0</v>
      </c>
      <c r="AB1416" s="1">
        <f t="shared" si="91"/>
        <v>0</v>
      </c>
    </row>
    <row r="1417" spans="25:28" ht="15" customHeight="1" x14ac:dyDescent="0.2">
      <c r="Y1417" s="1">
        <f t="shared" si="88"/>
        <v>0</v>
      </c>
      <c r="Z1417" s="1">
        <f t="shared" si="89"/>
        <v>0</v>
      </c>
      <c r="AA1417" s="1">
        <f t="shared" si="90"/>
        <v>0</v>
      </c>
      <c r="AB1417" s="1">
        <f t="shared" si="91"/>
        <v>0</v>
      </c>
    </row>
    <row r="1418" spans="25:28" ht="15" customHeight="1" x14ac:dyDescent="0.2">
      <c r="Y1418" s="1">
        <f t="shared" si="88"/>
        <v>0</v>
      </c>
      <c r="Z1418" s="1">
        <f t="shared" si="89"/>
        <v>0</v>
      </c>
      <c r="AA1418" s="1">
        <f t="shared" si="90"/>
        <v>0</v>
      </c>
      <c r="AB1418" s="1">
        <f t="shared" si="91"/>
        <v>0</v>
      </c>
    </row>
    <row r="1419" spans="25:28" ht="15" customHeight="1" x14ac:dyDescent="0.2">
      <c r="Y1419" s="1">
        <f t="shared" si="88"/>
        <v>0</v>
      </c>
      <c r="Z1419" s="1">
        <f t="shared" si="89"/>
        <v>0</v>
      </c>
      <c r="AA1419" s="1">
        <f t="shared" si="90"/>
        <v>0</v>
      </c>
      <c r="AB1419" s="1">
        <f t="shared" si="91"/>
        <v>0</v>
      </c>
    </row>
    <row r="1420" spans="25:28" ht="15" customHeight="1" x14ac:dyDescent="0.2">
      <c r="Y1420" s="1">
        <f t="shared" si="88"/>
        <v>0</v>
      </c>
      <c r="Z1420" s="1">
        <f t="shared" si="89"/>
        <v>0</v>
      </c>
      <c r="AA1420" s="1">
        <f t="shared" si="90"/>
        <v>0</v>
      </c>
      <c r="AB1420" s="1">
        <f t="shared" si="91"/>
        <v>0</v>
      </c>
    </row>
    <row r="1421" spans="25:28" ht="15" customHeight="1" x14ac:dyDescent="0.2">
      <c r="Y1421" s="1">
        <f t="shared" si="88"/>
        <v>0</v>
      </c>
      <c r="Z1421" s="1">
        <f t="shared" si="89"/>
        <v>0</v>
      </c>
      <c r="AA1421" s="1">
        <f t="shared" si="90"/>
        <v>0</v>
      </c>
      <c r="AB1421" s="1">
        <f t="shared" si="91"/>
        <v>0</v>
      </c>
    </row>
    <row r="1422" spans="25:28" ht="15" customHeight="1" x14ac:dyDescent="0.2">
      <c r="Y1422" s="1">
        <f t="shared" ref="Y1422:Y1485" si="92">MAX(0,IFERROR((LEN($T1423)-LEN(SUBSTITUTE($T1423,"Quality of Works / Criteria of Failings:","")))/LEN("Quality of Works / Criteria of Failings:"),0)-IFERROR((LEN($T1423)-LEN(SUBSTITUTE($T1423,"Quality of Works / Criteria of Failings:Compliant","")))/LEN("Quality of Works / Criteria of Failings:Compliant"),0))</f>
        <v>0</v>
      </c>
      <c r="Z1422" s="1">
        <f t="shared" ref="Z1422:Z1485" si="93">IFERROR($Y1423/MAX(1,(LEN($I1423)-LEN(SUBSTITUTE($I1423," Ltd","")))/LEN(" Ltd")),0)</f>
        <v>0</v>
      </c>
      <c r="AA1422" s="1">
        <f t="shared" ref="AA1422:AA1485" si="94">IFERROR(IFERROR((LEN($T1423)-LEN(SUBSTITUTE($T1423,"Quality of Works / Criteria of Failings:","")))/LEN("Quality of Works / Criteria of Failings:"),0)/MAX(1,(LEN($I1423)-LEN(SUBSTITUTE($I1423," Ltd","")))/LEN(" Ltd")),0)</f>
        <v>0</v>
      </c>
      <c r="AB1422" s="1">
        <f t="shared" ref="AB1422:AB1485" si="95">IFERROR(IFERROR((LEN($T1423)-LEN(SUBSTITUTE($T1423,"Quality of Works / Criteria of Failings:Compliant","")))/LEN("Quality of Works / Criteria of Failings:Compliant"),0)/MAX(1,(LEN($I1423)-LEN(SUBSTITUTE($I1423," Ltd","")))/LEN(" Ltd")),0)</f>
        <v>0</v>
      </c>
    </row>
    <row r="1423" spans="25:28" ht="15" customHeight="1" x14ac:dyDescent="0.2">
      <c r="Y1423" s="1">
        <f t="shared" si="92"/>
        <v>0</v>
      </c>
      <c r="Z1423" s="1">
        <f t="shared" si="93"/>
        <v>0</v>
      </c>
      <c r="AA1423" s="1">
        <f t="shared" si="94"/>
        <v>0</v>
      </c>
      <c r="AB1423" s="1">
        <f t="shared" si="95"/>
        <v>0</v>
      </c>
    </row>
    <row r="1424" spans="25:28" ht="15" customHeight="1" x14ac:dyDescent="0.2">
      <c r="Y1424" s="1">
        <f t="shared" si="92"/>
        <v>0</v>
      </c>
      <c r="Z1424" s="1">
        <f t="shared" si="93"/>
        <v>0</v>
      </c>
      <c r="AA1424" s="1">
        <f t="shared" si="94"/>
        <v>0</v>
      </c>
      <c r="AB1424" s="1">
        <f t="shared" si="95"/>
        <v>0</v>
      </c>
    </row>
    <row r="1425" spans="25:28" ht="15" customHeight="1" x14ac:dyDescent="0.2">
      <c r="Y1425" s="1">
        <f t="shared" si="92"/>
        <v>0</v>
      </c>
      <c r="Z1425" s="1">
        <f t="shared" si="93"/>
        <v>0</v>
      </c>
      <c r="AA1425" s="1">
        <f t="shared" si="94"/>
        <v>0</v>
      </c>
      <c r="AB1425" s="1">
        <f t="shared" si="95"/>
        <v>0</v>
      </c>
    </row>
    <row r="1426" spans="25:28" ht="15" customHeight="1" x14ac:dyDescent="0.2">
      <c r="Y1426" s="1">
        <f t="shared" si="92"/>
        <v>0</v>
      </c>
      <c r="Z1426" s="1">
        <f t="shared" si="93"/>
        <v>0</v>
      </c>
      <c r="AA1426" s="1">
        <f t="shared" si="94"/>
        <v>0</v>
      </c>
      <c r="AB1426" s="1">
        <f t="shared" si="95"/>
        <v>0</v>
      </c>
    </row>
    <row r="1427" spans="25:28" ht="15" customHeight="1" x14ac:dyDescent="0.2">
      <c r="Y1427" s="1">
        <f t="shared" si="92"/>
        <v>0</v>
      </c>
      <c r="Z1427" s="1">
        <f t="shared" si="93"/>
        <v>0</v>
      </c>
      <c r="AA1427" s="1">
        <f t="shared" si="94"/>
        <v>0</v>
      </c>
      <c r="AB1427" s="1">
        <f t="shared" si="95"/>
        <v>0</v>
      </c>
    </row>
    <row r="1428" spans="25:28" ht="15" customHeight="1" x14ac:dyDescent="0.2">
      <c r="Y1428" s="1">
        <f t="shared" si="92"/>
        <v>0</v>
      </c>
      <c r="Z1428" s="1">
        <f t="shared" si="93"/>
        <v>0</v>
      </c>
      <c r="AA1428" s="1">
        <f t="shared" si="94"/>
        <v>0</v>
      </c>
      <c r="AB1428" s="1">
        <f t="shared" si="95"/>
        <v>0</v>
      </c>
    </row>
    <row r="1429" spans="25:28" ht="15" customHeight="1" x14ac:dyDescent="0.2">
      <c r="Y1429" s="1">
        <f t="shared" si="92"/>
        <v>0</v>
      </c>
      <c r="Z1429" s="1">
        <f t="shared" si="93"/>
        <v>0</v>
      </c>
      <c r="AA1429" s="1">
        <f t="shared" si="94"/>
        <v>0</v>
      </c>
      <c r="AB1429" s="1">
        <f t="shared" si="95"/>
        <v>0</v>
      </c>
    </row>
    <row r="1430" spans="25:28" ht="15" customHeight="1" x14ac:dyDescent="0.2">
      <c r="Y1430" s="1">
        <f t="shared" si="92"/>
        <v>0</v>
      </c>
      <c r="Z1430" s="1">
        <f t="shared" si="93"/>
        <v>0</v>
      </c>
      <c r="AA1430" s="1">
        <f t="shared" si="94"/>
        <v>0</v>
      </c>
      <c r="AB1430" s="1">
        <f t="shared" si="95"/>
        <v>0</v>
      </c>
    </row>
    <row r="1431" spans="25:28" ht="15" customHeight="1" x14ac:dyDescent="0.2">
      <c r="Y1431" s="1">
        <f t="shared" si="92"/>
        <v>0</v>
      </c>
      <c r="Z1431" s="1">
        <f t="shared" si="93"/>
        <v>0</v>
      </c>
      <c r="AA1431" s="1">
        <f t="shared" si="94"/>
        <v>0</v>
      </c>
      <c r="AB1431" s="1">
        <f t="shared" si="95"/>
        <v>0</v>
      </c>
    </row>
    <row r="1432" spans="25:28" ht="15" customHeight="1" x14ac:dyDescent="0.2">
      <c r="Y1432" s="1">
        <f t="shared" si="92"/>
        <v>0</v>
      </c>
      <c r="Z1432" s="1">
        <f t="shared" si="93"/>
        <v>0</v>
      </c>
      <c r="AA1432" s="1">
        <f t="shared" si="94"/>
        <v>0</v>
      </c>
      <c r="AB1432" s="1">
        <f t="shared" si="95"/>
        <v>0</v>
      </c>
    </row>
    <row r="1433" spans="25:28" ht="15" customHeight="1" x14ac:dyDescent="0.2">
      <c r="Y1433" s="1">
        <f t="shared" si="92"/>
        <v>0</v>
      </c>
      <c r="Z1433" s="1">
        <f t="shared" si="93"/>
        <v>0</v>
      </c>
      <c r="AA1433" s="1">
        <f t="shared" si="94"/>
        <v>0</v>
      </c>
      <c r="AB1433" s="1">
        <f t="shared" si="95"/>
        <v>0</v>
      </c>
    </row>
    <row r="1434" spans="25:28" ht="15" customHeight="1" x14ac:dyDescent="0.2">
      <c r="Y1434" s="1">
        <f t="shared" si="92"/>
        <v>0</v>
      </c>
      <c r="Z1434" s="1">
        <f t="shared" si="93"/>
        <v>0</v>
      </c>
      <c r="AA1434" s="1">
        <f t="shared" si="94"/>
        <v>0</v>
      </c>
      <c r="AB1434" s="1">
        <f t="shared" si="95"/>
        <v>0</v>
      </c>
    </row>
    <row r="1435" spans="25:28" ht="15" customHeight="1" x14ac:dyDescent="0.2">
      <c r="Y1435" s="1">
        <f t="shared" si="92"/>
        <v>0</v>
      </c>
      <c r="Z1435" s="1">
        <f t="shared" si="93"/>
        <v>0</v>
      </c>
      <c r="AA1435" s="1">
        <f t="shared" si="94"/>
        <v>0</v>
      </c>
      <c r="AB1435" s="1">
        <f t="shared" si="95"/>
        <v>0</v>
      </c>
    </row>
    <row r="1436" spans="25:28" ht="15" customHeight="1" x14ac:dyDescent="0.2">
      <c r="Y1436" s="1">
        <f t="shared" si="92"/>
        <v>0</v>
      </c>
      <c r="Z1436" s="1">
        <f t="shared" si="93"/>
        <v>0</v>
      </c>
      <c r="AA1436" s="1">
        <f t="shared" si="94"/>
        <v>0</v>
      </c>
      <c r="AB1436" s="1">
        <f t="shared" si="95"/>
        <v>0</v>
      </c>
    </row>
    <row r="1437" spans="25:28" ht="15" customHeight="1" x14ac:dyDescent="0.2">
      <c r="Y1437" s="1">
        <f t="shared" si="92"/>
        <v>0</v>
      </c>
      <c r="Z1437" s="1">
        <f t="shared" si="93"/>
        <v>0</v>
      </c>
      <c r="AA1437" s="1">
        <f t="shared" si="94"/>
        <v>0</v>
      </c>
      <c r="AB1437" s="1">
        <f t="shared" si="95"/>
        <v>0</v>
      </c>
    </row>
    <row r="1438" spans="25:28" ht="15" customHeight="1" x14ac:dyDescent="0.2">
      <c r="Y1438" s="1">
        <f t="shared" si="92"/>
        <v>0</v>
      </c>
      <c r="Z1438" s="1">
        <f t="shared" si="93"/>
        <v>0</v>
      </c>
      <c r="AA1438" s="1">
        <f t="shared" si="94"/>
        <v>0</v>
      </c>
      <c r="AB1438" s="1">
        <f t="shared" si="95"/>
        <v>0</v>
      </c>
    </row>
    <row r="1439" spans="25:28" ht="15" customHeight="1" x14ac:dyDescent="0.2">
      <c r="Y1439" s="1">
        <f t="shared" si="92"/>
        <v>0</v>
      </c>
      <c r="Z1439" s="1">
        <f t="shared" si="93"/>
        <v>0</v>
      </c>
      <c r="AA1439" s="1">
        <f t="shared" si="94"/>
        <v>0</v>
      </c>
      <c r="AB1439" s="1">
        <f t="shared" si="95"/>
        <v>0</v>
      </c>
    </row>
    <row r="1440" spans="25:28" ht="15" customHeight="1" x14ac:dyDescent="0.2">
      <c r="Y1440" s="1">
        <f t="shared" si="92"/>
        <v>0</v>
      </c>
      <c r="Z1440" s="1">
        <f t="shared" si="93"/>
        <v>0</v>
      </c>
      <c r="AA1440" s="1">
        <f t="shared" si="94"/>
        <v>0</v>
      </c>
      <c r="AB1440" s="1">
        <f t="shared" si="95"/>
        <v>0</v>
      </c>
    </row>
    <row r="1441" spans="25:28" ht="15" customHeight="1" x14ac:dyDescent="0.2">
      <c r="Y1441" s="1">
        <f t="shared" si="92"/>
        <v>0</v>
      </c>
      <c r="Z1441" s="1">
        <f t="shared" si="93"/>
        <v>0</v>
      </c>
      <c r="AA1441" s="1">
        <f t="shared" si="94"/>
        <v>0</v>
      </c>
      <c r="AB1441" s="1">
        <f t="shared" si="95"/>
        <v>0</v>
      </c>
    </row>
    <row r="1442" spans="25:28" ht="15" customHeight="1" x14ac:dyDescent="0.2">
      <c r="Y1442" s="1">
        <f t="shared" si="92"/>
        <v>0</v>
      </c>
      <c r="Z1442" s="1">
        <f t="shared" si="93"/>
        <v>0</v>
      </c>
      <c r="AA1442" s="1">
        <f t="shared" si="94"/>
        <v>0</v>
      </c>
      <c r="AB1442" s="1">
        <f t="shared" si="95"/>
        <v>0</v>
      </c>
    </row>
    <row r="1443" spans="25:28" ht="15" customHeight="1" x14ac:dyDescent="0.2">
      <c r="Y1443" s="1">
        <f t="shared" si="92"/>
        <v>0</v>
      </c>
      <c r="Z1443" s="1">
        <f t="shared" si="93"/>
        <v>0</v>
      </c>
      <c r="AA1443" s="1">
        <f t="shared" si="94"/>
        <v>0</v>
      </c>
      <c r="AB1443" s="1">
        <f t="shared" si="95"/>
        <v>0</v>
      </c>
    </row>
    <row r="1444" spans="25:28" ht="15" customHeight="1" x14ac:dyDescent="0.2">
      <c r="Y1444" s="1">
        <f t="shared" si="92"/>
        <v>0</v>
      </c>
      <c r="Z1444" s="1">
        <f t="shared" si="93"/>
        <v>0</v>
      </c>
      <c r="AA1444" s="1">
        <f t="shared" si="94"/>
        <v>0</v>
      </c>
      <c r="AB1444" s="1">
        <f t="shared" si="95"/>
        <v>0</v>
      </c>
    </row>
    <row r="1445" spans="25:28" ht="15" customHeight="1" x14ac:dyDescent="0.2">
      <c r="Y1445" s="1">
        <f t="shared" si="92"/>
        <v>0</v>
      </c>
      <c r="Z1445" s="1">
        <f t="shared" si="93"/>
        <v>0</v>
      </c>
      <c r="AA1445" s="1">
        <f t="shared" si="94"/>
        <v>0</v>
      </c>
      <c r="AB1445" s="1">
        <f t="shared" si="95"/>
        <v>0</v>
      </c>
    </row>
    <row r="1446" spans="25:28" ht="15" customHeight="1" x14ac:dyDescent="0.2">
      <c r="Y1446" s="1">
        <f t="shared" si="92"/>
        <v>0</v>
      </c>
      <c r="Z1446" s="1">
        <f t="shared" si="93"/>
        <v>0</v>
      </c>
      <c r="AA1446" s="1">
        <f t="shared" si="94"/>
        <v>0</v>
      </c>
      <c r="AB1446" s="1">
        <f t="shared" si="95"/>
        <v>0</v>
      </c>
    </row>
    <row r="1447" spans="25:28" ht="15" customHeight="1" x14ac:dyDescent="0.2">
      <c r="Y1447" s="1">
        <f t="shared" si="92"/>
        <v>0</v>
      </c>
      <c r="Z1447" s="1">
        <f t="shared" si="93"/>
        <v>0</v>
      </c>
      <c r="AA1447" s="1">
        <f t="shared" si="94"/>
        <v>0</v>
      </c>
      <c r="AB1447" s="1">
        <f t="shared" si="95"/>
        <v>0</v>
      </c>
    </row>
    <row r="1448" spans="25:28" ht="15" customHeight="1" x14ac:dyDescent="0.2">
      <c r="Y1448" s="1">
        <f t="shared" si="92"/>
        <v>0</v>
      </c>
      <c r="Z1448" s="1">
        <f t="shared" si="93"/>
        <v>0</v>
      </c>
      <c r="AA1448" s="1">
        <f t="shared" si="94"/>
        <v>0</v>
      </c>
      <c r="AB1448" s="1">
        <f t="shared" si="95"/>
        <v>0</v>
      </c>
    </row>
    <row r="1449" spans="25:28" ht="15" customHeight="1" x14ac:dyDescent="0.2">
      <c r="Y1449" s="1">
        <f t="shared" si="92"/>
        <v>0</v>
      </c>
      <c r="Z1449" s="1">
        <f t="shared" si="93"/>
        <v>0</v>
      </c>
      <c r="AA1449" s="1">
        <f t="shared" si="94"/>
        <v>0</v>
      </c>
      <c r="AB1449" s="1">
        <f t="shared" si="95"/>
        <v>0</v>
      </c>
    </row>
    <row r="1450" spans="25:28" ht="15" customHeight="1" x14ac:dyDescent="0.2">
      <c r="Y1450" s="1">
        <f t="shared" si="92"/>
        <v>0</v>
      </c>
      <c r="Z1450" s="1">
        <f t="shared" si="93"/>
        <v>0</v>
      </c>
      <c r="AA1450" s="1">
        <f t="shared" si="94"/>
        <v>0</v>
      </c>
      <c r="AB1450" s="1">
        <f t="shared" si="95"/>
        <v>0</v>
      </c>
    </row>
    <row r="1451" spans="25:28" ht="15" customHeight="1" x14ac:dyDescent="0.2">
      <c r="Y1451" s="1">
        <f t="shared" si="92"/>
        <v>0</v>
      </c>
      <c r="Z1451" s="1">
        <f t="shared" si="93"/>
        <v>0</v>
      </c>
      <c r="AA1451" s="1">
        <f t="shared" si="94"/>
        <v>0</v>
      </c>
      <c r="AB1451" s="1">
        <f t="shared" si="95"/>
        <v>0</v>
      </c>
    </row>
    <row r="1452" spans="25:28" ht="15" customHeight="1" x14ac:dyDescent="0.2">
      <c r="Y1452" s="1">
        <f t="shared" si="92"/>
        <v>0</v>
      </c>
      <c r="Z1452" s="1">
        <f t="shared" si="93"/>
        <v>0</v>
      </c>
      <c r="AA1452" s="1">
        <f t="shared" si="94"/>
        <v>0</v>
      </c>
      <c r="AB1452" s="1">
        <f t="shared" si="95"/>
        <v>0</v>
      </c>
    </row>
    <row r="1453" spans="25:28" ht="15" customHeight="1" x14ac:dyDescent="0.2">
      <c r="Y1453" s="1">
        <f t="shared" si="92"/>
        <v>0</v>
      </c>
      <c r="Z1453" s="1">
        <f t="shared" si="93"/>
        <v>0</v>
      </c>
      <c r="AA1453" s="1">
        <f t="shared" si="94"/>
        <v>0</v>
      </c>
      <c r="AB1453" s="1">
        <f t="shared" si="95"/>
        <v>0</v>
      </c>
    </row>
    <row r="1454" spans="25:28" ht="15" customHeight="1" x14ac:dyDescent="0.2">
      <c r="Y1454" s="1">
        <f t="shared" si="92"/>
        <v>0</v>
      </c>
      <c r="Z1454" s="1">
        <f t="shared" si="93"/>
        <v>0</v>
      </c>
      <c r="AA1454" s="1">
        <f t="shared" si="94"/>
        <v>0</v>
      </c>
      <c r="AB1454" s="1">
        <f t="shared" si="95"/>
        <v>0</v>
      </c>
    </row>
    <row r="1455" spans="25:28" ht="15" customHeight="1" x14ac:dyDescent="0.2">
      <c r="Y1455" s="1">
        <f t="shared" si="92"/>
        <v>0</v>
      </c>
      <c r="Z1455" s="1">
        <f t="shared" si="93"/>
        <v>0</v>
      </c>
      <c r="AA1455" s="1">
        <f t="shared" si="94"/>
        <v>0</v>
      </c>
      <c r="AB1455" s="1">
        <f t="shared" si="95"/>
        <v>0</v>
      </c>
    </row>
    <row r="1456" spans="25:28" ht="15" customHeight="1" x14ac:dyDescent="0.2">
      <c r="Y1456" s="1">
        <f t="shared" si="92"/>
        <v>0</v>
      </c>
      <c r="Z1456" s="1">
        <f t="shared" si="93"/>
        <v>0</v>
      </c>
      <c r="AA1456" s="1">
        <f t="shared" si="94"/>
        <v>0</v>
      </c>
      <c r="AB1456" s="1">
        <f t="shared" si="95"/>
        <v>0</v>
      </c>
    </row>
    <row r="1457" spans="25:28" ht="15" customHeight="1" x14ac:dyDescent="0.2">
      <c r="Y1457" s="1">
        <f t="shared" si="92"/>
        <v>0</v>
      </c>
      <c r="Z1457" s="1">
        <f t="shared" si="93"/>
        <v>0</v>
      </c>
      <c r="AA1457" s="1">
        <f t="shared" si="94"/>
        <v>0</v>
      </c>
      <c r="AB1457" s="1">
        <f t="shared" si="95"/>
        <v>0</v>
      </c>
    </row>
    <row r="1458" spans="25:28" ht="15" customHeight="1" x14ac:dyDescent="0.2">
      <c r="Y1458" s="1">
        <f t="shared" si="92"/>
        <v>0</v>
      </c>
      <c r="Z1458" s="1">
        <f t="shared" si="93"/>
        <v>0</v>
      </c>
      <c r="AA1458" s="1">
        <f t="shared" si="94"/>
        <v>0</v>
      </c>
      <c r="AB1458" s="1">
        <f t="shared" si="95"/>
        <v>0</v>
      </c>
    </row>
    <row r="1459" spans="25:28" ht="15" customHeight="1" x14ac:dyDescent="0.2">
      <c r="Y1459" s="1">
        <f t="shared" si="92"/>
        <v>0</v>
      </c>
      <c r="Z1459" s="1">
        <f t="shared" si="93"/>
        <v>0</v>
      </c>
      <c r="AA1459" s="1">
        <f t="shared" si="94"/>
        <v>0</v>
      </c>
      <c r="AB1459" s="1">
        <f t="shared" si="95"/>
        <v>0</v>
      </c>
    </row>
    <row r="1460" spans="25:28" ht="15" customHeight="1" x14ac:dyDescent="0.2">
      <c r="Y1460" s="1">
        <f t="shared" si="92"/>
        <v>0</v>
      </c>
      <c r="Z1460" s="1">
        <f t="shared" si="93"/>
        <v>0</v>
      </c>
      <c r="AA1460" s="1">
        <f t="shared" si="94"/>
        <v>0</v>
      </c>
      <c r="AB1460" s="1">
        <f t="shared" si="95"/>
        <v>0</v>
      </c>
    </row>
    <row r="1461" spans="25:28" ht="15" customHeight="1" x14ac:dyDescent="0.2">
      <c r="Y1461" s="1">
        <f t="shared" si="92"/>
        <v>0</v>
      </c>
      <c r="Z1461" s="1">
        <f t="shared" si="93"/>
        <v>0</v>
      </c>
      <c r="AA1461" s="1">
        <f t="shared" si="94"/>
        <v>0</v>
      </c>
      <c r="AB1461" s="1">
        <f t="shared" si="95"/>
        <v>0</v>
      </c>
    </row>
    <row r="1462" spans="25:28" ht="15" customHeight="1" x14ac:dyDescent="0.2">
      <c r="Y1462" s="1">
        <f t="shared" si="92"/>
        <v>0</v>
      </c>
      <c r="Z1462" s="1">
        <f t="shared" si="93"/>
        <v>0</v>
      </c>
      <c r="AA1462" s="1">
        <f t="shared" si="94"/>
        <v>0</v>
      </c>
      <c r="AB1462" s="1">
        <f t="shared" si="95"/>
        <v>0</v>
      </c>
    </row>
    <row r="1463" spans="25:28" ht="15" customHeight="1" x14ac:dyDescent="0.2">
      <c r="Y1463" s="1">
        <f t="shared" si="92"/>
        <v>0</v>
      </c>
      <c r="Z1463" s="1">
        <f t="shared" si="93"/>
        <v>0</v>
      </c>
      <c r="AA1463" s="1">
        <f t="shared" si="94"/>
        <v>0</v>
      </c>
      <c r="AB1463" s="1">
        <f t="shared" si="95"/>
        <v>0</v>
      </c>
    </row>
    <row r="1464" spans="25:28" ht="15" customHeight="1" x14ac:dyDescent="0.2">
      <c r="Y1464" s="1">
        <f t="shared" si="92"/>
        <v>0</v>
      </c>
      <c r="Z1464" s="1">
        <f t="shared" si="93"/>
        <v>0</v>
      </c>
      <c r="AA1464" s="1">
        <f t="shared" si="94"/>
        <v>0</v>
      </c>
      <c r="AB1464" s="1">
        <f t="shared" si="95"/>
        <v>0</v>
      </c>
    </row>
    <row r="1465" spans="25:28" ht="15" customHeight="1" x14ac:dyDescent="0.2">
      <c r="Y1465" s="1">
        <f t="shared" si="92"/>
        <v>0</v>
      </c>
      <c r="Z1465" s="1">
        <f t="shared" si="93"/>
        <v>0</v>
      </c>
      <c r="AA1465" s="1">
        <f t="shared" si="94"/>
        <v>0</v>
      </c>
      <c r="AB1465" s="1">
        <f t="shared" si="95"/>
        <v>0</v>
      </c>
    </row>
    <row r="1466" spans="25:28" ht="15" customHeight="1" x14ac:dyDescent="0.2">
      <c r="Y1466" s="1">
        <f t="shared" si="92"/>
        <v>0</v>
      </c>
      <c r="Z1466" s="1">
        <f t="shared" si="93"/>
        <v>0</v>
      </c>
      <c r="AA1466" s="1">
        <f t="shared" si="94"/>
        <v>0</v>
      </c>
      <c r="AB1466" s="1">
        <f t="shared" si="95"/>
        <v>0</v>
      </c>
    </row>
    <row r="1467" spans="25:28" ht="15" customHeight="1" x14ac:dyDescent="0.2">
      <c r="Y1467" s="1">
        <f t="shared" si="92"/>
        <v>0</v>
      </c>
      <c r="Z1467" s="1">
        <f t="shared" si="93"/>
        <v>0</v>
      </c>
      <c r="AA1467" s="1">
        <f t="shared" si="94"/>
        <v>0</v>
      </c>
      <c r="AB1467" s="1">
        <f t="shared" si="95"/>
        <v>0</v>
      </c>
    </row>
    <row r="1468" spans="25:28" ht="15" customHeight="1" x14ac:dyDescent="0.2">
      <c r="Y1468" s="1">
        <f t="shared" si="92"/>
        <v>0</v>
      </c>
      <c r="Z1468" s="1">
        <f t="shared" si="93"/>
        <v>0</v>
      </c>
      <c r="AA1468" s="1">
        <f t="shared" si="94"/>
        <v>0</v>
      </c>
      <c r="AB1468" s="1">
        <f t="shared" si="95"/>
        <v>0</v>
      </c>
    </row>
    <row r="1469" spans="25:28" ht="15" customHeight="1" x14ac:dyDescent="0.2">
      <c r="Y1469" s="1">
        <f t="shared" si="92"/>
        <v>0</v>
      </c>
      <c r="Z1469" s="1">
        <f t="shared" si="93"/>
        <v>0</v>
      </c>
      <c r="AA1469" s="1">
        <f t="shared" si="94"/>
        <v>0</v>
      </c>
      <c r="AB1469" s="1">
        <f t="shared" si="95"/>
        <v>0</v>
      </c>
    </row>
    <row r="1470" spans="25:28" ht="15" customHeight="1" x14ac:dyDescent="0.2">
      <c r="Y1470" s="1">
        <f t="shared" si="92"/>
        <v>0</v>
      </c>
      <c r="Z1470" s="1">
        <f t="shared" si="93"/>
        <v>0</v>
      </c>
      <c r="AA1470" s="1">
        <f t="shared" si="94"/>
        <v>0</v>
      </c>
      <c r="AB1470" s="1">
        <f t="shared" si="95"/>
        <v>0</v>
      </c>
    </row>
    <row r="1471" spans="25:28" ht="15" customHeight="1" x14ac:dyDescent="0.2">
      <c r="Y1471" s="1">
        <f t="shared" si="92"/>
        <v>0</v>
      </c>
      <c r="Z1471" s="1">
        <f t="shared" si="93"/>
        <v>0</v>
      </c>
      <c r="AA1471" s="1">
        <f t="shared" si="94"/>
        <v>0</v>
      </c>
      <c r="AB1471" s="1">
        <f t="shared" si="95"/>
        <v>0</v>
      </c>
    </row>
    <row r="1472" spans="25:28" ht="15" customHeight="1" x14ac:dyDescent="0.2">
      <c r="Y1472" s="1">
        <f t="shared" si="92"/>
        <v>0</v>
      </c>
      <c r="Z1472" s="1">
        <f t="shared" si="93"/>
        <v>0</v>
      </c>
      <c r="AA1472" s="1">
        <f t="shared" si="94"/>
        <v>0</v>
      </c>
      <c r="AB1472" s="1">
        <f t="shared" si="95"/>
        <v>0</v>
      </c>
    </row>
    <row r="1473" spans="25:28" ht="15" customHeight="1" x14ac:dyDescent="0.2">
      <c r="Y1473" s="1">
        <f t="shared" si="92"/>
        <v>0</v>
      </c>
      <c r="Z1473" s="1">
        <f t="shared" si="93"/>
        <v>0</v>
      </c>
      <c r="AA1473" s="1">
        <f t="shared" si="94"/>
        <v>0</v>
      </c>
      <c r="AB1473" s="1">
        <f t="shared" si="95"/>
        <v>0</v>
      </c>
    </row>
    <row r="1474" spans="25:28" ht="15" customHeight="1" x14ac:dyDescent="0.2">
      <c r="Y1474" s="1">
        <f t="shared" si="92"/>
        <v>0</v>
      </c>
      <c r="Z1474" s="1">
        <f t="shared" si="93"/>
        <v>0</v>
      </c>
      <c r="AA1474" s="1">
        <f t="shared" si="94"/>
        <v>0</v>
      </c>
      <c r="AB1474" s="1">
        <f t="shared" si="95"/>
        <v>0</v>
      </c>
    </row>
    <row r="1475" spans="25:28" ht="15" customHeight="1" x14ac:dyDescent="0.2">
      <c r="Y1475" s="1">
        <f t="shared" si="92"/>
        <v>0</v>
      </c>
      <c r="Z1475" s="1">
        <f t="shared" si="93"/>
        <v>0</v>
      </c>
      <c r="AA1475" s="1">
        <f t="shared" si="94"/>
        <v>0</v>
      </c>
      <c r="AB1475" s="1">
        <f t="shared" si="95"/>
        <v>0</v>
      </c>
    </row>
    <row r="1476" spans="25:28" ht="15" customHeight="1" x14ac:dyDescent="0.2">
      <c r="Y1476" s="1">
        <f t="shared" si="92"/>
        <v>0</v>
      </c>
      <c r="Z1476" s="1">
        <f t="shared" si="93"/>
        <v>0</v>
      </c>
      <c r="AA1476" s="1">
        <f t="shared" si="94"/>
        <v>0</v>
      </c>
      <c r="AB1476" s="1">
        <f t="shared" si="95"/>
        <v>0</v>
      </c>
    </row>
    <row r="1477" spans="25:28" ht="15" customHeight="1" x14ac:dyDescent="0.2">
      <c r="Y1477" s="1">
        <f t="shared" si="92"/>
        <v>0</v>
      </c>
      <c r="Z1477" s="1">
        <f t="shared" si="93"/>
        <v>0</v>
      </c>
      <c r="AA1477" s="1">
        <f t="shared" si="94"/>
        <v>0</v>
      </c>
      <c r="AB1477" s="1">
        <f t="shared" si="95"/>
        <v>0</v>
      </c>
    </row>
    <row r="1478" spans="25:28" ht="15" customHeight="1" x14ac:dyDescent="0.2">
      <c r="Y1478" s="1">
        <f t="shared" si="92"/>
        <v>0</v>
      </c>
      <c r="Z1478" s="1">
        <f t="shared" si="93"/>
        <v>0</v>
      </c>
      <c r="AA1478" s="1">
        <f t="shared" si="94"/>
        <v>0</v>
      </c>
      <c r="AB1478" s="1">
        <f t="shared" si="95"/>
        <v>0</v>
      </c>
    </row>
    <row r="1479" spans="25:28" ht="15" customHeight="1" x14ac:dyDescent="0.2">
      <c r="Y1479" s="1">
        <f t="shared" si="92"/>
        <v>0</v>
      </c>
      <c r="Z1479" s="1">
        <f t="shared" si="93"/>
        <v>0</v>
      </c>
      <c r="AA1479" s="1">
        <f t="shared" si="94"/>
        <v>0</v>
      </c>
      <c r="AB1479" s="1">
        <f t="shared" si="95"/>
        <v>0</v>
      </c>
    </row>
    <row r="1480" spans="25:28" ht="15" customHeight="1" x14ac:dyDescent="0.2">
      <c r="Y1480" s="1">
        <f t="shared" si="92"/>
        <v>0</v>
      </c>
      <c r="Z1480" s="1">
        <f t="shared" si="93"/>
        <v>0</v>
      </c>
      <c r="AA1480" s="1">
        <f t="shared" si="94"/>
        <v>0</v>
      </c>
      <c r="AB1480" s="1">
        <f t="shared" si="95"/>
        <v>0</v>
      </c>
    </row>
    <row r="1481" spans="25:28" ht="15" customHeight="1" x14ac:dyDescent="0.2">
      <c r="Y1481" s="1">
        <f t="shared" si="92"/>
        <v>0</v>
      </c>
      <c r="Z1481" s="1">
        <f t="shared" si="93"/>
        <v>0</v>
      </c>
      <c r="AA1481" s="1">
        <f t="shared" si="94"/>
        <v>0</v>
      </c>
      <c r="AB1481" s="1">
        <f t="shared" si="95"/>
        <v>0</v>
      </c>
    </row>
    <row r="1482" spans="25:28" ht="15" customHeight="1" x14ac:dyDescent="0.2">
      <c r="Y1482" s="1">
        <f t="shared" si="92"/>
        <v>0</v>
      </c>
      <c r="Z1482" s="1">
        <f t="shared" si="93"/>
        <v>0</v>
      </c>
      <c r="AA1482" s="1">
        <f t="shared" si="94"/>
        <v>0</v>
      </c>
      <c r="AB1482" s="1">
        <f t="shared" si="95"/>
        <v>0</v>
      </c>
    </row>
    <row r="1483" spans="25:28" ht="15" customHeight="1" x14ac:dyDescent="0.2">
      <c r="Y1483" s="1">
        <f t="shared" si="92"/>
        <v>0</v>
      </c>
      <c r="Z1483" s="1">
        <f t="shared" si="93"/>
        <v>0</v>
      </c>
      <c r="AA1483" s="1">
        <f t="shared" si="94"/>
        <v>0</v>
      </c>
      <c r="AB1483" s="1">
        <f t="shared" si="95"/>
        <v>0</v>
      </c>
    </row>
    <row r="1484" spans="25:28" ht="15" customHeight="1" x14ac:dyDescent="0.2">
      <c r="Y1484" s="1">
        <f t="shared" si="92"/>
        <v>0</v>
      </c>
      <c r="Z1484" s="1">
        <f t="shared" si="93"/>
        <v>0</v>
      </c>
      <c r="AA1484" s="1">
        <f t="shared" si="94"/>
        <v>0</v>
      </c>
      <c r="AB1484" s="1">
        <f t="shared" si="95"/>
        <v>0</v>
      </c>
    </row>
    <row r="1485" spans="25:28" ht="15" customHeight="1" x14ac:dyDescent="0.2">
      <c r="Y1485" s="1">
        <f t="shared" si="92"/>
        <v>0</v>
      </c>
      <c r="Z1485" s="1">
        <f t="shared" si="93"/>
        <v>0</v>
      </c>
      <c r="AA1485" s="1">
        <f t="shared" si="94"/>
        <v>0</v>
      </c>
      <c r="AB1485" s="1">
        <f t="shared" si="95"/>
        <v>0</v>
      </c>
    </row>
    <row r="1486" spans="25:28" ht="15" customHeight="1" x14ac:dyDescent="0.2">
      <c r="Y1486" s="1">
        <f t="shared" ref="Y1486:Y1549" si="96">MAX(0,IFERROR((LEN($T1487)-LEN(SUBSTITUTE($T1487,"Quality of Works / Criteria of Failings:","")))/LEN("Quality of Works / Criteria of Failings:"),0)-IFERROR((LEN($T1487)-LEN(SUBSTITUTE($T1487,"Quality of Works / Criteria of Failings:Compliant","")))/LEN("Quality of Works / Criteria of Failings:Compliant"),0))</f>
        <v>0</v>
      </c>
      <c r="Z1486" s="1">
        <f t="shared" ref="Z1486:Z1549" si="97">IFERROR($Y1487/MAX(1,(LEN($I1487)-LEN(SUBSTITUTE($I1487," Ltd","")))/LEN(" Ltd")),0)</f>
        <v>0</v>
      </c>
      <c r="AA1486" s="1">
        <f t="shared" ref="AA1486:AA1549" si="98">IFERROR(IFERROR((LEN($T1487)-LEN(SUBSTITUTE($T1487,"Quality of Works / Criteria of Failings:","")))/LEN("Quality of Works / Criteria of Failings:"),0)/MAX(1,(LEN($I1487)-LEN(SUBSTITUTE($I1487," Ltd","")))/LEN(" Ltd")),0)</f>
        <v>0</v>
      </c>
      <c r="AB1486" s="1">
        <f t="shared" ref="AB1486:AB1549" si="99">IFERROR(IFERROR((LEN($T1487)-LEN(SUBSTITUTE($T1487,"Quality of Works / Criteria of Failings:Compliant","")))/LEN("Quality of Works / Criteria of Failings:Compliant"),0)/MAX(1,(LEN($I1487)-LEN(SUBSTITUTE($I1487," Ltd","")))/LEN(" Ltd")),0)</f>
        <v>0</v>
      </c>
    </row>
    <row r="1487" spans="25:28" ht="15" customHeight="1" x14ac:dyDescent="0.2">
      <c r="Y1487" s="1">
        <f t="shared" si="96"/>
        <v>0</v>
      </c>
      <c r="Z1487" s="1">
        <f t="shared" si="97"/>
        <v>0</v>
      </c>
      <c r="AA1487" s="1">
        <f t="shared" si="98"/>
        <v>0</v>
      </c>
      <c r="AB1487" s="1">
        <f t="shared" si="99"/>
        <v>0</v>
      </c>
    </row>
    <row r="1488" spans="25:28" ht="15" customHeight="1" x14ac:dyDescent="0.2">
      <c r="Y1488" s="1">
        <f t="shared" si="96"/>
        <v>0</v>
      </c>
      <c r="Z1488" s="1">
        <f t="shared" si="97"/>
        <v>0</v>
      </c>
      <c r="AA1488" s="1">
        <f t="shared" si="98"/>
        <v>0</v>
      </c>
      <c r="AB1488" s="1">
        <f t="shared" si="99"/>
        <v>0</v>
      </c>
    </row>
    <row r="1489" spans="25:28" ht="15" customHeight="1" x14ac:dyDescent="0.2">
      <c r="Y1489" s="1">
        <f t="shared" si="96"/>
        <v>0</v>
      </c>
      <c r="Z1489" s="1">
        <f t="shared" si="97"/>
        <v>0</v>
      </c>
      <c r="AA1489" s="1">
        <f t="shared" si="98"/>
        <v>0</v>
      </c>
      <c r="AB1489" s="1">
        <f t="shared" si="99"/>
        <v>0</v>
      </c>
    </row>
    <row r="1490" spans="25:28" ht="15" customHeight="1" x14ac:dyDescent="0.2">
      <c r="Y1490" s="1">
        <f t="shared" si="96"/>
        <v>0</v>
      </c>
      <c r="Z1490" s="1">
        <f t="shared" si="97"/>
        <v>0</v>
      </c>
      <c r="AA1490" s="1">
        <f t="shared" si="98"/>
        <v>0</v>
      </c>
      <c r="AB1490" s="1">
        <f t="shared" si="99"/>
        <v>0</v>
      </c>
    </row>
    <row r="1491" spans="25:28" ht="15" customHeight="1" x14ac:dyDescent="0.2">
      <c r="Y1491" s="1">
        <f t="shared" si="96"/>
        <v>0</v>
      </c>
      <c r="Z1491" s="1">
        <f t="shared" si="97"/>
        <v>0</v>
      </c>
      <c r="AA1491" s="1">
        <f t="shared" si="98"/>
        <v>0</v>
      </c>
      <c r="AB1491" s="1">
        <f t="shared" si="99"/>
        <v>0</v>
      </c>
    </row>
    <row r="1492" spans="25:28" ht="15" customHeight="1" x14ac:dyDescent="0.2">
      <c r="Y1492" s="1">
        <f t="shared" si="96"/>
        <v>0</v>
      </c>
      <c r="Z1492" s="1">
        <f t="shared" si="97"/>
        <v>0</v>
      </c>
      <c r="AA1492" s="1">
        <f t="shared" si="98"/>
        <v>0</v>
      </c>
      <c r="AB1492" s="1">
        <f t="shared" si="99"/>
        <v>0</v>
      </c>
    </row>
    <row r="1493" spans="25:28" ht="15" customHeight="1" x14ac:dyDescent="0.2">
      <c r="Y1493" s="1">
        <f t="shared" si="96"/>
        <v>0</v>
      </c>
      <c r="Z1493" s="1">
        <f t="shared" si="97"/>
        <v>0</v>
      </c>
      <c r="AA1493" s="1">
        <f t="shared" si="98"/>
        <v>0</v>
      </c>
      <c r="AB1493" s="1">
        <f t="shared" si="99"/>
        <v>0</v>
      </c>
    </row>
    <row r="1494" spans="25:28" ht="15" customHeight="1" x14ac:dyDescent="0.2">
      <c r="Y1494" s="1">
        <f t="shared" si="96"/>
        <v>0</v>
      </c>
      <c r="Z1494" s="1">
        <f t="shared" si="97"/>
        <v>0</v>
      </c>
      <c r="AA1494" s="1">
        <f t="shared" si="98"/>
        <v>0</v>
      </c>
      <c r="AB1494" s="1">
        <f t="shared" si="99"/>
        <v>0</v>
      </c>
    </row>
    <row r="1495" spans="25:28" ht="15" customHeight="1" x14ac:dyDescent="0.2">
      <c r="Y1495" s="1">
        <f t="shared" si="96"/>
        <v>0</v>
      </c>
      <c r="Z1495" s="1">
        <f t="shared" si="97"/>
        <v>0</v>
      </c>
      <c r="AA1495" s="1">
        <f t="shared" si="98"/>
        <v>0</v>
      </c>
      <c r="AB1495" s="1">
        <f t="shared" si="99"/>
        <v>0</v>
      </c>
    </row>
    <row r="1496" spans="25:28" ht="15" customHeight="1" x14ac:dyDescent="0.2">
      <c r="Y1496" s="1">
        <f t="shared" si="96"/>
        <v>0</v>
      </c>
      <c r="Z1496" s="1">
        <f t="shared" si="97"/>
        <v>0</v>
      </c>
      <c r="AA1496" s="1">
        <f t="shared" si="98"/>
        <v>0</v>
      </c>
      <c r="AB1496" s="1">
        <f t="shared" si="99"/>
        <v>0</v>
      </c>
    </row>
    <row r="1497" spans="25:28" ht="15" customHeight="1" x14ac:dyDescent="0.2">
      <c r="Y1497" s="1">
        <f t="shared" si="96"/>
        <v>0</v>
      </c>
      <c r="Z1497" s="1">
        <f t="shared" si="97"/>
        <v>0</v>
      </c>
      <c r="AA1497" s="1">
        <f t="shared" si="98"/>
        <v>0</v>
      </c>
      <c r="AB1497" s="1">
        <f t="shared" si="99"/>
        <v>0</v>
      </c>
    </row>
    <row r="1498" spans="25:28" ht="15" customHeight="1" x14ac:dyDescent="0.2">
      <c r="Y1498" s="1">
        <f t="shared" si="96"/>
        <v>0</v>
      </c>
      <c r="Z1498" s="1">
        <f t="shared" si="97"/>
        <v>0</v>
      </c>
      <c r="AA1498" s="1">
        <f t="shared" si="98"/>
        <v>0</v>
      </c>
      <c r="AB1498" s="1">
        <f t="shared" si="99"/>
        <v>0</v>
      </c>
    </row>
    <row r="1499" spans="25:28" ht="15" customHeight="1" x14ac:dyDescent="0.2">
      <c r="Y1499" s="1">
        <f t="shared" si="96"/>
        <v>0</v>
      </c>
      <c r="Z1499" s="1">
        <f t="shared" si="97"/>
        <v>0</v>
      </c>
      <c r="AA1499" s="1">
        <f t="shared" si="98"/>
        <v>0</v>
      </c>
      <c r="AB1499" s="1">
        <f t="shared" si="99"/>
        <v>0</v>
      </c>
    </row>
    <row r="1500" spans="25:28" ht="15" customHeight="1" x14ac:dyDescent="0.2">
      <c r="Y1500" s="1">
        <f t="shared" si="96"/>
        <v>0</v>
      </c>
      <c r="Z1500" s="1">
        <f t="shared" si="97"/>
        <v>0</v>
      </c>
      <c r="AA1500" s="1">
        <f t="shared" si="98"/>
        <v>0</v>
      </c>
      <c r="AB1500" s="1">
        <f t="shared" si="99"/>
        <v>0</v>
      </c>
    </row>
    <row r="1501" spans="25:28" ht="15" customHeight="1" x14ac:dyDescent="0.2">
      <c r="Y1501" s="1">
        <f t="shared" si="96"/>
        <v>0</v>
      </c>
      <c r="Z1501" s="1">
        <f t="shared" si="97"/>
        <v>0</v>
      </c>
      <c r="AA1501" s="1">
        <f t="shared" si="98"/>
        <v>0</v>
      </c>
      <c r="AB1501" s="1">
        <f t="shared" si="99"/>
        <v>0</v>
      </c>
    </row>
    <row r="1502" spans="25:28" ht="15" customHeight="1" x14ac:dyDescent="0.2">
      <c r="Y1502" s="1">
        <f t="shared" si="96"/>
        <v>0</v>
      </c>
      <c r="Z1502" s="1">
        <f t="shared" si="97"/>
        <v>0</v>
      </c>
      <c r="AA1502" s="1">
        <f t="shared" si="98"/>
        <v>0</v>
      </c>
      <c r="AB1502" s="1">
        <f t="shared" si="99"/>
        <v>0</v>
      </c>
    </row>
    <row r="1503" spans="25:28" ht="15" customHeight="1" x14ac:dyDescent="0.2">
      <c r="Y1503" s="1">
        <f t="shared" si="96"/>
        <v>0</v>
      </c>
      <c r="Z1503" s="1">
        <f t="shared" si="97"/>
        <v>0</v>
      </c>
      <c r="AA1503" s="1">
        <f t="shared" si="98"/>
        <v>0</v>
      </c>
      <c r="AB1503" s="1">
        <f t="shared" si="99"/>
        <v>0</v>
      </c>
    </row>
    <row r="1504" spans="25:28" ht="15" customHeight="1" x14ac:dyDescent="0.2">
      <c r="Y1504" s="1">
        <f t="shared" si="96"/>
        <v>0</v>
      </c>
      <c r="Z1504" s="1">
        <f t="shared" si="97"/>
        <v>0</v>
      </c>
      <c r="AA1504" s="1">
        <f t="shared" si="98"/>
        <v>0</v>
      </c>
      <c r="AB1504" s="1">
        <f t="shared" si="99"/>
        <v>0</v>
      </c>
    </row>
    <row r="1505" spans="25:28" ht="15" customHeight="1" x14ac:dyDescent="0.2">
      <c r="Y1505" s="1">
        <f t="shared" si="96"/>
        <v>0</v>
      </c>
      <c r="Z1505" s="1">
        <f t="shared" si="97"/>
        <v>0</v>
      </c>
      <c r="AA1505" s="1">
        <f t="shared" si="98"/>
        <v>0</v>
      </c>
      <c r="AB1505" s="1">
        <f t="shared" si="99"/>
        <v>0</v>
      </c>
    </row>
    <row r="1506" spans="25:28" ht="15" customHeight="1" x14ac:dyDescent="0.2">
      <c r="Y1506" s="1">
        <f t="shared" si="96"/>
        <v>0</v>
      </c>
      <c r="Z1506" s="1">
        <f t="shared" si="97"/>
        <v>0</v>
      </c>
      <c r="AA1506" s="1">
        <f t="shared" si="98"/>
        <v>0</v>
      </c>
      <c r="AB1506" s="1">
        <f t="shared" si="99"/>
        <v>0</v>
      </c>
    </row>
    <row r="1507" spans="25:28" ht="15" customHeight="1" x14ac:dyDescent="0.2">
      <c r="Y1507" s="1">
        <f t="shared" si="96"/>
        <v>0</v>
      </c>
      <c r="Z1507" s="1">
        <f t="shared" si="97"/>
        <v>0</v>
      </c>
      <c r="AA1507" s="1">
        <f t="shared" si="98"/>
        <v>0</v>
      </c>
      <c r="AB1507" s="1">
        <f t="shared" si="99"/>
        <v>0</v>
      </c>
    </row>
    <row r="1508" spans="25:28" ht="15" customHeight="1" x14ac:dyDescent="0.2">
      <c r="Y1508" s="1">
        <f t="shared" si="96"/>
        <v>0</v>
      </c>
      <c r="Z1508" s="1">
        <f t="shared" si="97"/>
        <v>0</v>
      </c>
      <c r="AA1508" s="1">
        <f t="shared" si="98"/>
        <v>0</v>
      </c>
      <c r="AB1508" s="1">
        <f t="shared" si="99"/>
        <v>0</v>
      </c>
    </row>
    <row r="1509" spans="25:28" ht="15" customHeight="1" x14ac:dyDescent="0.2">
      <c r="Y1509" s="1">
        <f t="shared" si="96"/>
        <v>0</v>
      </c>
      <c r="Z1509" s="1">
        <f t="shared" si="97"/>
        <v>0</v>
      </c>
      <c r="AA1509" s="1">
        <f t="shared" si="98"/>
        <v>0</v>
      </c>
      <c r="AB1509" s="1">
        <f t="shared" si="99"/>
        <v>0</v>
      </c>
    </row>
    <row r="1510" spans="25:28" ht="15" customHeight="1" x14ac:dyDescent="0.2">
      <c r="Y1510" s="1">
        <f t="shared" si="96"/>
        <v>0</v>
      </c>
      <c r="Z1510" s="1">
        <f t="shared" si="97"/>
        <v>0</v>
      </c>
      <c r="AA1510" s="1">
        <f t="shared" si="98"/>
        <v>0</v>
      </c>
      <c r="AB1510" s="1">
        <f t="shared" si="99"/>
        <v>0</v>
      </c>
    </row>
    <row r="1511" spans="25:28" ht="15" customHeight="1" x14ac:dyDescent="0.2">
      <c r="Y1511" s="1">
        <f t="shared" si="96"/>
        <v>0</v>
      </c>
      <c r="Z1511" s="1">
        <f t="shared" si="97"/>
        <v>0</v>
      </c>
      <c r="AA1511" s="1">
        <f t="shared" si="98"/>
        <v>0</v>
      </c>
      <c r="AB1511" s="1">
        <f t="shared" si="99"/>
        <v>0</v>
      </c>
    </row>
    <row r="1512" spans="25:28" ht="15" customHeight="1" x14ac:dyDescent="0.2">
      <c r="Y1512" s="1">
        <f t="shared" si="96"/>
        <v>0</v>
      </c>
      <c r="Z1512" s="1">
        <f t="shared" si="97"/>
        <v>0</v>
      </c>
      <c r="AA1512" s="1">
        <f t="shared" si="98"/>
        <v>0</v>
      </c>
      <c r="AB1512" s="1">
        <f t="shared" si="99"/>
        <v>0</v>
      </c>
    </row>
    <row r="1513" spans="25:28" ht="15" customHeight="1" x14ac:dyDescent="0.2">
      <c r="Y1513" s="1">
        <f t="shared" si="96"/>
        <v>0</v>
      </c>
      <c r="Z1513" s="1">
        <f t="shared" si="97"/>
        <v>0</v>
      </c>
      <c r="AA1513" s="1">
        <f t="shared" si="98"/>
        <v>0</v>
      </c>
      <c r="AB1513" s="1">
        <f t="shared" si="99"/>
        <v>0</v>
      </c>
    </row>
    <row r="1514" spans="25:28" ht="15" customHeight="1" x14ac:dyDescent="0.2">
      <c r="Y1514" s="1">
        <f t="shared" si="96"/>
        <v>0</v>
      </c>
      <c r="Z1514" s="1">
        <f t="shared" si="97"/>
        <v>0</v>
      </c>
      <c r="AA1514" s="1">
        <f t="shared" si="98"/>
        <v>0</v>
      </c>
      <c r="AB1514" s="1">
        <f t="shared" si="99"/>
        <v>0</v>
      </c>
    </row>
    <row r="1515" spans="25:28" ht="15" customHeight="1" x14ac:dyDescent="0.2">
      <c r="Y1515" s="1">
        <f t="shared" si="96"/>
        <v>0</v>
      </c>
      <c r="Z1515" s="1">
        <f t="shared" si="97"/>
        <v>0</v>
      </c>
      <c r="AA1515" s="1">
        <f t="shared" si="98"/>
        <v>0</v>
      </c>
      <c r="AB1515" s="1">
        <f t="shared" si="99"/>
        <v>0</v>
      </c>
    </row>
    <row r="1516" spans="25:28" ht="15" customHeight="1" x14ac:dyDescent="0.2">
      <c r="Y1516" s="1">
        <f t="shared" si="96"/>
        <v>0</v>
      </c>
      <c r="Z1516" s="1">
        <f t="shared" si="97"/>
        <v>0</v>
      </c>
      <c r="AA1516" s="1">
        <f t="shared" si="98"/>
        <v>0</v>
      </c>
      <c r="AB1516" s="1">
        <f t="shared" si="99"/>
        <v>0</v>
      </c>
    </row>
    <row r="1517" spans="25:28" ht="15" customHeight="1" x14ac:dyDescent="0.2">
      <c r="Y1517" s="1">
        <f t="shared" si="96"/>
        <v>0</v>
      </c>
      <c r="Z1517" s="1">
        <f t="shared" si="97"/>
        <v>0</v>
      </c>
      <c r="AA1517" s="1">
        <f t="shared" si="98"/>
        <v>0</v>
      </c>
      <c r="AB1517" s="1">
        <f t="shared" si="99"/>
        <v>0</v>
      </c>
    </row>
    <row r="1518" spans="25:28" ht="15" customHeight="1" x14ac:dyDescent="0.2">
      <c r="Y1518" s="1">
        <f t="shared" si="96"/>
        <v>0</v>
      </c>
      <c r="Z1518" s="1">
        <f t="shared" si="97"/>
        <v>0</v>
      </c>
      <c r="AA1518" s="1">
        <f t="shared" si="98"/>
        <v>0</v>
      </c>
      <c r="AB1518" s="1">
        <f t="shared" si="99"/>
        <v>0</v>
      </c>
    </row>
    <row r="1519" spans="25:28" ht="15" customHeight="1" x14ac:dyDescent="0.2">
      <c r="Y1519" s="1">
        <f t="shared" si="96"/>
        <v>0</v>
      </c>
      <c r="Z1519" s="1">
        <f t="shared" si="97"/>
        <v>0</v>
      </c>
      <c r="AA1519" s="1">
        <f t="shared" si="98"/>
        <v>0</v>
      </c>
      <c r="AB1519" s="1">
        <f t="shared" si="99"/>
        <v>0</v>
      </c>
    </row>
    <row r="1520" spans="25:28" ht="15" customHeight="1" x14ac:dyDescent="0.2">
      <c r="Y1520" s="1">
        <f t="shared" si="96"/>
        <v>0</v>
      </c>
      <c r="Z1520" s="1">
        <f t="shared" si="97"/>
        <v>0</v>
      </c>
      <c r="AA1520" s="1">
        <f t="shared" si="98"/>
        <v>0</v>
      </c>
      <c r="AB1520" s="1">
        <f t="shared" si="99"/>
        <v>0</v>
      </c>
    </row>
    <row r="1521" spans="25:28" ht="15" customHeight="1" x14ac:dyDescent="0.2">
      <c r="Y1521" s="1">
        <f t="shared" si="96"/>
        <v>0</v>
      </c>
      <c r="Z1521" s="1">
        <f t="shared" si="97"/>
        <v>0</v>
      </c>
      <c r="AA1521" s="1">
        <f t="shared" si="98"/>
        <v>0</v>
      </c>
      <c r="AB1521" s="1">
        <f t="shared" si="99"/>
        <v>0</v>
      </c>
    </row>
    <row r="1522" spans="25:28" ht="15" customHeight="1" x14ac:dyDescent="0.2">
      <c r="Y1522" s="1">
        <f t="shared" si="96"/>
        <v>0</v>
      </c>
      <c r="Z1522" s="1">
        <f t="shared" si="97"/>
        <v>0</v>
      </c>
      <c r="AA1522" s="1">
        <f t="shared" si="98"/>
        <v>0</v>
      </c>
      <c r="AB1522" s="1">
        <f t="shared" si="99"/>
        <v>0</v>
      </c>
    </row>
    <row r="1523" spans="25:28" ht="15" customHeight="1" x14ac:dyDescent="0.2">
      <c r="Y1523" s="1">
        <f t="shared" si="96"/>
        <v>0</v>
      </c>
      <c r="Z1523" s="1">
        <f t="shared" si="97"/>
        <v>0</v>
      </c>
      <c r="AA1523" s="1">
        <f t="shared" si="98"/>
        <v>0</v>
      </c>
      <c r="AB1523" s="1">
        <f t="shared" si="99"/>
        <v>0</v>
      </c>
    </row>
    <row r="1524" spans="25:28" ht="15" customHeight="1" x14ac:dyDescent="0.2">
      <c r="Y1524" s="1">
        <f t="shared" si="96"/>
        <v>0</v>
      </c>
      <c r="Z1524" s="1">
        <f t="shared" si="97"/>
        <v>0</v>
      </c>
      <c r="AA1524" s="1">
        <f t="shared" si="98"/>
        <v>0</v>
      </c>
      <c r="AB1524" s="1">
        <f t="shared" si="99"/>
        <v>0</v>
      </c>
    </row>
    <row r="1525" spans="25:28" ht="15" customHeight="1" x14ac:dyDescent="0.2">
      <c r="Y1525" s="1">
        <f t="shared" si="96"/>
        <v>0</v>
      </c>
      <c r="Z1525" s="1">
        <f t="shared" si="97"/>
        <v>0</v>
      </c>
      <c r="AA1525" s="1">
        <f t="shared" si="98"/>
        <v>0</v>
      </c>
      <c r="AB1525" s="1">
        <f t="shared" si="99"/>
        <v>0</v>
      </c>
    </row>
    <row r="1526" spans="25:28" ht="15" customHeight="1" x14ac:dyDescent="0.2">
      <c r="Y1526" s="1">
        <f t="shared" si="96"/>
        <v>0</v>
      </c>
      <c r="Z1526" s="1">
        <f t="shared" si="97"/>
        <v>0</v>
      </c>
      <c r="AA1526" s="1">
        <f t="shared" si="98"/>
        <v>0</v>
      </c>
      <c r="AB1526" s="1">
        <f t="shared" si="99"/>
        <v>0</v>
      </c>
    </row>
    <row r="1527" spans="25:28" ht="15" customHeight="1" x14ac:dyDescent="0.2">
      <c r="Y1527" s="1">
        <f t="shared" si="96"/>
        <v>0</v>
      </c>
      <c r="Z1527" s="1">
        <f t="shared" si="97"/>
        <v>0</v>
      </c>
      <c r="AA1527" s="1">
        <f t="shared" si="98"/>
        <v>0</v>
      </c>
      <c r="AB1527" s="1">
        <f t="shared" si="99"/>
        <v>0</v>
      </c>
    </row>
    <row r="1528" spans="25:28" ht="15" customHeight="1" x14ac:dyDescent="0.2">
      <c r="Y1528" s="1">
        <f t="shared" si="96"/>
        <v>0</v>
      </c>
      <c r="Z1528" s="1">
        <f t="shared" si="97"/>
        <v>0</v>
      </c>
      <c r="AA1528" s="1">
        <f t="shared" si="98"/>
        <v>0</v>
      </c>
      <c r="AB1528" s="1">
        <f t="shared" si="99"/>
        <v>0</v>
      </c>
    </row>
    <row r="1529" spans="25:28" ht="15" customHeight="1" x14ac:dyDescent="0.2">
      <c r="Y1529" s="1">
        <f t="shared" si="96"/>
        <v>0</v>
      </c>
      <c r="Z1529" s="1">
        <f t="shared" si="97"/>
        <v>0</v>
      </c>
      <c r="AA1529" s="1">
        <f t="shared" si="98"/>
        <v>0</v>
      </c>
      <c r="AB1529" s="1">
        <f t="shared" si="99"/>
        <v>0</v>
      </c>
    </row>
    <row r="1530" spans="25:28" ht="15" customHeight="1" x14ac:dyDescent="0.2">
      <c r="Y1530" s="1">
        <f t="shared" si="96"/>
        <v>0</v>
      </c>
      <c r="Z1530" s="1">
        <f t="shared" si="97"/>
        <v>0</v>
      </c>
      <c r="AA1530" s="1">
        <f t="shared" si="98"/>
        <v>0</v>
      </c>
      <c r="AB1530" s="1">
        <f t="shared" si="99"/>
        <v>0</v>
      </c>
    </row>
    <row r="1531" spans="25:28" ht="15" customHeight="1" x14ac:dyDescent="0.2">
      <c r="Y1531" s="1">
        <f t="shared" si="96"/>
        <v>0</v>
      </c>
      <c r="Z1531" s="1">
        <f t="shared" si="97"/>
        <v>0</v>
      </c>
      <c r="AA1531" s="1">
        <f t="shared" si="98"/>
        <v>0</v>
      </c>
      <c r="AB1531" s="1">
        <f t="shared" si="99"/>
        <v>0</v>
      </c>
    </row>
    <row r="1532" spans="25:28" ht="15" customHeight="1" x14ac:dyDescent="0.2">
      <c r="Y1532" s="1">
        <f t="shared" si="96"/>
        <v>0</v>
      </c>
      <c r="Z1532" s="1">
        <f t="shared" si="97"/>
        <v>0</v>
      </c>
      <c r="AA1532" s="1">
        <f t="shared" si="98"/>
        <v>0</v>
      </c>
      <c r="AB1532" s="1">
        <f t="shared" si="99"/>
        <v>0</v>
      </c>
    </row>
    <row r="1533" spans="25:28" ht="15" customHeight="1" x14ac:dyDescent="0.2">
      <c r="Y1533" s="1">
        <f t="shared" si="96"/>
        <v>0</v>
      </c>
      <c r="Z1533" s="1">
        <f t="shared" si="97"/>
        <v>0</v>
      </c>
      <c r="AA1533" s="1">
        <f t="shared" si="98"/>
        <v>0</v>
      </c>
      <c r="AB1533" s="1">
        <f t="shared" si="99"/>
        <v>0</v>
      </c>
    </row>
    <row r="1534" spans="25:28" ht="15" customHeight="1" x14ac:dyDescent="0.2">
      <c r="Y1534" s="1">
        <f t="shared" si="96"/>
        <v>0</v>
      </c>
      <c r="Z1534" s="1">
        <f t="shared" si="97"/>
        <v>0</v>
      </c>
      <c r="AA1534" s="1">
        <f t="shared" si="98"/>
        <v>0</v>
      </c>
      <c r="AB1534" s="1">
        <f t="shared" si="99"/>
        <v>0</v>
      </c>
    </row>
    <row r="1535" spans="25:28" ht="15" customHeight="1" x14ac:dyDescent="0.2">
      <c r="Y1535" s="1">
        <f t="shared" si="96"/>
        <v>0</v>
      </c>
      <c r="Z1535" s="1">
        <f t="shared" si="97"/>
        <v>0</v>
      </c>
      <c r="AA1535" s="1">
        <f t="shared" si="98"/>
        <v>0</v>
      </c>
      <c r="AB1535" s="1">
        <f t="shared" si="99"/>
        <v>0</v>
      </c>
    </row>
    <row r="1536" spans="25:28" ht="15" customHeight="1" x14ac:dyDescent="0.2">
      <c r="Y1536" s="1">
        <f t="shared" si="96"/>
        <v>0</v>
      </c>
      <c r="Z1536" s="1">
        <f t="shared" si="97"/>
        <v>0</v>
      </c>
      <c r="AA1536" s="1">
        <f t="shared" si="98"/>
        <v>0</v>
      </c>
      <c r="AB1536" s="1">
        <f t="shared" si="99"/>
        <v>0</v>
      </c>
    </row>
    <row r="1537" spans="25:28" ht="15" customHeight="1" x14ac:dyDescent="0.2">
      <c r="Y1537" s="1">
        <f t="shared" si="96"/>
        <v>0</v>
      </c>
      <c r="Z1537" s="1">
        <f t="shared" si="97"/>
        <v>0</v>
      </c>
      <c r="AA1537" s="1">
        <f t="shared" si="98"/>
        <v>0</v>
      </c>
      <c r="AB1537" s="1">
        <f t="shared" si="99"/>
        <v>0</v>
      </c>
    </row>
    <row r="1538" spans="25:28" ht="15" customHeight="1" x14ac:dyDescent="0.2">
      <c r="Y1538" s="1">
        <f t="shared" si="96"/>
        <v>0</v>
      </c>
      <c r="Z1538" s="1">
        <f t="shared" si="97"/>
        <v>0</v>
      </c>
      <c r="AA1538" s="1">
        <f t="shared" si="98"/>
        <v>0</v>
      </c>
      <c r="AB1538" s="1">
        <f t="shared" si="99"/>
        <v>0</v>
      </c>
    </row>
    <row r="1539" spans="25:28" ht="15" customHeight="1" x14ac:dyDescent="0.2">
      <c r="Y1539" s="1">
        <f t="shared" si="96"/>
        <v>0</v>
      </c>
      <c r="Z1539" s="1">
        <f t="shared" si="97"/>
        <v>0</v>
      </c>
      <c r="AA1539" s="1">
        <f t="shared" si="98"/>
        <v>0</v>
      </c>
      <c r="AB1539" s="1">
        <f t="shared" si="99"/>
        <v>0</v>
      </c>
    </row>
    <row r="1540" spans="25:28" ht="15" customHeight="1" x14ac:dyDescent="0.2">
      <c r="Y1540" s="1">
        <f t="shared" si="96"/>
        <v>0</v>
      </c>
      <c r="Z1540" s="1">
        <f t="shared" si="97"/>
        <v>0</v>
      </c>
      <c r="AA1540" s="1">
        <f t="shared" si="98"/>
        <v>0</v>
      </c>
      <c r="AB1540" s="1">
        <f t="shared" si="99"/>
        <v>0</v>
      </c>
    </row>
    <row r="1541" spans="25:28" ht="15" customHeight="1" x14ac:dyDescent="0.2">
      <c r="Y1541" s="1">
        <f t="shared" si="96"/>
        <v>0</v>
      </c>
      <c r="Z1541" s="1">
        <f t="shared" si="97"/>
        <v>0</v>
      </c>
      <c r="AA1541" s="1">
        <f t="shared" si="98"/>
        <v>0</v>
      </c>
      <c r="AB1541" s="1">
        <f t="shared" si="99"/>
        <v>0</v>
      </c>
    </row>
    <row r="1542" spans="25:28" ht="15" customHeight="1" x14ac:dyDescent="0.2">
      <c r="Y1542" s="1">
        <f t="shared" si="96"/>
        <v>0</v>
      </c>
      <c r="Z1542" s="1">
        <f t="shared" si="97"/>
        <v>0</v>
      </c>
      <c r="AA1542" s="1">
        <f t="shared" si="98"/>
        <v>0</v>
      </c>
      <c r="AB1542" s="1">
        <f t="shared" si="99"/>
        <v>0</v>
      </c>
    </row>
    <row r="1543" spans="25:28" ht="15" customHeight="1" x14ac:dyDescent="0.2">
      <c r="Y1543" s="1">
        <f t="shared" si="96"/>
        <v>0</v>
      </c>
      <c r="Z1543" s="1">
        <f t="shared" si="97"/>
        <v>0</v>
      </c>
      <c r="AA1543" s="1">
        <f t="shared" si="98"/>
        <v>0</v>
      </c>
      <c r="AB1543" s="1">
        <f t="shared" si="99"/>
        <v>0</v>
      </c>
    </row>
    <row r="1544" spans="25:28" ht="15" customHeight="1" x14ac:dyDescent="0.2">
      <c r="Y1544" s="1">
        <f t="shared" si="96"/>
        <v>0</v>
      </c>
      <c r="Z1544" s="1">
        <f t="shared" si="97"/>
        <v>0</v>
      </c>
      <c r="AA1544" s="1">
        <f t="shared" si="98"/>
        <v>0</v>
      </c>
      <c r="AB1544" s="1">
        <f t="shared" si="99"/>
        <v>0</v>
      </c>
    </row>
    <row r="1545" spans="25:28" ht="15" customHeight="1" x14ac:dyDescent="0.2">
      <c r="Y1545" s="1">
        <f t="shared" si="96"/>
        <v>0</v>
      </c>
      <c r="Z1545" s="1">
        <f t="shared" si="97"/>
        <v>0</v>
      </c>
      <c r="AA1545" s="1">
        <f t="shared" si="98"/>
        <v>0</v>
      </c>
      <c r="AB1545" s="1">
        <f t="shared" si="99"/>
        <v>0</v>
      </c>
    </row>
    <row r="1546" spans="25:28" ht="15" customHeight="1" x14ac:dyDescent="0.2">
      <c r="Y1546" s="1">
        <f t="shared" si="96"/>
        <v>0</v>
      </c>
      <c r="Z1546" s="1">
        <f t="shared" si="97"/>
        <v>0</v>
      </c>
      <c r="AA1546" s="1">
        <f t="shared" si="98"/>
        <v>0</v>
      </c>
      <c r="AB1546" s="1">
        <f t="shared" si="99"/>
        <v>0</v>
      </c>
    </row>
    <row r="1547" spans="25:28" ht="15" customHeight="1" x14ac:dyDescent="0.2">
      <c r="Y1547" s="1">
        <f t="shared" si="96"/>
        <v>0</v>
      </c>
      <c r="Z1547" s="1">
        <f t="shared" si="97"/>
        <v>0</v>
      </c>
      <c r="AA1547" s="1">
        <f t="shared" si="98"/>
        <v>0</v>
      </c>
      <c r="AB1547" s="1">
        <f t="shared" si="99"/>
        <v>0</v>
      </c>
    </row>
    <row r="1548" spans="25:28" ht="15" customHeight="1" x14ac:dyDescent="0.2">
      <c r="Y1548" s="1">
        <f t="shared" si="96"/>
        <v>0</v>
      </c>
      <c r="Z1548" s="1">
        <f t="shared" si="97"/>
        <v>0</v>
      </c>
      <c r="AA1548" s="1">
        <f t="shared" si="98"/>
        <v>0</v>
      </c>
      <c r="AB1548" s="1">
        <f t="shared" si="99"/>
        <v>0</v>
      </c>
    </row>
    <row r="1549" spans="25:28" ht="15" customHeight="1" x14ac:dyDescent="0.2">
      <c r="Y1549" s="1">
        <f t="shared" si="96"/>
        <v>0</v>
      </c>
      <c r="Z1549" s="1">
        <f t="shared" si="97"/>
        <v>0</v>
      </c>
      <c r="AA1549" s="1">
        <f t="shared" si="98"/>
        <v>0</v>
      </c>
      <c r="AB1549" s="1">
        <f t="shared" si="99"/>
        <v>0</v>
      </c>
    </row>
    <row r="1550" spans="25:28" ht="15" customHeight="1" x14ac:dyDescent="0.2">
      <c r="Y1550" s="1">
        <f t="shared" ref="Y1550:Y1613" si="100">MAX(0,IFERROR((LEN($T1551)-LEN(SUBSTITUTE($T1551,"Quality of Works / Criteria of Failings:","")))/LEN("Quality of Works / Criteria of Failings:"),0)-IFERROR((LEN($T1551)-LEN(SUBSTITUTE($T1551,"Quality of Works / Criteria of Failings:Compliant","")))/LEN("Quality of Works / Criteria of Failings:Compliant"),0))</f>
        <v>0</v>
      </c>
      <c r="Z1550" s="1">
        <f t="shared" ref="Z1550:Z1613" si="101">IFERROR($Y1551/MAX(1,(LEN($I1551)-LEN(SUBSTITUTE($I1551," Ltd","")))/LEN(" Ltd")),0)</f>
        <v>0</v>
      </c>
      <c r="AA1550" s="1">
        <f t="shared" ref="AA1550:AA1613" si="102">IFERROR(IFERROR((LEN($T1551)-LEN(SUBSTITUTE($T1551,"Quality of Works / Criteria of Failings:","")))/LEN("Quality of Works / Criteria of Failings:"),0)/MAX(1,(LEN($I1551)-LEN(SUBSTITUTE($I1551," Ltd","")))/LEN(" Ltd")),0)</f>
        <v>0</v>
      </c>
      <c r="AB1550" s="1">
        <f t="shared" ref="AB1550:AB1613" si="103">IFERROR(IFERROR((LEN($T1551)-LEN(SUBSTITUTE($T1551,"Quality of Works / Criteria of Failings:Compliant","")))/LEN("Quality of Works / Criteria of Failings:Compliant"),0)/MAX(1,(LEN($I1551)-LEN(SUBSTITUTE($I1551," Ltd","")))/LEN(" Ltd")),0)</f>
        <v>0</v>
      </c>
    </row>
    <row r="1551" spans="25:28" ht="15" customHeight="1" x14ac:dyDescent="0.2">
      <c r="Y1551" s="1">
        <f t="shared" si="100"/>
        <v>0</v>
      </c>
      <c r="Z1551" s="1">
        <f t="shared" si="101"/>
        <v>0</v>
      </c>
      <c r="AA1551" s="1">
        <f t="shared" si="102"/>
        <v>0</v>
      </c>
      <c r="AB1551" s="1">
        <f t="shared" si="103"/>
        <v>0</v>
      </c>
    </row>
    <row r="1552" spans="25:28" ht="15" customHeight="1" x14ac:dyDescent="0.2">
      <c r="Y1552" s="1">
        <f t="shared" si="100"/>
        <v>0</v>
      </c>
      <c r="Z1552" s="1">
        <f t="shared" si="101"/>
        <v>0</v>
      </c>
      <c r="AA1552" s="1">
        <f t="shared" si="102"/>
        <v>0</v>
      </c>
      <c r="AB1552" s="1">
        <f t="shared" si="103"/>
        <v>0</v>
      </c>
    </row>
    <row r="1553" spans="25:28" ht="15" customHeight="1" x14ac:dyDescent="0.2">
      <c r="Y1553" s="1">
        <f t="shared" si="100"/>
        <v>0</v>
      </c>
      <c r="Z1553" s="1">
        <f t="shared" si="101"/>
        <v>0</v>
      </c>
      <c r="AA1553" s="1">
        <f t="shared" si="102"/>
        <v>0</v>
      </c>
      <c r="AB1553" s="1">
        <f t="shared" si="103"/>
        <v>0</v>
      </c>
    </row>
    <row r="1554" spans="25:28" ht="15" customHeight="1" x14ac:dyDescent="0.2">
      <c r="Y1554" s="1">
        <f t="shared" si="100"/>
        <v>0</v>
      </c>
      <c r="Z1554" s="1">
        <f t="shared" si="101"/>
        <v>0</v>
      </c>
      <c r="AA1554" s="1">
        <f t="shared" si="102"/>
        <v>0</v>
      </c>
      <c r="AB1554" s="1">
        <f t="shared" si="103"/>
        <v>0</v>
      </c>
    </row>
    <row r="1555" spans="25:28" ht="15" customHeight="1" x14ac:dyDescent="0.2">
      <c r="Y1555" s="1">
        <f t="shared" si="100"/>
        <v>0</v>
      </c>
      <c r="Z1555" s="1">
        <f t="shared" si="101"/>
        <v>0</v>
      </c>
      <c r="AA1555" s="1">
        <f t="shared" si="102"/>
        <v>0</v>
      </c>
      <c r="AB1555" s="1">
        <f t="shared" si="103"/>
        <v>0</v>
      </c>
    </row>
    <row r="1556" spans="25:28" ht="15" customHeight="1" x14ac:dyDescent="0.2">
      <c r="Y1556" s="1">
        <f t="shared" si="100"/>
        <v>0</v>
      </c>
      <c r="Z1556" s="1">
        <f t="shared" si="101"/>
        <v>0</v>
      </c>
      <c r="AA1556" s="1">
        <f t="shared" si="102"/>
        <v>0</v>
      </c>
      <c r="AB1556" s="1">
        <f t="shared" si="103"/>
        <v>0</v>
      </c>
    </row>
    <row r="1557" spans="25:28" ht="15" customHeight="1" x14ac:dyDescent="0.2">
      <c r="Y1557" s="1">
        <f t="shared" si="100"/>
        <v>0</v>
      </c>
      <c r="Z1557" s="1">
        <f t="shared" si="101"/>
        <v>0</v>
      </c>
      <c r="AA1557" s="1">
        <f t="shared" si="102"/>
        <v>0</v>
      </c>
      <c r="AB1557" s="1">
        <f t="shared" si="103"/>
        <v>0</v>
      </c>
    </row>
    <row r="1558" spans="25:28" ht="15" customHeight="1" x14ac:dyDescent="0.2">
      <c r="Y1558" s="1">
        <f t="shared" si="100"/>
        <v>0</v>
      </c>
      <c r="Z1558" s="1">
        <f t="shared" si="101"/>
        <v>0</v>
      </c>
      <c r="AA1558" s="1">
        <f t="shared" si="102"/>
        <v>0</v>
      </c>
      <c r="AB1558" s="1">
        <f t="shared" si="103"/>
        <v>0</v>
      </c>
    </row>
    <row r="1559" spans="25:28" ht="15" customHeight="1" x14ac:dyDescent="0.2">
      <c r="Y1559" s="1">
        <f t="shared" si="100"/>
        <v>0</v>
      </c>
      <c r="Z1559" s="1">
        <f t="shared" si="101"/>
        <v>0</v>
      </c>
      <c r="AA1559" s="1">
        <f t="shared" si="102"/>
        <v>0</v>
      </c>
      <c r="AB1559" s="1">
        <f t="shared" si="103"/>
        <v>0</v>
      </c>
    </row>
    <row r="1560" spans="25:28" ht="15" customHeight="1" x14ac:dyDescent="0.2">
      <c r="Y1560" s="1">
        <f t="shared" si="100"/>
        <v>0</v>
      </c>
      <c r="Z1560" s="1">
        <f t="shared" si="101"/>
        <v>0</v>
      </c>
      <c r="AA1560" s="1">
        <f t="shared" si="102"/>
        <v>0</v>
      </c>
      <c r="AB1560" s="1">
        <f t="shared" si="103"/>
        <v>0</v>
      </c>
    </row>
    <row r="1561" spans="25:28" ht="15" customHeight="1" x14ac:dyDescent="0.2">
      <c r="Y1561" s="1">
        <f t="shared" si="100"/>
        <v>0</v>
      </c>
      <c r="Z1561" s="1">
        <f t="shared" si="101"/>
        <v>0</v>
      </c>
      <c r="AA1561" s="1">
        <f t="shared" si="102"/>
        <v>0</v>
      </c>
      <c r="AB1561" s="1">
        <f t="shared" si="103"/>
        <v>0</v>
      </c>
    </row>
    <row r="1562" spans="25:28" ht="15" customHeight="1" x14ac:dyDescent="0.2">
      <c r="Y1562" s="1">
        <f t="shared" si="100"/>
        <v>0</v>
      </c>
      <c r="Z1562" s="1">
        <f t="shared" si="101"/>
        <v>0</v>
      </c>
      <c r="AA1562" s="1">
        <f t="shared" si="102"/>
        <v>0</v>
      </c>
      <c r="AB1562" s="1">
        <f t="shared" si="103"/>
        <v>0</v>
      </c>
    </row>
    <row r="1563" spans="25:28" ht="15" customHeight="1" x14ac:dyDescent="0.2">
      <c r="Y1563" s="1">
        <f t="shared" si="100"/>
        <v>0</v>
      </c>
      <c r="Z1563" s="1">
        <f t="shared" si="101"/>
        <v>0</v>
      </c>
      <c r="AA1563" s="1">
        <f t="shared" si="102"/>
        <v>0</v>
      </c>
      <c r="AB1563" s="1">
        <f t="shared" si="103"/>
        <v>0</v>
      </c>
    </row>
    <row r="1564" spans="25:28" ht="15" customHeight="1" x14ac:dyDescent="0.2">
      <c r="Y1564" s="1">
        <f t="shared" si="100"/>
        <v>0</v>
      </c>
      <c r="Z1564" s="1">
        <f t="shared" si="101"/>
        <v>0</v>
      </c>
      <c r="AA1564" s="1">
        <f t="shared" si="102"/>
        <v>0</v>
      </c>
      <c r="AB1564" s="1">
        <f t="shared" si="103"/>
        <v>0</v>
      </c>
    </row>
    <row r="1565" spans="25:28" ht="15" customHeight="1" x14ac:dyDescent="0.2">
      <c r="Y1565" s="1">
        <f t="shared" si="100"/>
        <v>0</v>
      </c>
      <c r="Z1565" s="1">
        <f t="shared" si="101"/>
        <v>0</v>
      </c>
      <c r="AA1565" s="1">
        <f t="shared" si="102"/>
        <v>0</v>
      </c>
      <c r="AB1565" s="1">
        <f t="shared" si="103"/>
        <v>0</v>
      </c>
    </row>
    <row r="1566" spans="25:28" ht="15" customHeight="1" x14ac:dyDescent="0.2">
      <c r="Y1566" s="1">
        <f t="shared" si="100"/>
        <v>0</v>
      </c>
      <c r="Z1566" s="1">
        <f t="shared" si="101"/>
        <v>0</v>
      </c>
      <c r="AA1566" s="1">
        <f t="shared" si="102"/>
        <v>0</v>
      </c>
      <c r="AB1566" s="1">
        <f t="shared" si="103"/>
        <v>0</v>
      </c>
    </row>
    <row r="1567" spans="25:28" ht="15" customHeight="1" x14ac:dyDescent="0.2">
      <c r="Y1567" s="1">
        <f t="shared" si="100"/>
        <v>0</v>
      </c>
      <c r="Z1567" s="1">
        <f t="shared" si="101"/>
        <v>0</v>
      </c>
      <c r="AA1567" s="1">
        <f t="shared" si="102"/>
        <v>0</v>
      </c>
      <c r="AB1567" s="1">
        <f t="shared" si="103"/>
        <v>0</v>
      </c>
    </row>
    <row r="1568" spans="25:28" ht="15" customHeight="1" x14ac:dyDescent="0.2">
      <c r="Y1568" s="1">
        <f t="shared" si="100"/>
        <v>0</v>
      </c>
      <c r="Z1568" s="1">
        <f t="shared" si="101"/>
        <v>0</v>
      </c>
      <c r="AA1568" s="1">
        <f t="shared" si="102"/>
        <v>0</v>
      </c>
      <c r="AB1568" s="1">
        <f t="shared" si="103"/>
        <v>0</v>
      </c>
    </row>
    <row r="1569" spans="25:28" ht="15" customHeight="1" x14ac:dyDescent="0.2">
      <c r="Y1569" s="1">
        <f t="shared" si="100"/>
        <v>0</v>
      </c>
      <c r="Z1569" s="1">
        <f t="shared" si="101"/>
        <v>0</v>
      </c>
      <c r="AA1569" s="1">
        <f t="shared" si="102"/>
        <v>0</v>
      </c>
      <c r="AB1569" s="1">
        <f t="shared" si="103"/>
        <v>0</v>
      </c>
    </row>
    <row r="1570" spans="25:28" ht="15" customHeight="1" x14ac:dyDescent="0.2">
      <c r="Y1570" s="1">
        <f t="shared" si="100"/>
        <v>0</v>
      </c>
      <c r="Z1570" s="1">
        <f t="shared" si="101"/>
        <v>0</v>
      </c>
      <c r="AA1570" s="1">
        <f t="shared" si="102"/>
        <v>0</v>
      </c>
      <c r="AB1570" s="1">
        <f t="shared" si="103"/>
        <v>0</v>
      </c>
    </row>
    <row r="1571" spans="25:28" ht="15" customHeight="1" x14ac:dyDescent="0.2">
      <c r="Y1571" s="1">
        <f t="shared" si="100"/>
        <v>0</v>
      </c>
      <c r="Z1571" s="1">
        <f t="shared" si="101"/>
        <v>0</v>
      </c>
      <c r="AA1571" s="1">
        <f t="shared" si="102"/>
        <v>0</v>
      </c>
      <c r="AB1571" s="1">
        <f t="shared" si="103"/>
        <v>0</v>
      </c>
    </row>
    <row r="1572" spans="25:28" ht="15" customHeight="1" x14ac:dyDescent="0.2">
      <c r="Y1572" s="1">
        <f t="shared" si="100"/>
        <v>0</v>
      </c>
      <c r="Z1572" s="1">
        <f t="shared" si="101"/>
        <v>0</v>
      </c>
      <c r="AA1572" s="1">
        <f t="shared" si="102"/>
        <v>0</v>
      </c>
      <c r="AB1572" s="1">
        <f t="shared" si="103"/>
        <v>0</v>
      </c>
    </row>
    <row r="1573" spans="25:28" ht="15" customHeight="1" x14ac:dyDescent="0.2">
      <c r="Y1573" s="1">
        <f t="shared" si="100"/>
        <v>0</v>
      </c>
      <c r="Z1573" s="1">
        <f t="shared" si="101"/>
        <v>0</v>
      </c>
      <c r="AA1573" s="1">
        <f t="shared" si="102"/>
        <v>0</v>
      </c>
      <c r="AB1573" s="1">
        <f t="shared" si="103"/>
        <v>0</v>
      </c>
    </row>
    <row r="1574" spans="25:28" ht="15" customHeight="1" x14ac:dyDescent="0.2">
      <c r="Y1574" s="1">
        <f t="shared" si="100"/>
        <v>0</v>
      </c>
      <c r="Z1574" s="1">
        <f t="shared" si="101"/>
        <v>0</v>
      </c>
      <c r="AA1574" s="1">
        <f t="shared" si="102"/>
        <v>0</v>
      </c>
      <c r="AB1574" s="1">
        <f t="shared" si="103"/>
        <v>0</v>
      </c>
    </row>
    <row r="1575" spans="25:28" ht="15" customHeight="1" x14ac:dyDescent="0.2">
      <c r="Y1575" s="1">
        <f t="shared" si="100"/>
        <v>0</v>
      </c>
      <c r="Z1575" s="1">
        <f t="shared" si="101"/>
        <v>0</v>
      </c>
      <c r="AA1575" s="1">
        <f t="shared" si="102"/>
        <v>0</v>
      </c>
      <c r="AB1575" s="1">
        <f t="shared" si="103"/>
        <v>0</v>
      </c>
    </row>
    <row r="1576" spans="25:28" ht="15" customHeight="1" x14ac:dyDescent="0.2">
      <c r="Y1576" s="1">
        <f t="shared" si="100"/>
        <v>0</v>
      </c>
      <c r="Z1576" s="1">
        <f t="shared" si="101"/>
        <v>0</v>
      </c>
      <c r="AA1576" s="1">
        <f t="shared" si="102"/>
        <v>0</v>
      </c>
      <c r="AB1576" s="1">
        <f t="shared" si="103"/>
        <v>0</v>
      </c>
    </row>
    <row r="1577" spans="25:28" ht="15" customHeight="1" x14ac:dyDescent="0.2">
      <c r="Y1577" s="1">
        <f t="shared" si="100"/>
        <v>0</v>
      </c>
      <c r="Z1577" s="1">
        <f t="shared" si="101"/>
        <v>0</v>
      </c>
      <c r="AA1577" s="1">
        <f t="shared" si="102"/>
        <v>0</v>
      </c>
      <c r="AB1577" s="1">
        <f t="shared" si="103"/>
        <v>0</v>
      </c>
    </row>
    <row r="1578" spans="25:28" ht="15" customHeight="1" x14ac:dyDescent="0.2">
      <c r="Y1578" s="1">
        <f t="shared" si="100"/>
        <v>0</v>
      </c>
      <c r="Z1578" s="1">
        <f t="shared" si="101"/>
        <v>0</v>
      </c>
      <c r="AA1578" s="1">
        <f t="shared" si="102"/>
        <v>0</v>
      </c>
      <c r="AB1578" s="1">
        <f t="shared" si="103"/>
        <v>0</v>
      </c>
    </row>
    <row r="1579" spans="25:28" ht="15" customHeight="1" x14ac:dyDescent="0.2">
      <c r="Y1579" s="1">
        <f t="shared" si="100"/>
        <v>0</v>
      </c>
      <c r="Z1579" s="1">
        <f t="shared" si="101"/>
        <v>0</v>
      </c>
      <c r="AA1579" s="1">
        <f t="shared" si="102"/>
        <v>0</v>
      </c>
      <c r="AB1579" s="1">
        <f t="shared" si="103"/>
        <v>0</v>
      </c>
    </row>
    <row r="1580" spans="25:28" ht="15" customHeight="1" x14ac:dyDescent="0.2">
      <c r="Y1580" s="1">
        <f t="shared" si="100"/>
        <v>0</v>
      </c>
      <c r="Z1580" s="1">
        <f t="shared" si="101"/>
        <v>0</v>
      </c>
      <c r="AA1580" s="1">
        <f t="shared" si="102"/>
        <v>0</v>
      </c>
      <c r="AB1580" s="1">
        <f t="shared" si="103"/>
        <v>0</v>
      </c>
    </row>
    <row r="1581" spans="25:28" ht="15" customHeight="1" x14ac:dyDescent="0.2">
      <c r="Y1581" s="1">
        <f t="shared" si="100"/>
        <v>0</v>
      </c>
      <c r="Z1581" s="1">
        <f t="shared" si="101"/>
        <v>0</v>
      </c>
      <c r="AA1581" s="1">
        <f t="shared" si="102"/>
        <v>0</v>
      </c>
      <c r="AB1581" s="1">
        <f t="shared" si="103"/>
        <v>0</v>
      </c>
    </row>
    <row r="1582" spans="25:28" ht="15" customHeight="1" x14ac:dyDescent="0.2">
      <c r="Y1582" s="1">
        <f t="shared" si="100"/>
        <v>0</v>
      </c>
      <c r="Z1582" s="1">
        <f t="shared" si="101"/>
        <v>0</v>
      </c>
      <c r="AA1582" s="1">
        <f t="shared" si="102"/>
        <v>0</v>
      </c>
      <c r="AB1582" s="1">
        <f t="shared" si="103"/>
        <v>0</v>
      </c>
    </row>
    <row r="1583" spans="25:28" ht="15" customHeight="1" x14ac:dyDescent="0.2">
      <c r="Y1583" s="1">
        <f t="shared" si="100"/>
        <v>0</v>
      </c>
      <c r="Z1583" s="1">
        <f t="shared" si="101"/>
        <v>0</v>
      </c>
      <c r="AA1583" s="1">
        <f t="shared" si="102"/>
        <v>0</v>
      </c>
      <c r="AB1583" s="1">
        <f t="shared" si="103"/>
        <v>0</v>
      </c>
    </row>
    <row r="1584" spans="25:28" ht="15" customHeight="1" x14ac:dyDescent="0.2">
      <c r="Y1584" s="1">
        <f t="shared" si="100"/>
        <v>0</v>
      </c>
      <c r="Z1584" s="1">
        <f t="shared" si="101"/>
        <v>0</v>
      </c>
      <c r="AA1584" s="1">
        <f t="shared" si="102"/>
        <v>0</v>
      </c>
      <c r="AB1584" s="1">
        <f t="shared" si="103"/>
        <v>0</v>
      </c>
    </row>
    <row r="1585" spans="25:28" ht="15" customHeight="1" x14ac:dyDescent="0.2">
      <c r="Y1585" s="1">
        <f t="shared" si="100"/>
        <v>0</v>
      </c>
      <c r="Z1585" s="1">
        <f t="shared" si="101"/>
        <v>0</v>
      </c>
      <c r="AA1585" s="1">
        <f t="shared" si="102"/>
        <v>0</v>
      </c>
      <c r="AB1585" s="1">
        <f t="shared" si="103"/>
        <v>0</v>
      </c>
    </row>
    <row r="1586" spans="25:28" ht="15" customHeight="1" x14ac:dyDescent="0.2">
      <c r="Y1586" s="1">
        <f t="shared" si="100"/>
        <v>0</v>
      </c>
      <c r="Z1586" s="1">
        <f t="shared" si="101"/>
        <v>0</v>
      </c>
      <c r="AA1586" s="1">
        <f t="shared" si="102"/>
        <v>0</v>
      </c>
      <c r="AB1586" s="1">
        <f t="shared" si="103"/>
        <v>0</v>
      </c>
    </row>
    <row r="1587" spans="25:28" ht="15" customHeight="1" x14ac:dyDescent="0.2">
      <c r="Y1587" s="1">
        <f t="shared" si="100"/>
        <v>0</v>
      </c>
      <c r="Z1587" s="1">
        <f t="shared" si="101"/>
        <v>0</v>
      </c>
      <c r="AA1587" s="1">
        <f t="shared" si="102"/>
        <v>0</v>
      </c>
      <c r="AB1587" s="1">
        <f t="shared" si="103"/>
        <v>0</v>
      </c>
    </row>
    <row r="1588" spans="25:28" ht="15" customHeight="1" x14ac:dyDescent="0.2">
      <c r="Y1588" s="1">
        <f t="shared" si="100"/>
        <v>0</v>
      </c>
      <c r="Z1588" s="1">
        <f t="shared" si="101"/>
        <v>0</v>
      </c>
      <c r="AA1588" s="1">
        <f t="shared" si="102"/>
        <v>0</v>
      </c>
      <c r="AB1588" s="1">
        <f t="shared" si="103"/>
        <v>0</v>
      </c>
    </row>
    <row r="1589" spans="25:28" ht="15" customHeight="1" x14ac:dyDescent="0.2">
      <c r="Y1589" s="1">
        <f t="shared" si="100"/>
        <v>0</v>
      </c>
      <c r="Z1589" s="1">
        <f t="shared" si="101"/>
        <v>0</v>
      </c>
      <c r="AA1589" s="1">
        <f t="shared" si="102"/>
        <v>0</v>
      </c>
      <c r="AB1589" s="1">
        <f t="shared" si="103"/>
        <v>0</v>
      </c>
    </row>
    <row r="1590" spans="25:28" ht="15" customHeight="1" x14ac:dyDescent="0.2">
      <c r="Y1590" s="1">
        <f t="shared" si="100"/>
        <v>0</v>
      </c>
      <c r="Z1590" s="1">
        <f t="shared" si="101"/>
        <v>0</v>
      </c>
      <c r="AA1590" s="1">
        <f t="shared" si="102"/>
        <v>0</v>
      </c>
      <c r="AB1590" s="1">
        <f t="shared" si="103"/>
        <v>0</v>
      </c>
    </row>
    <row r="1591" spans="25:28" ht="15" customHeight="1" x14ac:dyDescent="0.2">
      <c r="Y1591" s="1">
        <f t="shared" si="100"/>
        <v>0</v>
      </c>
      <c r="Z1591" s="1">
        <f t="shared" si="101"/>
        <v>0</v>
      </c>
      <c r="AA1591" s="1">
        <f t="shared" si="102"/>
        <v>0</v>
      </c>
      <c r="AB1591" s="1">
        <f t="shared" si="103"/>
        <v>0</v>
      </c>
    </row>
    <row r="1592" spans="25:28" ht="15" customHeight="1" x14ac:dyDescent="0.2">
      <c r="Y1592" s="1">
        <f t="shared" si="100"/>
        <v>0</v>
      </c>
      <c r="Z1592" s="1">
        <f t="shared" si="101"/>
        <v>0</v>
      </c>
      <c r="AA1592" s="1">
        <f t="shared" si="102"/>
        <v>0</v>
      </c>
      <c r="AB1592" s="1">
        <f t="shared" si="103"/>
        <v>0</v>
      </c>
    </row>
    <row r="1593" spans="25:28" ht="15" customHeight="1" x14ac:dyDescent="0.2">
      <c r="Y1593" s="1">
        <f t="shared" si="100"/>
        <v>0</v>
      </c>
      <c r="Z1593" s="1">
        <f t="shared" si="101"/>
        <v>0</v>
      </c>
      <c r="AA1593" s="1">
        <f t="shared" si="102"/>
        <v>0</v>
      </c>
      <c r="AB1593" s="1">
        <f t="shared" si="103"/>
        <v>0</v>
      </c>
    </row>
    <row r="1594" spans="25:28" ht="15" customHeight="1" x14ac:dyDescent="0.2">
      <c r="Y1594" s="1">
        <f t="shared" si="100"/>
        <v>0</v>
      </c>
      <c r="Z1594" s="1">
        <f t="shared" si="101"/>
        <v>0</v>
      </c>
      <c r="AA1594" s="1">
        <f t="shared" si="102"/>
        <v>0</v>
      </c>
      <c r="AB1594" s="1">
        <f t="shared" si="103"/>
        <v>0</v>
      </c>
    </row>
    <row r="1595" spans="25:28" ht="15" customHeight="1" x14ac:dyDescent="0.2">
      <c r="Y1595" s="1">
        <f t="shared" si="100"/>
        <v>0</v>
      </c>
      <c r="Z1595" s="1">
        <f t="shared" si="101"/>
        <v>0</v>
      </c>
      <c r="AA1595" s="1">
        <f t="shared" si="102"/>
        <v>0</v>
      </c>
      <c r="AB1595" s="1">
        <f t="shared" si="103"/>
        <v>0</v>
      </c>
    </row>
    <row r="1596" spans="25:28" ht="15" customHeight="1" x14ac:dyDescent="0.2">
      <c r="Y1596" s="1">
        <f t="shared" si="100"/>
        <v>0</v>
      </c>
      <c r="Z1596" s="1">
        <f t="shared" si="101"/>
        <v>0</v>
      </c>
      <c r="AA1596" s="1">
        <f t="shared" si="102"/>
        <v>0</v>
      </c>
      <c r="AB1596" s="1">
        <f t="shared" si="103"/>
        <v>0</v>
      </c>
    </row>
    <row r="1597" spans="25:28" ht="15" customHeight="1" x14ac:dyDescent="0.2">
      <c r="Y1597" s="1">
        <f t="shared" si="100"/>
        <v>0</v>
      </c>
      <c r="Z1597" s="1">
        <f t="shared" si="101"/>
        <v>0</v>
      </c>
      <c r="AA1597" s="1">
        <f t="shared" si="102"/>
        <v>0</v>
      </c>
      <c r="AB1597" s="1">
        <f t="shared" si="103"/>
        <v>0</v>
      </c>
    </row>
    <row r="1598" spans="25:28" ht="15" customHeight="1" x14ac:dyDescent="0.2">
      <c r="Y1598" s="1">
        <f t="shared" si="100"/>
        <v>0</v>
      </c>
      <c r="Z1598" s="1">
        <f t="shared" si="101"/>
        <v>0</v>
      </c>
      <c r="AA1598" s="1">
        <f t="shared" si="102"/>
        <v>0</v>
      </c>
      <c r="AB1598" s="1">
        <f t="shared" si="103"/>
        <v>0</v>
      </c>
    </row>
    <row r="1599" spans="25:28" ht="15" customHeight="1" x14ac:dyDescent="0.2">
      <c r="Y1599" s="1">
        <f t="shared" si="100"/>
        <v>0</v>
      </c>
      <c r="Z1599" s="1">
        <f t="shared" si="101"/>
        <v>0</v>
      </c>
      <c r="AA1599" s="1">
        <f t="shared" si="102"/>
        <v>0</v>
      </c>
      <c r="AB1599" s="1">
        <f t="shared" si="103"/>
        <v>0</v>
      </c>
    </row>
    <row r="1600" spans="25:28" ht="15" customHeight="1" x14ac:dyDescent="0.2">
      <c r="Y1600" s="1">
        <f t="shared" si="100"/>
        <v>0</v>
      </c>
      <c r="Z1600" s="1">
        <f t="shared" si="101"/>
        <v>0</v>
      </c>
      <c r="AA1600" s="1">
        <f t="shared" si="102"/>
        <v>0</v>
      </c>
      <c r="AB1600" s="1">
        <f t="shared" si="103"/>
        <v>0</v>
      </c>
    </row>
    <row r="1601" spans="25:28" ht="15" customHeight="1" x14ac:dyDescent="0.2">
      <c r="Y1601" s="1">
        <f t="shared" si="100"/>
        <v>0</v>
      </c>
      <c r="Z1601" s="1">
        <f t="shared" si="101"/>
        <v>0</v>
      </c>
      <c r="AA1601" s="1">
        <f t="shared" si="102"/>
        <v>0</v>
      </c>
      <c r="AB1601" s="1">
        <f t="shared" si="103"/>
        <v>0</v>
      </c>
    </row>
    <row r="1602" spans="25:28" ht="15" customHeight="1" x14ac:dyDescent="0.2">
      <c r="Y1602" s="1">
        <f t="shared" si="100"/>
        <v>0</v>
      </c>
      <c r="Z1602" s="1">
        <f t="shared" si="101"/>
        <v>0</v>
      </c>
      <c r="AA1602" s="1">
        <f t="shared" si="102"/>
        <v>0</v>
      </c>
      <c r="AB1602" s="1">
        <f t="shared" si="103"/>
        <v>0</v>
      </c>
    </row>
    <row r="1603" spans="25:28" ht="15" customHeight="1" x14ac:dyDescent="0.2">
      <c r="Y1603" s="1">
        <f t="shared" si="100"/>
        <v>0</v>
      </c>
      <c r="Z1603" s="1">
        <f t="shared" si="101"/>
        <v>0</v>
      </c>
      <c r="AA1603" s="1">
        <f t="shared" si="102"/>
        <v>0</v>
      </c>
      <c r="AB1603" s="1">
        <f t="shared" si="103"/>
        <v>0</v>
      </c>
    </row>
    <row r="1604" spans="25:28" ht="15" customHeight="1" x14ac:dyDescent="0.2">
      <c r="Y1604" s="1">
        <f t="shared" si="100"/>
        <v>0</v>
      </c>
      <c r="Z1604" s="1">
        <f t="shared" si="101"/>
        <v>0</v>
      </c>
      <c r="AA1604" s="1">
        <f t="shared" si="102"/>
        <v>0</v>
      </c>
      <c r="AB1604" s="1">
        <f t="shared" si="103"/>
        <v>0</v>
      </c>
    </row>
    <row r="1605" spans="25:28" ht="15" customHeight="1" x14ac:dyDescent="0.2">
      <c r="Y1605" s="1">
        <f t="shared" si="100"/>
        <v>0</v>
      </c>
      <c r="Z1605" s="1">
        <f t="shared" si="101"/>
        <v>0</v>
      </c>
      <c r="AA1605" s="1">
        <f t="shared" si="102"/>
        <v>0</v>
      </c>
      <c r="AB1605" s="1">
        <f t="shared" si="103"/>
        <v>0</v>
      </c>
    </row>
    <row r="1606" spans="25:28" ht="15" customHeight="1" x14ac:dyDescent="0.2">
      <c r="Y1606" s="1">
        <f t="shared" si="100"/>
        <v>0</v>
      </c>
      <c r="Z1606" s="1">
        <f t="shared" si="101"/>
        <v>0</v>
      </c>
      <c r="AA1606" s="1">
        <f t="shared" si="102"/>
        <v>0</v>
      </c>
      <c r="AB1606" s="1">
        <f t="shared" si="103"/>
        <v>0</v>
      </c>
    </row>
    <row r="1607" spans="25:28" ht="15" customHeight="1" x14ac:dyDescent="0.2">
      <c r="Y1607" s="1">
        <f t="shared" si="100"/>
        <v>0</v>
      </c>
      <c r="Z1607" s="1">
        <f t="shared" si="101"/>
        <v>0</v>
      </c>
      <c r="AA1607" s="1">
        <f t="shared" si="102"/>
        <v>0</v>
      </c>
      <c r="AB1607" s="1">
        <f t="shared" si="103"/>
        <v>0</v>
      </c>
    </row>
    <row r="1608" spans="25:28" ht="15" customHeight="1" x14ac:dyDescent="0.2">
      <c r="Y1608" s="1">
        <f t="shared" si="100"/>
        <v>0</v>
      </c>
      <c r="Z1608" s="1">
        <f t="shared" si="101"/>
        <v>0</v>
      </c>
      <c r="AA1608" s="1">
        <f t="shared" si="102"/>
        <v>0</v>
      </c>
      <c r="AB1608" s="1">
        <f t="shared" si="103"/>
        <v>0</v>
      </c>
    </row>
    <row r="1609" spans="25:28" ht="15" customHeight="1" x14ac:dyDescent="0.2">
      <c r="Y1609" s="1">
        <f t="shared" si="100"/>
        <v>0</v>
      </c>
      <c r="Z1609" s="1">
        <f t="shared" si="101"/>
        <v>0</v>
      </c>
      <c r="AA1609" s="1">
        <f t="shared" si="102"/>
        <v>0</v>
      </c>
      <c r="AB1609" s="1">
        <f t="shared" si="103"/>
        <v>0</v>
      </c>
    </row>
    <row r="1610" spans="25:28" ht="15" customHeight="1" x14ac:dyDescent="0.2">
      <c r="Y1610" s="1">
        <f t="shared" si="100"/>
        <v>0</v>
      </c>
      <c r="Z1610" s="1">
        <f t="shared" si="101"/>
        <v>0</v>
      </c>
      <c r="AA1610" s="1">
        <f t="shared" si="102"/>
        <v>0</v>
      </c>
      <c r="AB1610" s="1">
        <f t="shared" si="103"/>
        <v>0</v>
      </c>
    </row>
    <row r="1611" spans="25:28" ht="15" customHeight="1" x14ac:dyDescent="0.2">
      <c r="Y1611" s="1">
        <f t="shared" si="100"/>
        <v>0</v>
      </c>
      <c r="Z1611" s="1">
        <f t="shared" si="101"/>
        <v>0</v>
      </c>
      <c r="AA1611" s="1">
        <f t="shared" si="102"/>
        <v>0</v>
      </c>
      <c r="AB1611" s="1">
        <f t="shared" si="103"/>
        <v>0</v>
      </c>
    </row>
    <row r="1612" spans="25:28" ht="15" customHeight="1" x14ac:dyDescent="0.2">
      <c r="Y1612" s="1">
        <f t="shared" si="100"/>
        <v>0</v>
      </c>
      <c r="Z1612" s="1">
        <f t="shared" si="101"/>
        <v>0</v>
      </c>
      <c r="AA1612" s="1">
        <f t="shared" si="102"/>
        <v>0</v>
      </c>
      <c r="AB1612" s="1">
        <f t="shared" si="103"/>
        <v>0</v>
      </c>
    </row>
    <row r="1613" spans="25:28" ht="15" customHeight="1" x14ac:dyDescent="0.2">
      <c r="Y1613" s="1">
        <f t="shared" si="100"/>
        <v>0</v>
      </c>
      <c r="Z1613" s="1">
        <f t="shared" si="101"/>
        <v>0</v>
      </c>
      <c r="AA1613" s="1">
        <f t="shared" si="102"/>
        <v>0</v>
      </c>
      <c r="AB1613" s="1">
        <f t="shared" si="103"/>
        <v>0</v>
      </c>
    </row>
    <row r="1614" spans="25:28" ht="15" customHeight="1" x14ac:dyDescent="0.2">
      <c r="Y1614" s="1">
        <f t="shared" ref="Y1614:Y1677" si="104">MAX(0,IFERROR((LEN($T1615)-LEN(SUBSTITUTE($T1615,"Quality of Works / Criteria of Failings:","")))/LEN("Quality of Works / Criteria of Failings:"),0)-IFERROR((LEN($T1615)-LEN(SUBSTITUTE($T1615,"Quality of Works / Criteria of Failings:Compliant","")))/LEN("Quality of Works / Criteria of Failings:Compliant"),0))</f>
        <v>0</v>
      </c>
      <c r="Z1614" s="1">
        <f t="shared" ref="Z1614:Z1677" si="105">IFERROR($Y1615/MAX(1,(LEN($I1615)-LEN(SUBSTITUTE($I1615," Ltd","")))/LEN(" Ltd")),0)</f>
        <v>0</v>
      </c>
      <c r="AA1614" s="1">
        <f t="shared" ref="AA1614:AA1677" si="106">IFERROR(IFERROR((LEN($T1615)-LEN(SUBSTITUTE($T1615,"Quality of Works / Criteria of Failings:","")))/LEN("Quality of Works / Criteria of Failings:"),0)/MAX(1,(LEN($I1615)-LEN(SUBSTITUTE($I1615," Ltd","")))/LEN(" Ltd")),0)</f>
        <v>0</v>
      </c>
      <c r="AB1614" s="1">
        <f t="shared" ref="AB1614:AB1677" si="107">IFERROR(IFERROR((LEN($T1615)-LEN(SUBSTITUTE($T1615,"Quality of Works / Criteria of Failings:Compliant","")))/LEN("Quality of Works / Criteria of Failings:Compliant"),0)/MAX(1,(LEN($I1615)-LEN(SUBSTITUTE($I1615," Ltd","")))/LEN(" Ltd")),0)</f>
        <v>0</v>
      </c>
    </row>
    <row r="1615" spans="25:28" ht="15" customHeight="1" x14ac:dyDescent="0.2">
      <c r="Y1615" s="1">
        <f t="shared" si="104"/>
        <v>0</v>
      </c>
      <c r="Z1615" s="1">
        <f t="shared" si="105"/>
        <v>0</v>
      </c>
      <c r="AA1615" s="1">
        <f t="shared" si="106"/>
        <v>0</v>
      </c>
      <c r="AB1615" s="1">
        <f t="shared" si="107"/>
        <v>0</v>
      </c>
    </row>
    <row r="1616" spans="25:28" ht="15" customHeight="1" x14ac:dyDescent="0.2">
      <c r="Y1616" s="1">
        <f t="shared" si="104"/>
        <v>0</v>
      </c>
      <c r="Z1616" s="1">
        <f t="shared" si="105"/>
        <v>0</v>
      </c>
      <c r="AA1616" s="1">
        <f t="shared" si="106"/>
        <v>0</v>
      </c>
      <c r="AB1616" s="1">
        <f t="shared" si="107"/>
        <v>0</v>
      </c>
    </row>
    <row r="1617" spans="25:28" ht="15" customHeight="1" x14ac:dyDescent="0.2">
      <c r="Y1617" s="1">
        <f t="shared" si="104"/>
        <v>0</v>
      </c>
      <c r="Z1617" s="1">
        <f t="shared" si="105"/>
        <v>0</v>
      </c>
      <c r="AA1617" s="1">
        <f t="shared" si="106"/>
        <v>0</v>
      </c>
      <c r="AB1617" s="1">
        <f t="shared" si="107"/>
        <v>0</v>
      </c>
    </row>
    <row r="1618" spans="25:28" ht="15" customHeight="1" x14ac:dyDescent="0.2">
      <c r="Y1618" s="1">
        <f t="shared" si="104"/>
        <v>0</v>
      </c>
      <c r="Z1618" s="1">
        <f t="shared" si="105"/>
        <v>0</v>
      </c>
      <c r="AA1618" s="1">
        <f t="shared" si="106"/>
        <v>0</v>
      </c>
      <c r="AB1618" s="1">
        <f t="shared" si="107"/>
        <v>0</v>
      </c>
    </row>
    <row r="1619" spans="25:28" ht="15" customHeight="1" x14ac:dyDescent="0.2">
      <c r="Y1619" s="1">
        <f t="shared" si="104"/>
        <v>0</v>
      </c>
      <c r="Z1619" s="1">
        <f t="shared" si="105"/>
        <v>0</v>
      </c>
      <c r="AA1619" s="1">
        <f t="shared" si="106"/>
        <v>0</v>
      </c>
      <c r="AB1619" s="1">
        <f t="shared" si="107"/>
        <v>0</v>
      </c>
    </row>
    <row r="1620" spans="25:28" ht="15" customHeight="1" x14ac:dyDescent="0.2">
      <c r="Y1620" s="1">
        <f t="shared" si="104"/>
        <v>0</v>
      </c>
      <c r="Z1620" s="1">
        <f t="shared" si="105"/>
        <v>0</v>
      </c>
      <c r="AA1620" s="1">
        <f t="shared" si="106"/>
        <v>0</v>
      </c>
      <c r="AB1620" s="1">
        <f t="shared" si="107"/>
        <v>0</v>
      </c>
    </row>
    <row r="1621" spans="25:28" ht="15" customHeight="1" x14ac:dyDescent="0.2">
      <c r="Y1621" s="1">
        <f t="shared" si="104"/>
        <v>0</v>
      </c>
      <c r="Z1621" s="1">
        <f t="shared" si="105"/>
        <v>0</v>
      </c>
      <c r="AA1621" s="1">
        <f t="shared" si="106"/>
        <v>0</v>
      </c>
      <c r="AB1621" s="1">
        <f t="shared" si="107"/>
        <v>0</v>
      </c>
    </row>
    <row r="1622" spans="25:28" ht="15" customHeight="1" x14ac:dyDescent="0.2">
      <c r="Y1622" s="1">
        <f t="shared" si="104"/>
        <v>0</v>
      </c>
      <c r="Z1622" s="1">
        <f t="shared" si="105"/>
        <v>0</v>
      </c>
      <c r="AA1622" s="1">
        <f t="shared" si="106"/>
        <v>0</v>
      </c>
      <c r="AB1622" s="1">
        <f t="shared" si="107"/>
        <v>0</v>
      </c>
    </row>
    <row r="1623" spans="25:28" ht="15" customHeight="1" x14ac:dyDescent="0.2">
      <c r="Y1623" s="1">
        <f t="shared" si="104"/>
        <v>0</v>
      </c>
      <c r="Z1623" s="1">
        <f t="shared" si="105"/>
        <v>0</v>
      </c>
      <c r="AA1623" s="1">
        <f t="shared" si="106"/>
        <v>0</v>
      </c>
      <c r="AB1623" s="1">
        <f t="shared" si="107"/>
        <v>0</v>
      </c>
    </row>
    <row r="1624" spans="25:28" ht="15" customHeight="1" x14ac:dyDescent="0.2">
      <c r="Y1624" s="1">
        <f t="shared" si="104"/>
        <v>0</v>
      </c>
      <c r="Z1624" s="1">
        <f t="shared" si="105"/>
        <v>0</v>
      </c>
      <c r="AA1624" s="1">
        <f t="shared" si="106"/>
        <v>0</v>
      </c>
      <c r="AB1624" s="1">
        <f t="shared" si="107"/>
        <v>0</v>
      </c>
    </row>
    <row r="1625" spans="25:28" ht="15" customHeight="1" x14ac:dyDescent="0.2">
      <c r="Y1625" s="1">
        <f t="shared" si="104"/>
        <v>0</v>
      </c>
      <c r="Z1625" s="1">
        <f t="shared" si="105"/>
        <v>0</v>
      </c>
      <c r="AA1625" s="1">
        <f t="shared" si="106"/>
        <v>0</v>
      </c>
      <c r="AB1625" s="1">
        <f t="shared" si="107"/>
        <v>0</v>
      </c>
    </row>
    <row r="1626" spans="25:28" ht="15" customHeight="1" x14ac:dyDescent="0.2">
      <c r="Y1626" s="1">
        <f t="shared" si="104"/>
        <v>0</v>
      </c>
      <c r="Z1626" s="1">
        <f t="shared" si="105"/>
        <v>0</v>
      </c>
      <c r="AA1626" s="1">
        <f t="shared" si="106"/>
        <v>0</v>
      </c>
      <c r="AB1626" s="1">
        <f t="shared" si="107"/>
        <v>0</v>
      </c>
    </row>
    <row r="1627" spans="25:28" ht="15" customHeight="1" x14ac:dyDescent="0.2">
      <c r="Y1627" s="1">
        <f t="shared" si="104"/>
        <v>0</v>
      </c>
      <c r="Z1627" s="1">
        <f t="shared" si="105"/>
        <v>0</v>
      </c>
      <c r="AA1627" s="1">
        <f t="shared" si="106"/>
        <v>0</v>
      </c>
      <c r="AB1627" s="1">
        <f t="shared" si="107"/>
        <v>0</v>
      </c>
    </row>
    <row r="1628" spans="25:28" ht="15" customHeight="1" x14ac:dyDescent="0.2">
      <c r="Y1628" s="1">
        <f t="shared" si="104"/>
        <v>0</v>
      </c>
      <c r="Z1628" s="1">
        <f t="shared" si="105"/>
        <v>0</v>
      </c>
      <c r="AA1628" s="1">
        <f t="shared" si="106"/>
        <v>0</v>
      </c>
      <c r="AB1628" s="1">
        <f t="shared" si="107"/>
        <v>0</v>
      </c>
    </row>
    <row r="1629" spans="25:28" ht="15" customHeight="1" x14ac:dyDescent="0.2">
      <c r="Y1629" s="1">
        <f t="shared" si="104"/>
        <v>0</v>
      </c>
      <c r="Z1629" s="1">
        <f t="shared" si="105"/>
        <v>0</v>
      </c>
      <c r="AA1629" s="1">
        <f t="shared" si="106"/>
        <v>0</v>
      </c>
      <c r="AB1629" s="1">
        <f t="shared" si="107"/>
        <v>0</v>
      </c>
    </row>
    <row r="1630" spans="25:28" ht="15" customHeight="1" x14ac:dyDescent="0.2">
      <c r="Y1630" s="1">
        <f t="shared" si="104"/>
        <v>0</v>
      </c>
      <c r="Z1630" s="1">
        <f t="shared" si="105"/>
        <v>0</v>
      </c>
      <c r="AA1630" s="1">
        <f t="shared" si="106"/>
        <v>0</v>
      </c>
      <c r="AB1630" s="1">
        <f t="shared" si="107"/>
        <v>0</v>
      </c>
    </row>
    <row r="1631" spans="25:28" ht="15" customHeight="1" x14ac:dyDescent="0.2">
      <c r="Y1631" s="1">
        <f t="shared" si="104"/>
        <v>0</v>
      </c>
      <c r="Z1631" s="1">
        <f t="shared" si="105"/>
        <v>0</v>
      </c>
      <c r="AA1631" s="1">
        <f t="shared" si="106"/>
        <v>0</v>
      </c>
      <c r="AB1631" s="1">
        <f t="shared" si="107"/>
        <v>0</v>
      </c>
    </row>
    <row r="1632" spans="25:28" ht="15" customHeight="1" x14ac:dyDescent="0.2">
      <c r="Y1632" s="1">
        <f t="shared" si="104"/>
        <v>0</v>
      </c>
      <c r="Z1632" s="1">
        <f t="shared" si="105"/>
        <v>0</v>
      </c>
      <c r="AA1632" s="1">
        <f t="shared" si="106"/>
        <v>0</v>
      </c>
      <c r="AB1632" s="1">
        <f t="shared" si="107"/>
        <v>0</v>
      </c>
    </row>
    <row r="1633" spans="25:28" ht="15" customHeight="1" x14ac:dyDescent="0.2">
      <c r="Y1633" s="1">
        <f t="shared" si="104"/>
        <v>0</v>
      </c>
      <c r="Z1633" s="1">
        <f t="shared" si="105"/>
        <v>0</v>
      </c>
      <c r="AA1633" s="1">
        <f t="shared" si="106"/>
        <v>0</v>
      </c>
      <c r="AB1633" s="1">
        <f t="shared" si="107"/>
        <v>0</v>
      </c>
    </row>
    <row r="1634" spans="25:28" ht="15" customHeight="1" x14ac:dyDescent="0.2">
      <c r="Y1634" s="1">
        <f t="shared" si="104"/>
        <v>0</v>
      </c>
      <c r="Z1634" s="1">
        <f t="shared" si="105"/>
        <v>0</v>
      </c>
      <c r="AA1634" s="1">
        <f t="shared" si="106"/>
        <v>0</v>
      </c>
      <c r="AB1634" s="1">
        <f t="shared" si="107"/>
        <v>0</v>
      </c>
    </row>
    <row r="1635" spans="25:28" ht="15" customHeight="1" x14ac:dyDescent="0.2">
      <c r="Y1635" s="1">
        <f t="shared" si="104"/>
        <v>0</v>
      </c>
      <c r="Z1635" s="1">
        <f t="shared" si="105"/>
        <v>0</v>
      </c>
      <c r="AA1635" s="1">
        <f t="shared" si="106"/>
        <v>0</v>
      </c>
      <c r="AB1635" s="1">
        <f t="shared" si="107"/>
        <v>0</v>
      </c>
    </row>
    <row r="1636" spans="25:28" ht="15" customHeight="1" x14ac:dyDescent="0.2">
      <c r="Y1636" s="1">
        <f t="shared" si="104"/>
        <v>0</v>
      </c>
      <c r="Z1636" s="1">
        <f t="shared" si="105"/>
        <v>0</v>
      </c>
      <c r="AA1636" s="1">
        <f t="shared" si="106"/>
        <v>0</v>
      </c>
      <c r="AB1636" s="1">
        <f t="shared" si="107"/>
        <v>0</v>
      </c>
    </row>
    <row r="1637" spans="25:28" ht="15" customHeight="1" x14ac:dyDescent="0.2">
      <c r="Y1637" s="1">
        <f t="shared" si="104"/>
        <v>0</v>
      </c>
      <c r="Z1637" s="1">
        <f t="shared" si="105"/>
        <v>0</v>
      </c>
      <c r="AA1637" s="1">
        <f t="shared" si="106"/>
        <v>0</v>
      </c>
      <c r="AB1637" s="1">
        <f t="shared" si="107"/>
        <v>0</v>
      </c>
    </row>
    <row r="1638" spans="25:28" ht="15" customHeight="1" x14ac:dyDescent="0.2">
      <c r="Y1638" s="1">
        <f t="shared" si="104"/>
        <v>0</v>
      </c>
      <c r="Z1638" s="1">
        <f t="shared" si="105"/>
        <v>0</v>
      </c>
      <c r="AA1638" s="1">
        <f t="shared" si="106"/>
        <v>0</v>
      </c>
      <c r="AB1638" s="1">
        <f t="shared" si="107"/>
        <v>0</v>
      </c>
    </row>
    <row r="1639" spans="25:28" ht="15" customHeight="1" x14ac:dyDescent="0.2">
      <c r="Y1639" s="1">
        <f t="shared" si="104"/>
        <v>0</v>
      </c>
      <c r="Z1639" s="1">
        <f t="shared" si="105"/>
        <v>0</v>
      </c>
      <c r="AA1639" s="1">
        <f t="shared" si="106"/>
        <v>0</v>
      </c>
      <c r="AB1639" s="1">
        <f t="shared" si="107"/>
        <v>0</v>
      </c>
    </row>
    <row r="1640" spans="25:28" ht="15" customHeight="1" x14ac:dyDescent="0.2">
      <c r="Y1640" s="1">
        <f t="shared" si="104"/>
        <v>0</v>
      </c>
      <c r="Z1640" s="1">
        <f t="shared" si="105"/>
        <v>0</v>
      </c>
      <c r="AA1640" s="1">
        <f t="shared" si="106"/>
        <v>0</v>
      </c>
      <c r="AB1640" s="1">
        <f t="shared" si="107"/>
        <v>0</v>
      </c>
    </row>
    <row r="1641" spans="25:28" ht="15" customHeight="1" x14ac:dyDescent="0.2">
      <c r="Y1641" s="1">
        <f t="shared" si="104"/>
        <v>0</v>
      </c>
      <c r="Z1641" s="1">
        <f t="shared" si="105"/>
        <v>0</v>
      </c>
      <c r="AA1641" s="1">
        <f t="shared" si="106"/>
        <v>0</v>
      </c>
      <c r="AB1641" s="1">
        <f t="shared" si="107"/>
        <v>0</v>
      </c>
    </row>
    <row r="1642" spans="25:28" ht="15" customHeight="1" x14ac:dyDescent="0.2">
      <c r="Y1642" s="1">
        <f t="shared" si="104"/>
        <v>0</v>
      </c>
      <c r="Z1642" s="1">
        <f t="shared" si="105"/>
        <v>0</v>
      </c>
      <c r="AA1642" s="1">
        <f t="shared" si="106"/>
        <v>0</v>
      </c>
      <c r="AB1642" s="1">
        <f t="shared" si="107"/>
        <v>0</v>
      </c>
    </row>
    <row r="1643" spans="25:28" ht="15" customHeight="1" x14ac:dyDescent="0.2">
      <c r="Y1643" s="1">
        <f t="shared" si="104"/>
        <v>0</v>
      </c>
      <c r="Z1643" s="1">
        <f t="shared" si="105"/>
        <v>0</v>
      </c>
      <c r="AA1643" s="1">
        <f t="shared" si="106"/>
        <v>0</v>
      </c>
      <c r="AB1643" s="1">
        <f t="shared" si="107"/>
        <v>0</v>
      </c>
    </row>
    <row r="1644" spans="25:28" ht="15" customHeight="1" x14ac:dyDescent="0.2">
      <c r="Y1644" s="1">
        <f t="shared" si="104"/>
        <v>0</v>
      </c>
      <c r="Z1644" s="1">
        <f t="shared" si="105"/>
        <v>0</v>
      </c>
      <c r="AA1644" s="1">
        <f t="shared" si="106"/>
        <v>0</v>
      </c>
      <c r="AB1644" s="1">
        <f t="shared" si="107"/>
        <v>0</v>
      </c>
    </row>
    <row r="1645" spans="25:28" ht="15" customHeight="1" x14ac:dyDescent="0.2">
      <c r="Y1645" s="1">
        <f t="shared" si="104"/>
        <v>0</v>
      </c>
      <c r="Z1645" s="1">
        <f t="shared" si="105"/>
        <v>0</v>
      </c>
      <c r="AA1645" s="1">
        <f t="shared" si="106"/>
        <v>0</v>
      </c>
      <c r="AB1645" s="1">
        <f t="shared" si="107"/>
        <v>0</v>
      </c>
    </row>
    <row r="1646" spans="25:28" ht="15" customHeight="1" x14ac:dyDescent="0.2">
      <c r="Y1646" s="1">
        <f t="shared" si="104"/>
        <v>0</v>
      </c>
      <c r="Z1646" s="1">
        <f t="shared" si="105"/>
        <v>0</v>
      </c>
      <c r="AA1646" s="1">
        <f t="shared" si="106"/>
        <v>0</v>
      </c>
      <c r="AB1646" s="1">
        <f t="shared" si="107"/>
        <v>0</v>
      </c>
    </row>
    <row r="1647" spans="25:28" ht="15" customHeight="1" x14ac:dyDescent="0.2">
      <c r="Y1647" s="1">
        <f t="shared" si="104"/>
        <v>0</v>
      </c>
      <c r="Z1647" s="1">
        <f t="shared" si="105"/>
        <v>0</v>
      </c>
      <c r="AA1647" s="1">
        <f t="shared" si="106"/>
        <v>0</v>
      </c>
      <c r="AB1647" s="1">
        <f t="shared" si="107"/>
        <v>0</v>
      </c>
    </row>
    <row r="1648" spans="25:28" ht="15" customHeight="1" x14ac:dyDescent="0.2">
      <c r="Y1648" s="1">
        <f t="shared" si="104"/>
        <v>0</v>
      </c>
      <c r="Z1648" s="1">
        <f t="shared" si="105"/>
        <v>0</v>
      </c>
      <c r="AA1648" s="1">
        <f t="shared" si="106"/>
        <v>0</v>
      </c>
      <c r="AB1648" s="1">
        <f t="shared" si="107"/>
        <v>0</v>
      </c>
    </row>
    <row r="1649" spans="25:28" ht="15" customHeight="1" x14ac:dyDescent="0.2">
      <c r="Y1649" s="1">
        <f t="shared" si="104"/>
        <v>0</v>
      </c>
      <c r="Z1649" s="1">
        <f t="shared" si="105"/>
        <v>0</v>
      </c>
      <c r="AA1649" s="1">
        <f t="shared" si="106"/>
        <v>0</v>
      </c>
      <c r="AB1649" s="1">
        <f t="shared" si="107"/>
        <v>0</v>
      </c>
    </row>
    <row r="1650" spans="25:28" ht="15" customHeight="1" x14ac:dyDescent="0.2">
      <c r="Y1650" s="1">
        <f t="shared" si="104"/>
        <v>0</v>
      </c>
      <c r="Z1650" s="1">
        <f t="shared" si="105"/>
        <v>0</v>
      </c>
      <c r="AA1650" s="1">
        <f t="shared" si="106"/>
        <v>0</v>
      </c>
      <c r="AB1650" s="1">
        <f t="shared" si="107"/>
        <v>0</v>
      </c>
    </row>
    <row r="1651" spans="25:28" ht="15" customHeight="1" x14ac:dyDescent="0.2">
      <c r="Y1651" s="1">
        <f t="shared" si="104"/>
        <v>0</v>
      </c>
      <c r="Z1651" s="1">
        <f t="shared" si="105"/>
        <v>0</v>
      </c>
      <c r="AA1651" s="1">
        <f t="shared" si="106"/>
        <v>0</v>
      </c>
      <c r="AB1651" s="1">
        <f t="shared" si="107"/>
        <v>0</v>
      </c>
    </row>
    <row r="1652" spans="25:28" ht="15" customHeight="1" x14ac:dyDescent="0.2">
      <c r="Y1652" s="1">
        <f t="shared" si="104"/>
        <v>0</v>
      </c>
      <c r="Z1652" s="1">
        <f t="shared" si="105"/>
        <v>0</v>
      </c>
      <c r="AA1652" s="1">
        <f t="shared" si="106"/>
        <v>0</v>
      </c>
      <c r="AB1652" s="1">
        <f t="shared" si="107"/>
        <v>0</v>
      </c>
    </row>
    <row r="1653" spans="25:28" ht="15" customHeight="1" x14ac:dyDescent="0.2">
      <c r="Y1653" s="1">
        <f t="shared" si="104"/>
        <v>0</v>
      </c>
      <c r="Z1653" s="1">
        <f t="shared" si="105"/>
        <v>0</v>
      </c>
      <c r="AA1653" s="1">
        <f t="shared" si="106"/>
        <v>0</v>
      </c>
      <c r="AB1653" s="1">
        <f t="shared" si="107"/>
        <v>0</v>
      </c>
    </row>
    <row r="1654" spans="25:28" ht="15" customHeight="1" x14ac:dyDescent="0.2">
      <c r="Y1654" s="1">
        <f t="shared" si="104"/>
        <v>0</v>
      </c>
      <c r="Z1654" s="1">
        <f t="shared" si="105"/>
        <v>0</v>
      </c>
      <c r="AA1654" s="1">
        <f t="shared" si="106"/>
        <v>0</v>
      </c>
      <c r="AB1654" s="1">
        <f t="shared" si="107"/>
        <v>0</v>
      </c>
    </row>
    <row r="1655" spans="25:28" ht="15" customHeight="1" x14ac:dyDescent="0.2">
      <c r="Y1655" s="1">
        <f t="shared" si="104"/>
        <v>0</v>
      </c>
      <c r="Z1655" s="1">
        <f t="shared" si="105"/>
        <v>0</v>
      </c>
      <c r="AA1655" s="1">
        <f t="shared" si="106"/>
        <v>0</v>
      </c>
      <c r="AB1655" s="1">
        <f t="shared" si="107"/>
        <v>0</v>
      </c>
    </row>
    <row r="1656" spans="25:28" ht="15" customHeight="1" x14ac:dyDescent="0.2">
      <c r="Y1656" s="1">
        <f t="shared" si="104"/>
        <v>0</v>
      </c>
      <c r="Z1656" s="1">
        <f t="shared" si="105"/>
        <v>0</v>
      </c>
      <c r="AA1656" s="1">
        <f t="shared" si="106"/>
        <v>0</v>
      </c>
      <c r="AB1656" s="1">
        <f t="shared" si="107"/>
        <v>0</v>
      </c>
    </row>
    <row r="1657" spans="25:28" ht="15" customHeight="1" x14ac:dyDescent="0.2">
      <c r="Y1657" s="1">
        <f t="shared" si="104"/>
        <v>0</v>
      </c>
      <c r="Z1657" s="1">
        <f t="shared" si="105"/>
        <v>0</v>
      </c>
      <c r="AA1657" s="1">
        <f t="shared" si="106"/>
        <v>0</v>
      </c>
      <c r="AB1657" s="1">
        <f t="shared" si="107"/>
        <v>0</v>
      </c>
    </row>
    <row r="1658" spans="25:28" ht="15" customHeight="1" x14ac:dyDescent="0.2">
      <c r="Y1658" s="1">
        <f t="shared" si="104"/>
        <v>0</v>
      </c>
      <c r="Z1658" s="1">
        <f t="shared" si="105"/>
        <v>0</v>
      </c>
      <c r="AA1658" s="1">
        <f t="shared" si="106"/>
        <v>0</v>
      </c>
      <c r="AB1658" s="1">
        <f t="shared" si="107"/>
        <v>0</v>
      </c>
    </row>
    <row r="1659" spans="25:28" ht="15" customHeight="1" x14ac:dyDescent="0.2">
      <c r="Y1659" s="1">
        <f t="shared" si="104"/>
        <v>0</v>
      </c>
      <c r="Z1659" s="1">
        <f t="shared" si="105"/>
        <v>0</v>
      </c>
      <c r="AA1659" s="1">
        <f t="shared" si="106"/>
        <v>0</v>
      </c>
      <c r="AB1659" s="1">
        <f t="shared" si="107"/>
        <v>0</v>
      </c>
    </row>
    <row r="1660" spans="25:28" ht="15" customHeight="1" x14ac:dyDescent="0.2">
      <c r="Y1660" s="1">
        <f t="shared" si="104"/>
        <v>0</v>
      </c>
      <c r="Z1660" s="1">
        <f t="shared" si="105"/>
        <v>0</v>
      </c>
      <c r="AA1660" s="1">
        <f t="shared" si="106"/>
        <v>0</v>
      </c>
      <c r="AB1660" s="1">
        <f t="shared" si="107"/>
        <v>0</v>
      </c>
    </row>
    <row r="1661" spans="25:28" ht="15" customHeight="1" x14ac:dyDescent="0.2">
      <c r="Y1661" s="1">
        <f t="shared" si="104"/>
        <v>0</v>
      </c>
      <c r="Z1661" s="1">
        <f t="shared" si="105"/>
        <v>0</v>
      </c>
      <c r="AA1661" s="1">
        <f t="shared" si="106"/>
        <v>0</v>
      </c>
      <c r="AB1661" s="1">
        <f t="shared" si="107"/>
        <v>0</v>
      </c>
    </row>
    <row r="1662" spans="25:28" ht="15" customHeight="1" x14ac:dyDescent="0.2">
      <c r="Y1662" s="1">
        <f t="shared" si="104"/>
        <v>0</v>
      </c>
      <c r="Z1662" s="1">
        <f t="shared" si="105"/>
        <v>0</v>
      </c>
      <c r="AA1662" s="1">
        <f t="shared" si="106"/>
        <v>0</v>
      </c>
      <c r="AB1662" s="1">
        <f t="shared" si="107"/>
        <v>0</v>
      </c>
    </row>
    <row r="1663" spans="25:28" ht="15" customHeight="1" x14ac:dyDescent="0.2">
      <c r="Y1663" s="1">
        <f t="shared" si="104"/>
        <v>0</v>
      </c>
      <c r="Z1663" s="1">
        <f t="shared" si="105"/>
        <v>0</v>
      </c>
      <c r="AA1663" s="1">
        <f t="shared" si="106"/>
        <v>0</v>
      </c>
      <c r="AB1663" s="1">
        <f t="shared" si="107"/>
        <v>0</v>
      </c>
    </row>
    <row r="1664" spans="25:28" ht="15" customHeight="1" x14ac:dyDescent="0.2">
      <c r="Y1664" s="1">
        <f t="shared" si="104"/>
        <v>0</v>
      </c>
      <c r="Z1664" s="1">
        <f t="shared" si="105"/>
        <v>0</v>
      </c>
      <c r="AA1664" s="1">
        <f t="shared" si="106"/>
        <v>0</v>
      </c>
      <c r="AB1664" s="1">
        <f t="shared" si="107"/>
        <v>0</v>
      </c>
    </row>
    <row r="1665" spans="25:28" ht="15" customHeight="1" x14ac:dyDescent="0.2">
      <c r="Y1665" s="1">
        <f t="shared" si="104"/>
        <v>0</v>
      </c>
      <c r="Z1665" s="1">
        <f t="shared" si="105"/>
        <v>0</v>
      </c>
      <c r="AA1665" s="1">
        <f t="shared" si="106"/>
        <v>0</v>
      </c>
      <c r="AB1665" s="1">
        <f t="shared" si="107"/>
        <v>0</v>
      </c>
    </row>
    <row r="1666" spans="25:28" ht="15" customHeight="1" x14ac:dyDescent="0.2">
      <c r="Y1666" s="1">
        <f t="shared" si="104"/>
        <v>0</v>
      </c>
      <c r="Z1666" s="1">
        <f t="shared" si="105"/>
        <v>0</v>
      </c>
      <c r="AA1666" s="1">
        <f t="shared" si="106"/>
        <v>0</v>
      </c>
      <c r="AB1666" s="1">
        <f t="shared" si="107"/>
        <v>0</v>
      </c>
    </row>
    <row r="1667" spans="25:28" ht="15" customHeight="1" x14ac:dyDescent="0.2">
      <c r="Y1667" s="1">
        <f t="shared" si="104"/>
        <v>0</v>
      </c>
      <c r="Z1667" s="1">
        <f t="shared" si="105"/>
        <v>0</v>
      </c>
      <c r="AA1667" s="1">
        <f t="shared" si="106"/>
        <v>0</v>
      </c>
      <c r="AB1667" s="1">
        <f t="shared" si="107"/>
        <v>0</v>
      </c>
    </row>
    <row r="1668" spans="25:28" ht="15" customHeight="1" x14ac:dyDescent="0.2">
      <c r="Y1668" s="1">
        <f t="shared" si="104"/>
        <v>0</v>
      </c>
      <c r="Z1668" s="1">
        <f t="shared" si="105"/>
        <v>0</v>
      </c>
      <c r="AA1668" s="1">
        <f t="shared" si="106"/>
        <v>0</v>
      </c>
      <c r="AB1668" s="1">
        <f t="shared" si="107"/>
        <v>0</v>
      </c>
    </row>
    <row r="1669" spans="25:28" ht="15" customHeight="1" x14ac:dyDescent="0.2">
      <c r="Y1669" s="1">
        <f t="shared" si="104"/>
        <v>0</v>
      </c>
      <c r="Z1669" s="1">
        <f t="shared" si="105"/>
        <v>0</v>
      </c>
      <c r="AA1669" s="1">
        <f t="shared" si="106"/>
        <v>0</v>
      </c>
      <c r="AB1669" s="1">
        <f t="shared" si="107"/>
        <v>0</v>
      </c>
    </row>
    <row r="1670" spans="25:28" ht="15" customHeight="1" x14ac:dyDescent="0.2">
      <c r="Y1670" s="1">
        <f t="shared" si="104"/>
        <v>0</v>
      </c>
      <c r="Z1670" s="1">
        <f t="shared" si="105"/>
        <v>0</v>
      </c>
      <c r="AA1670" s="1">
        <f t="shared" si="106"/>
        <v>0</v>
      </c>
      <c r="AB1670" s="1">
        <f t="shared" si="107"/>
        <v>0</v>
      </c>
    </row>
    <row r="1671" spans="25:28" ht="15" customHeight="1" x14ac:dyDescent="0.2">
      <c r="Y1671" s="1">
        <f t="shared" si="104"/>
        <v>0</v>
      </c>
      <c r="Z1671" s="1">
        <f t="shared" si="105"/>
        <v>0</v>
      </c>
      <c r="AA1671" s="1">
        <f t="shared" si="106"/>
        <v>0</v>
      </c>
      <c r="AB1671" s="1">
        <f t="shared" si="107"/>
        <v>0</v>
      </c>
    </row>
    <row r="1672" spans="25:28" ht="15" customHeight="1" x14ac:dyDescent="0.2">
      <c r="Y1672" s="1">
        <f t="shared" si="104"/>
        <v>0</v>
      </c>
      <c r="Z1672" s="1">
        <f t="shared" si="105"/>
        <v>0</v>
      </c>
      <c r="AA1672" s="1">
        <f t="shared" si="106"/>
        <v>0</v>
      </c>
      <c r="AB1672" s="1">
        <f t="shared" si="107"/>
        <v>0</v>
      </c>
    </row>
    <row r="1673" spans="25:28" ht="15" customHeight="1" x14ac:dyDescent="0.2">
      <c r="Y1673" s="1">
        <f t="shared" si="104"/>
        <v>0</v>
      </c>
      <c r="Z1673" s="1">
        <f t="shared" si="105"/>
        <v>0</v>
      </c>
      <c r="AA1673" s="1">
        <f t="shared" si="106"/>
        <v>0</v>
      </c>
      <c r="AB1673" s="1">
        <f t="shared" si="107"/>
        <v>0</v>
      </c>
    </row>
    <row r="1674" spans="25:28" ht="15" customHeight="1" x14ac:dyDescent="0.2">
      <c r="Y1674" s="1">
        <f t="shared" si="104"/>
        <v>0</v>
      </c>
      <c r="Z1674" s="1">
        <f t="shared" si="105"/>
        <v>0</v>
      </c>
      <c r="AA1674" s="1">
        <f t="shared" si="106"/>
        <v>0</v>
      </c>
      <c r="AB1674" s="1">
        <f t="shared" si="107"/>
        <v>0</v>
      </c>
    </row>
    <row r="1675" spans="25:28" ht="15" customHeight="1" x14ac:dyDescent="0.2">
      <c r="Y1675" s="1">
        <f t="shared" si="104"/>
        <v>0</v>
      </c>
      <c r="Z1675" s="1">
        <f t="shared" si="105"/>
        <v>0</v>
      </c>
      <c r="AA1675" s="1">
        <f t="shared" si="106"/>
        <v>0</v>
      </c>
      <c r="AB1675" s="1">
        <f t="shared" si="107"/>
        <v>0</v>
      </c>
    </row>
    <row r="1676" spans="25:28" ht="15" customHeight="1" x14ac:dyDescent="0.2">
      <c r="Y1676" s="1">
        <f t="shared" si="104"/>
        <v>0</v>
      </c>
      <c r="Z1676" s="1">
        <f t="shared" si="105"/>
        <v>0</v>
      </c>
      <c r="AA1676" s="1">
        <f t="shared" si="106"/>
        <v>0</v>
      </c>
      <c r="AB1676" s="1">
        <f t="shared" si="107"/>
        <v>0</v>
      </c>
    </row>
    <row r="1677" spans="25:28" ht="15" customHeight="1" x14ac:dyDescent="0.2">
      <c r="Y1677" s="1">
        <f t="shared" si="104"/>
        <v>0</v>
      </c>
      <c r="Z1677" s="1">
        <f t="shared" si="105"/>
        <v>0</v>
      </c>
      <c r="AA1677" s="1">
        <f t="shared" si="106"/>
        <v>0</v>
      </c>
      <c r="AB1677" s="1">
        <f t="shared" si="107"/>
        <v>0</v>
      </c>
    </row>
    <row r="1678" spans="25:28" ht="15" customHeight="1" x14ac:dyDescent="0.2">
      <c r="Y1678" s="1">
        <f t="shared" ref="Y1678:Y1741" si="108">MAX(0,IFERROR((LEN($T1679)-LEN(SUBSTITUTE($T1679,"Quality of Works / Criteria of Failings:","")))/LEN("Quality of Works / Criteria of Failings:"),0)-IFERROR((LEN($T1679)-LEN(SUBSTITUTE($T1679,"Quality of Works / Criteria of Failings:Compliant","")))/LEN("Quality of Works / Criteria of Failings:Compliant"),0))</f>
        <v>0</v>
      </c>
      <c r="Z1678" s="1">
        <f t="shared" ref="Z1678:Z1741" si="109">IFERROR($Y1679/MAX(1,(LEN($I1679)-LEN(SUBSTITUTE($I1679," Ltd","")))/LEN(" Ltd")),0)</f>
        <v>0</v>
      </c>
      <c r="AA1678" s="1">
        <f t="shared" ref="AA1678:AA1741" si="110">IFERROR(IFERROR((LEN($T1679)-LEN(SUBSTITUTE($T1679,"Quality of Works / Criteria of Failings:","")))/LEN("Quality of Works / Criteria of Failings:"),0)/MAX(1,(LEN($I1679)-LEN(SUBSTITUTE($I1679," Ltd","")))/LEN(" Ltd")),0)</f>
        <v>0</v>
      </c>
      <c r="AB1678" s="1">
        <f t="shared" ref="AB1678:AB1741" si="111">IFERROR(IFERROR((LEN($T1679)-LEN(SUBSTITUTE($T1679,"Quality of Works / Criteria of Failings:Compliant","")))/LEN("Quality of Works / Criteria of Failings:Compliant"),0)/MAX(1,(LEN($I1679)-LEN(SUBSTITUTE($I1679," Ltd","")))/LEN(" Ltd")),0)</f>
        <v>0</v>
      </c>
    </row>
    <row r="1679" spans="25:28" ht="15" customHeight="1" x14ac:dyDescent="0.2">
      <c r="Y1679" s="1">
        <f t="shared" si="108"/>
        <v>0</v>
      </c>
      <c r="Z1679" s="1">
        <f t="shared" si="109"/>
        <v>0</v>
      </c>
      <c r="AA1679" s="1">
        <f t="shared" si="110"/>
        <v>0</v>
      </c>
      <c r="AB1679" s="1">
        <f t="shared" si="111"/>
        <v>0</v>
      </c>
    </row>
    <row r="1680" spans="25:28" ht="15" customHeight="1" x14ac:dyDescent="0.2">
      <c r="Y1680" s="1">
        <f t="shared" si="108"/>
        <v>0</v>
      </c>
      <c r="Z1680" s="1">
        <f t="shared" si="109"/>
        <v>0</v>
      </c>
      <c r="AA1680" s="1">
        <f t="shared" si="110"/>
        <v>0</v>
      </c>
      <c r="AB1680" s="1">
        <f t="shared" si="111"/>
        <v>0</v>
      </c>
    </row>
    <row r="1681" spans="25:28" ht="15" customHeight="1" x14ac:dyDescent="0.2">
      <c r="Y1681" s="1">
        <f t="shared" si="108"/>
        <v>0</v>
      </c>
      <c r="Z1681" s="1">
        <f t="shared" si="109"/>
        <v>0</v>
      </c>
      <c r="AA1681" s="1">
        <f t="shared" si="110"/>
        <v>0</v>
      </c>
      <c r="AB1681" s="1">
        <f t="shared" si="111"/>
        <v>0</v>
      </c>
    </row>
    <row r="1682" spans="25:28" ht="15" customHeight="1" x14ac:dyDescent="0.2">
      <c r="Y1682" s="1">
        <f t="shared" si="108"/>
        <v>0</v>
      </c>
      <c r="Z1682" s="1">
        <f t="shared" si="109"/>
        <v>0</v>
      </c>
      <c r="AA1682" s="1">
        <f t="shared" si="110"/>
        <v>0</v>
      </c>
      <c r="AB1682" s="1">
        <f t="shared" si="111"/>
        <v>0</v>
      </c>
    </row>
    <row r="1683" spans="25:28" ht="15" customHeight="1" x14ac:dyDescent="0.2">
      <c r="Y1683" s="1">
        <f t="shared" si="108"/>
        <v>0</v>
      </c>
      <c r="Z1683" s="1">
        <f t="shared" si="109"/>
        <v>0</v>
      </c>
      <c r="AA1683" s="1">
        <f t="shared" si="110"/>
        <v>0</v>
      </c>
      <c r="AB1683" s="1">
        <f t="shared" si="111"/>
        <v>0</v>
      </c>
    </row>
    <row r="1684" spans="25:28" ht="15" customHeight="1" x14ac:dyDescent="0.2">
      <c r="Y1684" s="1">
        <f t="shared" si="108"/>
        <v>0</v>
      </c>
      <c r="Z1684" s="1">
        <f t="shared" si="109"/>
        <v>0</v>
      </c>
      <c r="AA1684" s="1">
        <f t="shared" si="110"/>
        <v>0</v>
      </c>
      <c r="AB1684" s="1">
        <f t="shared" si="111"/>
        <v>0</v>
      </c>
    </row>
    <row r="1685" spans="25:28" ht="15" customHeight="1" x14ac:dyDescent="0.2">
      <c r="Y1685" s="1">
        <f t="shared" si="108"/>
        <v>0</v>
      </c>
      <c r="Z1685" s="1">
        <f t="shared" si="109"/>
        <v>0</v>
      </c>
      <c r="AA1685" s="1">
        <f t="shared" si="110"/>
        <v>0</v>
      </c>
      <c r="AB1685" s="1">
        <f t="shared" si="111"/>
        <v>0</v>
      </c>
    </row>
    <row r="1686" spans="25:28" ht="15" customHeight="1" x14ac:dyDescent="0.2">
      <c r="Y1686" s="1">
        <f t="shared" si="108"/>
        <v>0</v>
      </c>
      <c r="Z1686" s="1">
        <f t="shared" si="109"/>
        <v>0</v>
      </c>
      <c r="AA1686" s="1">
        <f t="shared" si="110"/>
        <v>0</v>
      </c>
      <c r="AB1686" s="1">
        <f t="shared" si="111"/>
        <v>0</v>
      </c>
    </row>
    <row r="1687" spans="25:28" ht="15" customHeight="1" x14ac:dyDescent="0.2">
      <c r="Y1687" s="1">
        <f t="shared" si="108"/>
        <v>0</v>
      </c>
      <c r="Z1687" s="1">
        <f t="shared" si="109"/>
        <v>0</v>
      </c>
      <c r="AA1687" s="1">
        <f t="shared" si="110"/>
        <v>0</v>
      </c>
      <c r="AB1687" s="1">
        <f t="shared" si="111"/>
        <v>0</v>
      </c>
    </row>
    <row r="1688" spans="25:28" ht="15" customHeight="1" x14ac:dyDescent="0.2">
      <c r="Y1688" s="1">
        <f t="shared" si="108"/>
        <v>0</v>
      </c>
      <c r="Z1688" s="1">
        <f t="shared" si="109"/>
        <v>0</v>
      </c>
      <c r="AA1688" s="1">
        <f t="shared" si="110"/>
        <v>0</v>
      </c>
      <c r="AB1688" s="1">
        <f t="shared" si="111"/>
        <v>0</v>
      </c>
    </row>
    <row r="1689" spans="25:28" ht="15" customHeight="1" x14ac:dyDescent="0.2">
      <c r="Y1689" s="1">
        <f t="shared" si="108"/>
        <v>0</v>
      </c>
      <c r="Z1689" s="1">
        <f t="shared" si="109"/>
        <v>0</v>
      </c>
      <c r="AA1689" s="1">
        <f t="shared" si="110"/>
        <v>0</v>
      </c>
      <c r="AB1689" s="1">
        <f t="shared" si="111"/>
        <v>0</v>
      </c>
    </row>
    <row r="1690" spans="25:28" ht="15" customHeight="1" x14ac:dyDescent="0.2">
      <c r="Y1690" s="1">
        <f t="shared" si="108"/>
        <v>0</v>
      </c>
      <c r="Z1690" s="1">
        <f t="shared" si="109"/>
        <v>0</v>
      </c>
      <c r="AA1690" s="1">
        <f t="shared" si="110"/>
        <v>0</v>
      </c>
      <c r="AB1690" s="1">
        <f t="shared" si="111"/>
        <v>0</v>
      </c>
    </row>
    <row r="1691" spans="25:28" ht="15" customHeight="1" x14ac:dyDescent="0.2">
      <c r="Y1691" s="1">
        <f t="shared" si="108"/>
        <v>0</v>
      </c>
      <c r="Z1691" s="1">
        <f t="shared" si="109"/>
        <v>0</v>
      </c>
      <c r="AA1691" s="1">
        <f t="shared" si="110"/>
        <v>0</v>
      </c>
      <c r="AB1691" s="1">
        <f t="shared" si="111"/>
        <v>0</v>
      </c>
    </row>
    <row r="1692" spans="25:28" ht="15" customHeight="1" x14ac:dyDescent="0.2">
      <c r="Y1692" s="1">
        <f t="shared" si="108"/>
        <v>0</v>
      </c>
      <c r="Z1692" s="1">
        <f t="shared" si="109"/>
        <v>0</v>
      </c>
      <c r="AA1692" s="1">
        <f t="shared" si="110"/>
        <v>0</v>
      </c>
      <c r="AB1692" s="1">
        <f t="shared" si="111"/>
        <v>0</v>
      </c>
    </row>
    <row r="1693" spans="25:28" ht="15" customHeight="1" x14ac:dyDescent="0.2">
      <c r="Y1693" s="1">
        <f t="shared" si="108"/>
        <v>0</v>
      </c>
      <c r="Z1693" s="1">
        <f t="shared" si="109"/>
        <v>0</v>
      </c>
      <c r="AA1693" s="1">
        <f t="shared" si="110"/>
        <v>0</v>
      </c>
      <c r="AB1693" s="1">
        <f t="shared" si="111"/>
        <v>0</v>
      </c>
    </row>
    <row r="1694" spans="25:28" ht="15" customHeight="1" x14ac:dyDescent="0.2">
      <c r="Y1694" s="1">
        <f t="shared" si="108"/>
        <v>0</v>
      </c>
      <c r="Z1694" s="1">
        <f t="shared" si="109"/>
        <v>0</v>
      </c>
      <c r="AA1694" s="1">
        <f t="shared" si="110"/>
        <v>0</v>
      </c>
      <c r="AB1694" s="1">
        <f t="shared" si="111"/>
        <v>0</v>
      </c>
    </row>
    <row r="1695" spans="25:28" ht="15" customHeight="1" x14ac:dyDescent="0.2">
      <c r="Y1695" s="1">
        <f t="shared" si="108"/>
        <v>0</v>
      </c>
      <c r="Z1695" s="1">
        <f t="shared" si="109"/>
        <v>0</v>
      </c>
      <c r="AA1695" s="1">
        <f t="shared" si="110"/>
        <v>0</v>
      </c>
      <c r="AB1695" s="1">
        <f t="shared" si="111"/>
        <v>0</v>
      </c>
    </row>
    <row r="1696" spans="25:28" ht="15" customHeight="1" x14ac:dyDescent="0.2">
      <c r="Y1696" s="1">
        <f t="shared" si="108"/>
        <v>0</v>
      </c>
      <c r="Z1696" s="1">
        <f t="shared" si="109"/>
        <v>0</v>
      </c>
      <c r="AA1696" s="1">
        <f t="shared" si="110"/>
        <v>0</v>
      </c>
      <c r="AB1696" s="1">
        <f t="shared" si="111"/>
        <v>0</v>
      </c>
    </row>
    <row r="1697" spans="25:28" ht="15" customHeight="1" x14ac:dyDescent="0.2">
      <c r="Y1697" s="1">
        <f t="shared" si="108"/>
        <v>0</v>
      </c>
      <c r="Z1697" s="1">
        <f t="shared" si="109"/>
        <v>0</v>
      </c>
      <c r="AA1697" s="1">
        <f t="shared" si="110"/>
        <v>0</v>
      </c>
      <c r="AB1697" s="1">
        <f t="shared" si="111"/>
        <v>0</v>
      </c>
    </row>
    <row r="1698" spans="25:28" ht="15" customHeight="1" x14ac:dyDescent="0.2">
      <c r="Y1698" s="1">
        <f t="shared" si="108"/>
        <v>0</v>
      </c>
      <c r="Z1698" s="1">
        <f t="shared" si="109"/>
        <v>0</v>
      </c>
      <c r="AA1698" s="1">
        <f t="shared" si="110"/>
        <v>0</v>
      </c>
      <c r="AB1698" s="1">
        <f t="shared" si="111"/>
        <v>0</v>
      </c>
    </row>
    <row r="1699" spans="25:28" ht="15" customHeight="1" x14ac:dyDescent="0.2">
      <c r="Y1699" s="1">
        <f t="shared" si="108"/>
        <v>0</v>
      </c>
      <c r="Z1699" s="1">
        <f t="shared" si="109"/>
        <v>0</v>
      </c>
      <c r="AA1699" s="1">
        <f t="shared" si="110"/>
        <v>0</v>
      </c>
      <c r="AB1699" s="1">
        <f t="shared" si="111"/>
        <v>0</v>
      </c>
    </row>
    <row r="1700" spans="25:28" ht="15" customHeight="1" x14ac:dyDescent="0.2">
      <c r="Y1700" s="1">
        <f t="shared" si="108"/>
        <v>0</v>
      </c>
      <c r="Z1700" s="1">
        <f t="shared" si="109"/>
        <v>0</v>
      </c>
      <c r="AA1700" s="1">
        <f t="shared" si="110"/>
        <v>0</v>
      </c>
      <c r="AB1700" s="1">
        <f t="shared" si="111"/>
        <v>0</v>
      </c>
    </row>
    <row r="1701" spans="25:28" ht="15" customHeight="1" x14ac:dyDescent="0.2">
      <c r="Y1701" s="1">
        <f t="shared" si="108"/>
        <v>0</v>
      </c>
      <c r="Z1701" s="1">
        <f t="shared" si="109"/>
        <v>0</v>
      </c>
      <c r="AA1701" s="1">
        <f t="shared" si="110"/>
        <v>0</v>
      </c>
      <c r="AB1701" s="1">
        <f t="shared" si="111"/>
        <v>0</v>
      </c>
    </row>
    <row r="1702" spans="25:28" ht="15" customHeight="1" x14ac:dyDescent="0.2">
      <c r="Y1702" s="1">
        <f t="shared" si="108"/>
        <v>0</v>
      </c>
      <c r="Z1702" s="1">
        <f t="shared" si="109"/>
        <v>0</v>
      </c>
      <c r="AA1702" s="1">
        <f t="shared" si="110"/>
        <v>0</v>
      </c>
      <c r="AB1702" s="1">
        <f t="shared" si="111"/>
        <v>0</v>
      </c>
    </row>
    <row r="1703" spans="25:28" ht="15" customHeight="1" x14ac:dyDescent="0.2">
      <c r="Y1703" s="1">
        <f t="shared" si="108"/>
        <v>0</v>
      </c>
      <c r="Z1703" s="1">
        <f t="shared" si="109"/>
        <v>0</v>
      </c>
      <c r="AA1703" s="1">
        <f t="shared" si="110"/>
        <v>0</v>
      </c>
      <c r="AB1703" s="1">
        <f t="shared" si="111"/>
        <v>0</v>
      </c>
    </row>
    <row r="1704" spans="25:28" ht="15" customHeight="1" x14ac:dyDescent="0.2">
      <c r="Y1704" s="1">
        <f t="shared" si="108"/>
        <v>0</v>
      </c>
      <c r="Z1704" s="1">
        <f t="shared" si="109"/>
        <v>0</v>
      </c>
      <c r="AA1704" s="1">
        <f t="shared" si="110"/>
        <v>0</v>
      </c>
      <c r="AB1704" s="1">
        <f t="shared" si="111"/>
        <v>0</v>
      </c>
    </row>
    <row r="1705" spans="25:28" ht="15" customHeight="1" x14ac:dyDescent="0.2">
      <c r="Y1705" s="1">
        <f t="shared" si="108"/>
        <v>0</v>
      </c>
      <c r="Z1705" s="1">
        <f t="shared" si="109"/>
        <v>0</v>
      </c>
      <c r="AA1705" s="1">
        <f t="shared" si="110"/>
        <v>0</v>
      </c>
      <c r="AB1705" s="1">
        <f t="shared" si="111"/>
        <v>0</v>
      </c>
    </row>
    <row r="1706" spans="25:28" ht="15" customHeight="1" x14ac:dyDescent="0.2">
      <c r="Y1706" s="1">
        <f t="shared" si="108"/>
        <v>0</v>
      </c>
      <c r="Z1706" s="1">
        <f t="shared" si="109"/>
        <v>0</v>
      </c>
      <c r="AA1706" s="1">
        <f t="shared" si="110"/>
        <v>0</v>
      </c>
      <c r="AB1706" s="1">
        <f t="shared" si="111"/>
        <v>0</v>
      </c>
    </row>
    <row r="1707" spans="25:28" ht="15" customHeight="1" x14ac:dyDescent="0.2">
      <c r="Y1707" s="1">
        <f t="shared" si="108"/>
        <v>0</v>
      </c>
      <c r="Z1707" s="1">
        <f t="shared" si="109"/>
        <v>0</v>
      </c>
      <c r="AA1707" s="1">
        <f t="shared" si="110"/>
        <v>0</v>
      </c>
      <c r="AB1707" s="1">
        <f t="shared" si="111"/>
        <v>0</v>
      </c>
    </row>
    <row r="1708" spans="25:28" ht="15" customHeight="1" x14ac:dyDescent="0.2">
      <c r="Y1708" s="1">
        <f t="shared" si="108"/>
        <v>0</v>
      </c>
      <c r="Z1708" s="1">
        <f t="shared" si="109"/>
        <v>0</v>
      </c>
      <c r="AA1708" s="1">
        <f t="shared" si="110"/>
        <v>0</v>
      </c>
      <c r="AB1708" s="1">
        <f t="shared" si="111"/>
        <v>0</v>
      </c>
    </row>
    <row r="1709" spans="25:28" ht="15" customHeight="1" x14ac:dyDescent="0.2">
      <c r="Y1709" s="1">
        <f t="shared" si="108"/>
        <v>0</v>
      </c>
      <c r="Z1709" s="1">
        <f t="shared" si="109"/>
        <v>0</v>
      </c>
      <c r="AA1709" s="1">
        <f t="shared" si="110"/>
        <v>0</v>
      </c>
      <c r="AB1709" s="1">
        <f t="shared" si="111"/>
        <v>0</v>
      </c>
    </row>
    <row r="1710" spans="25:28" ht="15" customHeight="1" x14ac:dyDescent="0.2">
      <c r="Y1710" s="1">
        <f t="shared" si="108"/>
        <v>0</v>
      </c>
      <c r="Z1710" s="1">
        <f t="shared" si="109"/>
        <v>0</v>
      </c>
      <c r="AA1710" s="1">
        <f t="shared" si="110"/>
        <v>0</v>
      </c>
      <c r="AB1710" s="1">
        <f t="shared" si="111"/>
        <v>0</v>
      </c>
    </row>
    <row r="1711" spans="25:28" ht="15" customHeight="1" x14ac:dyDescent="0.2">
      <c r="Y1711" s="1">
        <f t="shared" si="108"/>
        <v>0</v>
      </c>
      <c r="Z1711" s="1">
        <f t="shared" si="109"/>
        <v>0</v>
      </c>
      <c r="AA1711" s="1">
        <f t="shared" si="110"/>
        <v>0</v>
      </c>
      <c r="AB1711" s="1">
        <f t="shared" si="111"/>
        <v>0</v>
      </c>
    </row>
    <row r="1712" spans="25:28" ht="15" customHeight="1" x14ac:dyDescent="0.2">
      <c r="Y1712" s="1">
        <f t="shared" si="108"/>
        <v>0</v>
      </c>
      <c r="Z1712" s="1">
        <f t="shared" si="109"/>
        <v>0</v>
      </c>
      <c r="AA1712" s="1">
        <f t="shared" si="110"/>
        <v>0</v>
      </c>
      <c r="AB1712" s="1">
        <f t="shared" si="111"/>
        <v>0</v>
      </c>
    </row>
    <row r="1713" spans="25:28" ht="15" customHeight="1" x14ac:dyDescent="0.2">
      <c r="Y1713" s="1">
        <f t="shared" si="108"/>
        <v>0</v>
      </c>
      <c r="Z1713" s="1">
        <f t="shared" si="109"/>
        <v>0</v>
      </c>
      <c r="AA1713" s="1">
        <f t="shared" si="110"/>
        <v>0</v>
      </c>
      <c r="AB1713" s="1">
        <f t="shared" si="111"/>
        <v>0</v>
      </c>
    </row>
    <row r="1714" spans="25:28" ht="15" customHeight="1" x14ac:dyDescent="0.2">
      <c r="Y1714" s="1">
        <f t="shared" si="108"/>
        <v>0</v>
      </c>
      <c r="Z1714" s="1">
        <f t="shared" si="109"/>
        <v>0</v>
      </c>
      <c r="AA1714" s="1">
        <f t="shared" si="110"/>
        <v>0</v>
      </c>
      <c r="AB1714" s="1">
        <f t="shared" si="111"/>
        <v>0</v>
      </c>
    </row>
    <row r="1715" spans="25:28" ht="15" customHeight="1" x14ac:dyDescent="0.2">
      <c r="Y1715" s="1">
        <f t="shared" si="108"/>
        <v>0</v>
      </c>
      <c r="Z1715" s="1">
        <f t="shared" si="109"/>
        <v>0</v>
      </c>
      <c r="AA1715" s="1">
        <f t="shared" si="110"/>
        <v>0</v>
      </c>
      <c r="AB1715" s="1">
        <f t="shared" si="111"/>
        <v>0</v>
      </c>
    </row>
    <row r="1716" spans="25:28" ht="15" customHeight="1" x14ac:dyDescent="0.2">
      <c r="Y1716" s="1">
        <f t="shared" si="108"/>
        <v>0</v>
      </c>
      <c r="Z1716" s="1">
        <f t="shared" si="109"/>
        <v>0</v>
      </c>
      <c r="AA1716" s="1">
        <f t="shared" si="110"/>
        <v>0</v>
      </c>
      <c r="AB1716" s="1">
        <f t="shared" si="111"/>
        <v>0</v>
      </c>
    </row>
    <row r="1717" spans="25:28" ht="15" customHeight="1" x14ac:dyDescent="0.2">
      <c r="Y1717" s="1">
        <f t="shared" si="108"/>
        <v>0</v>
      </c>
      <c r="Z1717" s="1">
        <f t="shared" si="109"/>
        <v>0</v>
      </c>
      <c r="AA1717" s="1">
        <f t="shared" si="110"/>
        <v>0</v>
      </c>
      <c r="AB1717" s="1">
        <f t="shared" si="111"/>
        <v>0</v>
      </c>
    </row>
    <row r="1718" spans="25:28" ht="15" customHeight="1" x14ac:dyDescent="0.2">
      <c r="Y1718" s="1">
        <f t="shared" si="108"/>
        <v>0</v>
      </c>
      <c r="Z1718" s="1">
        <f t="shared" si="109"/>
        <v>0</v>
      </c>
      <c r="AA1718" s="1">
        <f t="shared" si="110"/>
        <v>0</v>
      </c>
      <c r="AB1718" s="1">
        <f t="shared" si="111"/>
        <v>0</v>
      </c>
    </row>
    <row r="1719" spans="25:28" ht="15" customHeight="1" x14ac:dyDescent="0.2">
      <c r="Y1719" s="1">
        <f t="shared" si="108"/>
        <v>0</v>
      </c>
      <c r="Z1719" s="1">
        <f t="shared" si="109"/>
        <v>0</v>
      </c>
      <c r="AA1719" s="1">
        <f t="shared" si="110"/>
        <v>0</v>
      </c>
      <c r="AB1719" s="1">
        <f t="shared" si="111"/>
        <v>0</v>
      </c>
    </row>
    <row r="1720" spans="25:28" ht="15" customHeight="1" x14ac:dyDescent="0.2">
      <c r="Y1720" s="1">
        <f t="shared" si="108"/>
        <v>0</v>
      </c>
      <c r="Z1720" s="1">
        <f t="shared" si="109"/>
        <v>0</v>
      </c>
      <c r="AA1720" s="1">
        <f t="shared" si="110"/>
        <v>0</v>
      </c>
      <c r="AB1720" s="1">
        <f t="shared" si="111"/>
        <v>0</v>
      </c>
    </row>
    <row r="1721" spans="25:28" ht="15" customHeight="1" x14ac:dyDescent="0.2">
      <c r="Y1721" s="1">
        <f t="shared" si="108"/>
        <v>0</v>
      </c>
      <c r="Z1721" s="1">
        <f t="shared" si="109"/>
        <v>0</v>
      </c>
      <c r="AA1721" s="1">
        <f t="shared" si="110"/>
        <v>0</v>
      </c>
      <c r="AB1721" s="1">
        <f t="shared" si="111"/>
        <v>0</v>
      </c>
    </row>
    <row r="1722" spans="25:28" ht="15" customHeight="1" x14ac:dyDescent="0.2">
      <c r="Y1722" s="1">
        <f t="shared" si="108"/>
        <v>0</v>
      </c>
      <c r="Z1722" s="1">
        <f t="shared" si="109"/>
        <v>0</v>
      </c>
      <c r="AA1722" s="1">
        <f t="shared" si="110"/>
        <v>0</v>
      </c>
      <c r="AB1722" s="1">
        <f t="shared" si="111"/>
        <v>0</v>
      </c>
    </row>
    <row r="1723" spans="25:28" ht="15" customHeight="1" x14ac:dyDescent="0.2">
      <c r="Y1723" s="1">
        <f t="shared" si="108"/>
        <v>0</v>
      </c>
      <c r="Z1723" s="1">
        <f t="shared" si="109"/>
        <v>0</v>
      </c>
      <c r="AA1723" s="1">
        <f t="shared" si="110"/>
        <v>0</v>
      </c>
      <c r="AB1723" s="1">
        <f t="shared" si="111"/>
        <v>0</v>
      </c>
    </row>
    <row r="1724" spans="25:28" ht="15" customHeight="1" x14ac:dyDescent="0.2">
      <c r="Y1724" s="1">
        <f t="shared" si="108"/>
        <v>0</v>
      </c>
      <c r="Z1724" s="1">
        <f t="shared" si="109"/>
        <v>0</v>
      </c>
      <c r="AA1724" s="1">
        <f t="shared" si="110"/>
        <v>0</v>
      </c>
      <c r="AB1724" s="1">
        <f t="shared" si="111"/>
        <v>0</v>
      </c>
    </row>
    <row r="1725" spans="25:28" ht="15" customHeight="1" x14ac:dyDescent="0.2">
      <c r="Y1725" s="1">
        <f t="shared" si="108"/>
        <v>0</v>
      </c>
      <c r="Z1725" s="1">
        <f t="shared" si="109"/>
        <v>0</v>
      </c>
      <c r="AA1725" s="1">
        <f t="shared" si="110"/>
        <v>0</v>
      </c>
      <c r="AB1725" s="1">
        <f t="shared" si="111"/>
        <v>0</v>
      </c>
    </row>
    <row r="1726" spans="25:28" ht="15" customHeight="1" x14ac:dyDescent="0.2">
      <c r="Y1726" s="1">
        <f t="shared" si="108"/>
        <v>0</v>
      </c>
      <c r="Z1726" s="1">
        <f t="shared" si="109"/>
        <v>0</v>
      </c>
      <c r="AA1726" s="1">
        <f t="shared" si="110"/>
        <v>0</v>
      </c>
      <c r="AB1726" s="1">
        <f t="shared" si="111"/>
        <v>0</v>
      </c>
    </row>
    <row r="1727" spans="25:28" ht="15" customHeight="1" x14ac:dyDescent="0.2">
      <c r="Y1727" s="1">
        <f t="shared" si="108"/>
        <v>0</v>
      </c>
      <c r="Z1727" s="1">
        <f t="shared" si="109"/>
        <v>0</v>
      </c>
      <c r="AA1727" s="1">
        <f t="shared" si="110"/>
        <v>0</v>
      </c>
      <c r="AB1727" s="1">
        <f t="shared" si="111"/>
        <v>0</v>
      </c>
    </row>
    <row r="1728" spans="25:28" ht="15" customHeight="1" x14ac:dyDescent="0.2">
      <c r="Y1728" s="1">
        <f t="shared" si="108"/>
        <v>0</v>
      </c>
      <c r="Z1728" s="1">
        <f t="shared" si="109"/>
        <v>0</v>
      </c>
      <c r="AA1728" s="1">
        <f t="shared" si="110"/>
        <v>0</v>
      </c>
      <c r="AB1728" s="1">
        <f t="shared" si="111"/>
        <v>0</v>
      </c>
    </row>
    <row r="1729" spans="25:28" ht="15" customHeight="1" x14ac:dyDescent="0.2">
      <c r="Y1729" s="1">
        <f t="shared" si="108"/>
        <v>0</v>
      </c>
      <c r="Z1729" s="1">
        <f t="shared" si="109"/>
        <v>0</v>
      </c>
      <c r="AA1729" s="1">
        <f t="shared" si="110"/>
        <v>0</v>
      </c>
      <c r="AB1729" s="1">
        <f t="shared" si="111"/>
        <v>0</v>
      </c>
    </row>
    <row r="1730" spans="25:28" ht="15" customHeight="1" x14ac:dyDescent="0.2">
      <c r="Y1730" s="1">
        <f t="shared" si="108"/>
        <v>0</v>
      </c>
      <c r="Z1730" s="1">
        <f t="shared" si="109"/>
        <v>0</v>
      </c>
      <c r="AA1730" s="1">
        <f t="shared" si="110"/>
        <v>0</v>
      </c>
      <c r="AB1730" s="1">
        <f t="shared" si="111"/>
        <v>0</v>
      </c>
    </row>
    <row r="1731" spans="25:28" ht="15" customHeight="1" x14ac:dyDescent="0.2">
      <c r="Y1731" s="1">
        <f t="shared" si="108"/>
        <v>0</v>
      </c>
      <c r="Z1731" s="1">
        <f t="shared" si="109"/>
        <v>0</v>
      </c>
      <c r="AA1731" s="1">
        <f t="shared" si="110"/>
        <v>0</v>
      </c>
      <c r="AB1731" s="1">
        <f t="shared" si="111"/>
        <v>0</v>
      </c>
    </row>
    <row r="1732" spans="25:28" ht="15" customHeight="1" x14ac:dyDescent="0.2">
      <c r="Y1732" s="1">
        <f t="shared" si="108"/>
        <v>0</v>
      </c>
      <c r="Z1732" s="1">
        <f t="shared" si="109"/>
        <v>0</v>
      </c>
      <c r="AA1732" s="1">
        <f t="shared" si="110"/>
        <v>0</v>
      </c>
      <c r="AB1732" s="1">
        <f t="shared" si="111"/>
        <v>0</v>
      </c>
    </row>
    <row r="1733" spans="25:28" ht="15" customHeight="1" x14ac:dyDescent="0.2">
      <c r="Y1733" s="1">
        <f t="shared" si="108"/>
        <v>0</v>
      </c>
      <c r="Z1733" s="1">
        <f t="shared" si="109"/>
        <v>0</v>
      </c>
      <c r="AA1733" s="1">
        <f t="shared" si="110"/>
        <v>0</v>
      </c>
      <c r="AB1733" s="1">
        <f t="shared" si="111"/>
        <v>0</v>
      </c>
    </row>
    <row r="1734" spans="25:28" ht="15" customHeight="1" x14ac:dyDescent="0.2">
      <c r="Y1734" s="1">
        <f t="shared" si="108"/>
        <v>0</v>
      </c>
      <c r="Z1734" s="1">
        <f t="shared" si="109"/>
        <v>0</v>
      </c>
      <c r="AA1734" s="1">
        <f t="shared" si="110"/>
        <v>0</v>
      </c>
      <c r="AB1734" s="1">
        <f t="shared" si="111"/>
        <v>0</v>
      </c>
    </row>
    <row r="1735" spans="25:28" ht="15" customHeight="1" x14ac:dyDescent="0.2">
      <c r="Y1735" s="1">
        <f t="shared" si="108"/>
        <v>0</v>
      </c>
      <c r="Z1735" s="1">
        <f t="shared" si="109"/>
        <v>0</v>
      </c>
      <c r="AA1735" s="1">
        <f t="shared" si="110"/>
        <v>0</v>
      </c>
      <c r="AB1735" s="1">
        <f t="shared" si="111"/>
        <v>0</v>
      </c>
    </row>
    <row r="1736" spans="25:28" ht="15" customHeight="1" x14ac:dyDescent="0.2">
      <c r="Y1736" s="1">
        <f t="shared" si="108"/>
        <v>0</v>
      </c>
      <c r="Z1736" s="1">
        <f t="shared" si="109"/>
        <v>0</v>
      </c>
      <c r="AA1736" s="1">
        <f t="shared" si="110"/>
        <v>0</v>
      </c>
      <c r="AB1736" s="1">
        <f t="shared" si="111"/>
        <v>0</v>
      </c>
    </row>
    <row r="1737" spans="25:28" ht="15" customHeight="1" x14ac:dyDescent="0.2">
      <c r="Y1737" s="1">
        <f t="shared" si="108"/>
        <v>0</v>
      </c>
      <c r="Z1737" s="1">
        <f t="shared" si="109"/>
        <v>0</v>
      </c>
      <c r="AA1737" s="1">
        <f t="shared" si="110"/>
        <v>0</v>
      </c>
      <c r="AB1737" s="1">
        <f t="shared" si="111"/>
        <v>0</v>
      </c>
    </row>
    <row r="1738" spans="25:28" ht="15" customHeight="1" x14ac:dyDescent="0.2">
      <c r="Y1738" s="1">
        <f t="shared" si="108"/>
        <v>0</v>
      </c>
      <c r="Z1738" s="1">
        <f t="shared" si="109"/>
        <v>0</v>
      </c>
      <c r="AA1738" s="1">
        <f t="shared" si="110"/>
        <v>0</v>
      </c>
      <c r="AB1738" s="1">
        <f t="shared" si="111"/>
        <v>0</v>
      </c>
    </row>
    <row r="1739" spans="25:28" ht="15" customHeight="1" x14ac:dyDescent="0.2">
      <c r="Y1739" s="1">
        <f t="shared" si="108"/>
        <v>0</v>
      </c>
      <c r="Z1739" s="1">
        <f t="shared" si="109"/>
        <v>0</v>
      </c>
      <c r="AA1739" s="1">
        <f t="shared" si="110"/>
        <v>0</v>
      </c>
      <c r="AB1739" s="1">
        <f t="shared" si="111"/>
        <v>0</v>
      </c>
    </row>
    <row r="1740" spans="25:28" ht="15" customHeight="1" x14ac:dyDescent="0.2">
      <c r="Y1740" s="1">
        <f t="shared" si="108"/>
        <v>0</v>
      </c>
      <c r="Z1740" s="1">
        <f t="shared" si="109"/>
        <v>0</v>
      </c>
      <c r="AA1740" s="1">
        <f t="shared" si="110"/>
        <v>0</v>
      </c>
      <c r="AB1740" s="1">
        <f t="shared" si="111"/>
        <v>0</v>
      </c>
    </row>
    <row r="1741" spans="25:28" ht="15" customHeight="1" x14ac:dyDescent="0.2">
      <c r="Y1741" s="1">
        <f t="shared" si="108"/>
        <v>0</v>
      </c>
      <c r="Z1741" s="1">
        <f t="shared" si="109"/>
        <v>0</v>
      </c>
      <c r="AA1741" s="1">
        <f t="shared" si="110"/>
        <v>0</v>
      </c>
      <c r="AB1741" s="1">
        <f t="shared" si="111"/>
        <v>0</v>
      </c>
    </row>
    <row r="1742" spans="25:28" ht="15" customHeight="1" x14ac:dyDescent="0.2">
      <c r="Y1742" s="1">
        <f t="shared" ref="Y1742:Y1805" si="112">MAX(0,IFERROR((LEN($T1743)-LEN(SUBSTITUTE($T1743,"Quality of Works / Criteria of Failings:","")))/LEN("Quality of Works / Criteria of Failings:"),0)-IFERROR((LEN($T1743)-LEN(SUBSTITUTE($T1743,"Quality of Works / Criteria of Failings:Compliant","")))/LEN("Quality of Works / Criteria of Failings:Compliant"),0))</f>
        <v>0</v>
      </c>
      <c r="Z1742" s="1">
        <f t="shared" ref="Z1742:Z1805" si="113">IFERROR($Y1743/MAX(1,(LEN($I1743)-LEN(SUBSTITUTE($I1743," Ltd","")))/LEN(" Ltd")),0)</f>
        <v>0</v>
      </c>
      <c r="AA1742" s="1">
        <f t="shared" ref="AA1742:AA1805" si="114">IFERROR(IFERROR((LEN($T1743)-LEN(SUBSTITUTE($T1743,"Quality of Works / Criteria of Failings:","")))/LEN("Quality of Works / Criteria of Failings:"),0)/MAX(1,(LEN($I1743)-LEN(SUBSTITUTE($I1743," Ltd","")))/LEN(" Ltd")),0)</f>
        <v>0</v>
      </c>
      <c r="AB1742" s="1">
        <f t="shared" ref="AB1742:AB1805" si="115">IFERROR(IFERROR((LEN($T1743)-LEN(SUBSTITUTE($T1743,"Quality of Works / Criteria of Failings:Compliant","")))/LEN("Quality of Works / Criteria of Failings:Compliant"),0)/MAX(1,(LEN($I1743)-LEN(SUBSTITUTE($I1743," Ltd","")))/LEN(" Ltd")),0)</f>
        <v>0</v>
      </c>
    </row>
    <row r="1743" spans="25:28" ht="15" customHeight="1" x14ac:dyDescent="0.2">
      <c r="Y1743" s="1">
        <f t="shared" si="112"/>
        <v>0</v>
      </c>
      <c r="Z1743" s="1">
        <f t="shared" si="113"/>
        <v>0</v>
      </c>
      <c r="AA1743" s="1">
        <f t="shared" si="114"/>
        <v>0</v>
      </c>
      <c r="AB1743" s="1">
        <f t="shared" si="115"/>
        <v>0</v>
      </c>
    </row>
    <row r="1744" spans="25:28" ht="15" customHeight="1" x14ac:dyDescent="0.2">
      <c r="Y1744" s="1">
        <f t="shared" si="112"/>
        <v>0</v>
      </c>
      <c r="Z1744" s="1">
        <f t="shared" si="113"/>
        <v>0</v>
      </c>
      <c r="AA1744" s="1">
        <f t="shared" si="114"/>
        <v>0</v>
      </c>
      <c r="AB1744" s="1">
        <f t="shared" si="115"/>
        <v>0</v>
      </c>
    </row>
    <row r="1745" spans="25:28" ht="15" customHeight="1" x14ac:dyDescent="0.2">
      <c r="Y1745" s="1">
        <f t="shared" si="112"/>
        <v>0</v>
      </c>
      <c r="Z1745" s="1">
        <f t="shared" si="113"/>
        <v>0</v>
      </c>
      <c r="AA1745" s="1">
        <f t="shared" si="114"/>
        <v>0</v>
      </c>
      <c r="AB1745" s="1">
        <f t="shared" si="115"/>
        <v>0</v>
      </c>
    </row>
    <row r="1746" spans="25:28" ht="15" customHeight="1" x14ac:dyDescent="0.2">
      <c r="Y1746" s="1">
        <f t="shared" si="112"/>
        <v>0</v>
      </c>
      <c r="Z1746" s="1">
        <f t="shared" si="113"/>
        <v>0</v>
      </c>
      <c r="AA1746" s="1">
        <f t="shared" si="114"/>
        <v>0</v>
      </c>
      <c r="AB1746" s="1">
        <f t="shared" si="115"/>
        <v>0</v>
      </c>
    </row>
    <row r="1747" spans="25:28" ht="15" customHeight="1" x14ac:dyDescent="0.2">
      <c r="Y1747" s="1">
        <f t="shared" si="112"/>
        <v>0</v>
      </c>
      <c r="Z1747" s="1">
        <f t="shared" si="113"/>
        <v>0</v>
      </c>
      <c r="AA1747" s="1">
        <f t="shared" si="114"/>
        <v>0</v>
      </c>
      <c r="AB1747" s="1">
        <f t="shared" si="115"/>
        <v>0</v>
      </c>
    </row>
    <row r="1748" spans="25:28" ht="15" customHeight="1" x14ac:dyDescent="0.2">
      <c r="Y1748" s="1">
        <f t="shared" si="112"/>
        <v>0</v>
      </c>
      <c r="Z1748" s="1">
        <f t="shared" si="113"/>
        <v>0</v>
      </c>
      <c r="AA1748" s="1">
        <f t="shared" si="114"/>
        <v>0</v>
      </c>
      <c r="AB1748" s="1">
        <f t="shared" si="115"/>
        <v>0</v>
      </c>
    </row>
    <row r="1749" spans="25:28" ht="15" customHeight="1" x14ac:dyDescent="0.2">
      <c r="Y1749" s="1">
        <f t="shared" si="112"/>
        <v>0</v>
      </c>
      <c r="Z1749" s="1">
        <f t="shared" si="113"/>
        <v>0</v>
      </c>
      <c r="AA1749" s="1">
        <f t="shared" si="114"/>
        <v>0</v>
      </c>
      <c r="AB1749" s="1">
        <f t="shared" si="115"/>
        <v>0</v>
      </c>
    </row>
    <row r="1750" spans="25:28" ht="15" customHeight="1" x14ac:dyDescent="0.2">
      <c r="Y1750" s="1">
        <f t="shared" si="112"/>
        <v>0</v>
      </c>
      <c r="Z1750" s="1">
        <f t="shared" si="113"/>
        <v>0</v>
      </c>
      <c r="AA1750" s="1">
        <f t="shared" si="114"/>
        <v>0</v>
      </c>
      <c r="AB1750" s="1">
        <f t="shared" si="115"/>
        <v>0</v>
      </c>
    </row>
    <row r="1751" spans="25:28" ht="15" customHeight="1" x14ac:dyDescent="0.2">
      <c r="Y1751" s="1">
        <f t="shared" si="112"/>
        <v>0</v>
      </c>
      <c r="Z1751" s="1">
        <f t="shared" si="113"/>
        <v>0</v>
      </c>
      <c r="AA1751" s="1">
        <f t="shared" si="114"/>
        <v>0</v>
      </c>
      <c r="AB1751" s="1">
        <f t="shared" si="115"/>
        <v>0</v>
      </c>
    </row>
    <row r="1752" spans="25:28" ht="15" customHeight="1" x14ac:dyDescent="0.2">
      <c r="Y1752" s="1">
        <f t="shared" si="112"/>
        <v>0</v>
      </c>
      <c r="Z1752" s="1">
        <f t="shared" si="113"/>
        <v>0</v>
      </c>
      <c r="AA1752" s="1">
        <f t="shared" si="114"/>
        <v>0</v>
      </c>
      <c r="AB1752" s="1">
        <f t="shared" si="115"/>
        <v>0</v>
      </c>
    </row>
    <row r="1753" spans="25:28" ht="15" customHeight="1" x14ac:dyDescent="0.2">
      <c r="Y1753" s="1">
        <f t="shared" si="112"/>
        <v>0</v>
      </c>
      <c r="Z1753" s="1">
        <f t="shared" si="113"/>
        <v>0</v>
      </c>
      <c r="AA1753" s="1">
        <f t="shared" si="114"/>
        <v>0</v>
      </c>
      <c r="AB1753" s="1">
        <f t="shared" si="115"/>
        <v>0</v>
      </c>
    </row>
    <row r="1754" spans="25:28" ht="15" customHeight="1" x14ac:dyDescent="0.2">
      <c r="Y1754" s="1">
        <f t="shared" si="112"/>
        <v>0</v>
      </c>
      <c r="Z1754" s="1">
        <f t="shared" si="113"/>
        <v>0</v>
      </c>
      <c r="AA1754" s="1">
        <f t="shared" si="114"/>
        <v>0</v>
      </c>
      <c r="AB1754" s="1">
        <f t="shared" si="115"/>
        <v>0</v>
      </c>
    </row>
    <row r="1755" spans="25:28" ht="15" customHeight="1" x14ac:dyDescent="0.2">
      <c r="Y1755" s="1">
        <f t="shared" si="112"/>
        <v>0</v>
      </c>
      <c r="Z1755" s="1">
        <f t="shared" si="113"/>
        <v>0</v>
      </c>
      <c r="AA1755" s="1">
        <f t="shared" si="114"/>
        <v>0</v>
      </c>
      <c r="AB1755" s="1">
        <f t="shared" si="115"/>
        <v>0</v>
      </c>
    </row>
    <row r="1756" spans="25:28" ht="15" customHeight="1" x14ac:dyDescent="0.2">
      <c r="Y1756" s="1">
        <f t="shared" si="112"/>
        <v>0</v>
      </c>
      <c r="Z1756" s="1">
        <f t="shared" si="113"/>
        <v>0</v>
      </c>
      <c r="AA1756" s="1">
        <f t="shared" si="114"/>
        <v>0</v>
      </c>
      <c r="AB1756" s="1">
        <f t="shared" si="115"/>
        <v>0</v>
      </c>
    </row>
    <row r="1757" spans="25:28" ht="15" customHeight="1" x14ac:dyDescent="0.2">
      <c r="Y1757" s="1">
        <f t="shared" si="112"/>
        <v>0</v>
      </c>
      <c r="Z1757" s="1">
        <f t="shared" si="113"/>
        <v>0</v>
      </c>
      <c r="AA1757" s="1">
        <f t="shared" si="114"/>
        <v>0</v>
      </c>
      <c r="AB1757" s="1">
        <f t="shared" si="115"/>
        <v>0</v>
      </c>
    </row>
    <row r="1758" spans="25:28" ht="15" customHeight="1" x14ac:dyDescent="0.2">
      <c r="Y1758" s="1">
        <f t="shared" si="112"/>
        <v>0</v>
      </c>
      <c r="Z1758" s="1">
        <f t="shared" si="113"/>
        <v>0</v>
      </c>
      <c r="AA1758" s="1">
        <f t="shared" si="114"/>
        <v>0</v>
      </c>
      <c r="AB1758" s="1">
        <f t="shared" si="115"/>
        <v>0</v>
      </c>
    </row>
    <row r="1759" spans="25:28" ht="15" customHeight="1" x14ac:dyDescent="0.2">
      <c r="Y1759" s="1">
        <f t="shared" si="112"/>
        <v>0</v>
      </c>
      <c r="Z1759" s="1">
        <f t="shared" si="113"/>
        <v>0</v>
      </c>
      <c r="AA1759" s="1">
        <f t="shared" si="114"/>
        <v>0</v>
      </c>
      <c r="AB1759" s="1">
        <f t="shared" si="115"/>
        <v>0</v>
      </c>
    </row>
    <row r="1760" spans="25:28" ht="15" customHeight="1" x14ac:dyDescent="0.2">
      <c r="Y1760" s="1">
        <f t="shared" si="112"/>
        <v>0</v>
      </c>
      <c r="Z1760" s="1">
        <f t="shared" si="113"/>
        <v>0</v>
      </c>
      <c r="AA1760" s="1">
        <f t="shared" si="114"/>
        <v>0</v>
      </c>
      <c r="AB1760" s="1">
        <f t="shared" si="115"/>
        <v>0</v>
      </c>
    </row>
    <row r="1761" spans="25:28" ht="15" customHeight="1" x14ac:dyDescent="0.2">
      <c r="Y1761" s="1">
        <f t="shared" si="112"/>
        <v>0</v>
      </c>
      <c r="Z1761" s="1">
        <f t="shared" si="113"/>
        <v>0</v>
      </c>
      <c r="AA1761" s="1">
        <f t="shared" si="114"/>
        <v>0</v>
      </c>
      <c r="AB1761" s="1">
        <f t="shared" si="115"/>
        <v>0</v>
      </c>
    </row>
    <row r="1762" spans="25:28" ht="15" customHeight="1" x14ac:dyDescent="0.2">
      <c r="Y1762" s="1">
        <f t="shared" si="112"/>
        <v>0</v>
      </c>
      <c r="Z1762" s="1">
        <f t="shared" si="113"/>
        <v>0</v>
      </c>
      <c r="AA1762" s="1">
        <f t="shared" si="114"/>
        <v>0</v>
      </c>
      <c r="AB1762" s="1">
        <f t="shared" si="115"/>
        <v>0</v>
      </c>
    </row>
    <row r="1763" spans="25:28" ht="15" customHeight="1" x14ac:dyDescent="0.2">
      <c r="Y1763" s="1">
        <f t="shared" si="112"/>
        <v>0</v>
      </c>
      <c r="Z1763" s="1">
        <f t="shared" si="113"/>
        <v>0</v>
      </c>
      <c r="AA1763" s="1">
        <f t="shared" si="114"/>
        <v>0</v>
      </c>
      <c r="AB1763" s="1">
        <f t="shared" si="115"/>
        <v>0</v>
      </c>
    </row>
    <row r="1764" spans="25:28" ht="15" customHeight="1" x14ac:dyDescent="0.2">
      <c r="Y1764" s="1">
        <f t="shared" si="112"/>
        <v>0</v>
      </c>
      <c r="Z1764" s="1">
        <f t="shared" si="113"/>
        <v>0</v>
      </c>
      <c r="AA1764" s="1">
        <f t="shared" si="114"/>
        <v>0</v>
      </c>
      <c r="AB1764" s="1">
        <f t="shared" si="115"/>
        <v>0</v>
      </c>
    </row>
    <row r="1765" spans="25:28" ht="15" customHeight="1" x14ac:dyDescent="0.2">
      <c r="Y1765" s="1">
        <f t="shared" si="112"/>
        <v>0</v>
      </c>
      <c r="Z1765" s="1">
        <f t="shared" si="113"/>
        <v>0</v>
      </c>
      <c r="AA1765" s="1">
        <f t="shared" si="114"/>
        <v>0</v>
      </c>
      <c r="AB1765" s="1">
        <f t="shared" si="115"/>
        <v>0</v>
      </c>
    </row>
    <row r="1766" spans="25:28" ht="15" customHeight="1" x14ac:dyDescent="0.2">
      <c r="Y1766" s="1">
        <f t="shared" si="112"/>
        <v>0</v>
      </c>
      <c r="Z1766" s="1">
        <f t="shared" si="113"/>
        <v>0</v>
      </c>
      <c r="AA1766" s="1">
        <f t="shared" si="114"/>
        <v>0</v>
      </c>
      <c r="AB1766" s="1">
        <f t="shared" si="115"/>
        <v>0</v>
      </c>
    </row>
    <row r="1767" spans="25:28" ht="15" customHeight="1" x14ac:dyDescent="0.2">
      <c r="Y1767" s="1">
        <f t="shared" si="112"/>
        <v>0</v>
      </c>
      <c r="Z1767" s="1">
        <f t="shared" si="113"/>
        <v>0</v>
      </c>
      <c r="AA1767" s="1">
        <f t="shared" si="114"/>
        <v>0</v>
      </c>
      <c r="AB1767" s="1">
        <f t="shared" si="115"/>
        <v>0</v>
      </c>
    </row>
    <row r="1768" spans="25:28" ht="15" customHeight="1" x14ac:dyDescent="0.2">
      <c r="Y1768" s="1">
        <f t="shared" si="112"/>
        <v>0</v>
      </c>
      <c r="Z1768" s="1">
        <f t="shared" si="113"/>
        <v>0</v>
      </c>
      <c r="AA1768" s="1">
        <f t="shared" si="114"/>
        <v>0</v>
      </c>
      <c r="AB1768" s="1">
        <f t="shared" si="115"/>
        <v>0</v>
      </c>
    </row>
    <row r="1769" spans="25:28" ht="15" customHeight="1" x14ac:dyDescent="0.2">
      <c r="Y1769" s="1">
        <f t="shared" si="112"/>
        <v>0</v>
      </c>
      <c r="Z1769" s="1">
        <f t="shared" si="113"/>
        <v>0</v>
      </c>
      <c r="AA1769" s="1">
        <f t="shared" si="114"/>
        <v>0</v>
      </c>
      <c r="AB1769" s="1">
        <f t="shared" si="115"/>
        <v>0</v>
      </c>
    </row>
    <row r="1770" spans="25:28" ht="15" customHeight="1" x14ac:dyDescent="0.2">
      <c r="Y1770" s="1">
        <f t="shared" si="112"/>
        <v>0</v>
      </c>
      <c r="Z1770" s="1">
        <f t="shared" si="113"/>
        <v>0</v>
      </c>
      <c r="AA1770" s="1">
        <f t="shared" si="114"/>
        <v>0</v>
      </c>
      <c r="AB1770" s="1">
        <f t="shared" si="115"/>
        <v>0</v>
      </c>
    </row>
    <row r="1771" spans="25:28" ht="15" customHeight="1" x14ac:dyDescent="0.2">
      <c r="Y1771" s="1">
        <f t="shared" si="112"/>
        <v>0</v>
      </c>
      <c r="Z1771" s="1">
        <f t="shared" si="113"/>
        <v>0</v>
      </c>
      <c r="AA1771" s="1">
        <f t="shared" si="114"/>
        <v>0</v>
      </c>
      <c r="AB1771" s="1">
        <f t="shared" si="115"/>
        <v>0</v>
      </c>
    </row>
    <row r="1772" spans="25:28" ht="15" customHeight="1" x14ac:dyDescent="0.2">
      <c r="Y1772" s="1">
        <f t="shared" si="112"/>
        <v>0</v>
      </c>
      <c r="Z1772" s="1">
        <f t="shared" si="113"/>
        <v>0</v>
      </c>
      <c r="AA1772" s="1">
        <f t="shared" si="114"/>
        <v>0</v>
      </c>
      <c r="AB1772" s="1">
        <f t="shared" si="115"/>
        <v>0</v>
      </c>
    </row>
    <row r="1773" spans="25:28" ht="15" customHeight="1" x14ac:dyDescent="0.2">
      <c r="Y1773" s="1">
        <f t="shared" si="112"/>
        <v>0</v>
      </c>
      <c r="Z1773" s="1">
        <f t="shared" si="113"/>
        <v>0</v>
      </c>
      <c r="AA1773" s="1">
        <f t="shared" si="114"/>
        <v>0</v>
      </c>
      <c r="AB1773" s="1">
        <f t="shared" si="115"/>
        <v>0</v>
      </c>
    </row>
    <row r="1774" spans="25:28" ht="15" customHeight="1" x14ac:dyDescent="0.2">
      <c r="Y1774" s="1">
        <f t="shared" si="112"/>
        <v>0</v>
      </c>
      <c r="Z1774" s="1">
        <f t="shared" si="113"/>
        <v>0</v>
      </c>
      <c r="AA1774" s="1">
        <f t="shared" si="114"/>
        <v>0</v>
      </c>
      <c r="AB1774" s="1">
        <f t="shared" si="115"/>
        <v>0</v>
      </c>
    </row>
    <row r="1775" spans="25:28" ht="15" customHeight="1" x14ac:dyDescent="0.2">
      <c r="Y1775" s="1">
        <f t="shared" si="112"/>
        <v>0</v>
      </c>
      <c r="Z1775" s="1">
        <f t="shared" si="113"/>
        <v>0</v>
      </c>
      <c r="AA1775" s="1">
        <f t="shared" si="114"/>
        <v>0</v>
      </c>
      <c r="AB1775" s="1">
        <f t="shared" si="115"/>
        <v>0</v>
      </c>
    </row>
    <row r="1776" spans="25:28" ht="15" customHeight="1" x14ac:dyDescent="0.2">
      <c r="Y1776" s="1">
        <f t="shared" si="112"/>
        <v>0</v>
      </c>
      <c r="Z1776" s="1">
        <f t="shared" si="113"/>
        <v>0</v>
      </c>
      <c r="AA1776" s="1">
        <f t="shared" si="114"/>
        <v>0</v>
      </c>
      <c r="AB1776" s="1">
        <f t="shared" si="115"/>
        <v>0</v>
      </c>
    </row>
    <row r="1777" spans="25:28" ht="15" customHeight="1" x14ac:dyDescent="0.2">
      <c r="Y1777" s="1">
        <f t="shared" si="112"/>
        <v>0</v>
      </c>
      <c r="Z1777" s="1">
        <f t="shared" si="113"/>
        <v>0</v>
      </c>
      <c r="AA1777" s="1">
        <f t="shared" si="114"/>
        <v>0</v>
      </c>
      <c r="AB1777" s="1">
        <f t="shared" si="115"/>
        <v>0</v>
      </c>
    </row>
    <row r="1778" spans="25:28" ht="15" customHeight="1" x14ac:dyDescent="0.2">
      <c r="Y1778" s="1">
        <f t="shared" si="112"/>
        <v>0</v>
      </c>
      <c r="Z1778" s="1">
        <f t="shared" si="113"/>
        <v>0</v>
      </c>
      <c r="AA1778" s="1">
        <f t="shared" si="114"/>
        <v>0</v>
      </c>
      <c r="AB1778" s="1">
        <f t="shared" si="115"/>
        <v>0</v>
      </c>
    </row>
    <row r="1779" spans="25:28" ht="15" customHeight="1" x14ac:dyDescent="0.2">
      <c r="Y1779" s="1">
        <f t="shared" si="112"/>
        <v>0</v>
      </c>
      <c r="Z1779" s="1">
        <f t="shared" si="113"/>
        <v>0</v>
      </c>
      <c r="AA1779" s="1">
        <f t="shared" si="114"/>
        <v>0</v>
      </c>
      <c r="AB1779" s="1">
        <f t="shared" si="115"/>
        <v>0</v>
      </c>
    </row>
    <row r="1780" spans="25:28" ht="15" customHeight="1" x14ac:dyDescent="0.2">
      <c r="Y1780" s="1">
        <f t="shared" si="112"/>
        <v>0</v>
      </c>
      <c r="Z1780" s="1">
        <f t="shared" si="113"/>
        <v>0</v>
      </c>
      <c r="AA1780" s="1">
        <f t="shared" si="114"/>
        <v>0</v>
      </c>
      <c r="AB1780" s="1">
        <f t="shared" si="115"/>
        <v>0</v>
      </c>
    </row>
    <row r="1781" spans="25:28" ht="15" customHeight="1" x14ac:dyDescent="0.2">
      <c r="Y1781" s="1">
        <f t="shared" si="112"/>
        <v>0</v>
      </c>
      <c r="Z1781" s="1">
        <f t="shared" si="113"/>
        <v>0</v>
      </c>
      <c r="AA1781" s="1">
        <f t="shared" si="114"/>
        <v>0</v>
      </c>
      <c r="AB1781" s="1">
        <f t="shared" si="115"/>
        <v>0</v>
      </c>
    </row>
    <row r="1782" spans="25:28" ht="15" customHeight="1" x14ac:dyDescent="0.2">
      <c r="Y1782" s="1">
        <f t="shared" si="112"/>
        <v>0</v>
      </c>
      <c r="Z1782" s="1">
        <f t="shared" si="113"/>
        <v>0</v>
      </c>
      <c r="AA1782" s="1">
        <f t="shared" si="114"/>
        <v>0</v>
      </c>
      <c r="AB1782" s="1">
        <f t="shared" si="115"/>
        <v>0</v>
      </c>
    </row>
    <row r="1783" spans="25:28" ht="15" customHeight="1" x14ac:dyDescent="0.2">
      <c r="Y1783" s="1">
        <f t="shared" si="112"/>
        <v>0</v>
      </c>
      <c r="Z1783" s="1">
        <f t="shared" si="113"/>
        <v>0</v>
      </c>
      <c r="AA1783" s="1">
        <f t="shared" si="114"/>
        <v>0</v>
      </c>
      <c r="AB1783" s="1">
        <f t="shared" si="115"/>
        <v>0</v>
      </c>
    </row>
    <row r="1784" spans="25:28" ht="15" customHeight="1" x14ac:dyDescent="0.2">
      <c r="Y1784" s="1">
        <f t="shared" si="112"/>
        <v>0</v>
      </c>
      <c r="Z1784" s="1">
        <f t="shared" si="113"/>
        <v>0</v>
      </c>
      <c r="AA1784" s="1">
        <f t="shared" si="114"/>
        <v>0</v>
      </c>
      <c r="AB1784" s="1">
        <f t="shared" si="115"/>
        <v>0</v>
      </c>
    </row>
    <row r="1785" spans="25:28" ht="15" customHeight="1" x14ac:dyDescent="0.2">
      <c r="Y1785" s="1">
        <f t="shared" si="112"/>
        <v>0</v>
      </c>
      <c r="Z1785" s="1">
        <f t="shared" si="113"/>
        <v>0</v>
      </c>
      <c r="AA1785" s="1">
        <f t="shared" si="114"/>
        <v>0</v>
      </c>
      <c r="AB1785" s="1">
        <f t="shared" si="115"/>
        <v>0</v>
      </c>
    </row>
    <row r="1786" spans="25:28" ht="15" customHeight="1" x14ac:dyDescent="0.2">
      <c r="Y1786" s="1">
        <f t="shared" si="112"/>
        <v>0</v>
      </c>
      <c r="Z1786" s="1">
        <f t="shared" si="113"/>
        <v>0</v>
      </c>
      <c r="AA1786" s="1">
        <f t="shared" si="114"/>
        <v>0</v>
      </c>
      <c r="AB1786" s="1">
        <f t="shared" si="115"/>
        <v>0</v>
      </c>
    </row>
    <row r="1787" spans="25:28" ht="15" customHeight="1" x14ac:dyDescent="0.2">
      <c r="Y1787" s="1">
        <f t="shared" si="112"/>
        <v>0</v>
      </c>
      <c r="Z1787" s="1">
        <f t="shared" si="113"/>
        <v>0</v>
      </c>
      <c r="AA1787" s="1">
        <f t="shared" si="114"/>
        <v>0</v>
      </c>
      <c r="AB1787" s="1">
        <f t="shared" si="115"/>
        <v>0</v>
      </c>
    </row>
    <row r="1788" spans="25:28" ht="15" customHeight="1" x14ac:dyDescent="0.2">
      <c r="Y1788" s="1">
        <f t="shared" si="112"/>
        <v>0</v>
      </c>
      <c r="Z1788" s="1">
        <f t="shared" si="113"/>
        <v>0</v>
      </c>
      <c r="AA1788" s="1">
        <f t="shared" si="114"/>
        <v>0</v>
      </c>
      <c r="AB1788" s="1">
        <f t="shared" si="115"/>
        <v>0</v>
      </c>
    </row>
    <row r="1789" spans="25:28" ht="15" customHeight="1" x14ac:dyDescent="0.2">
      <c r="Y1789" s="1">
        <f t="shared" si="112"/>
        <v>0</v>
      </c>
      <c r="Z1789" s="1">
        <f t="shared" si="113"/>
        <v>0</v>
      </c>
      <c r="AA1789" s="1">
        <f t="shared" si="114"/>
        <v>0</v>
      </c>
      <c r="AB1789" s="1">
        <f t="shared" si="115"/>
        <v>0</v>
      </c>
    </row>
    <row r="1790" spans="25:28" ht="15" customHeight="1" x14ac:dyDescent="0.2">
      <c r="Y1790" s="1">
        <f t="shared" si="112"/>
        <v>0</v>
      </c>
      <c r="Z1790" s="1">
        <f t="shared" si="113"/>
        <v>0</v>
      </c>
      <c r="AA1790" s="1">
        <f t="shared" si="114"/>
        <v>0</v>
      </c>
      <c r="AB1790" s="1">
        <f t="shared" si="115"/>
        <v>0</v>
      </c>
    </row>
    <row r="1791" spans="25:28" ht="15" customHeight="1" x14ac:dyDescent="0.2">
      <c r="Y1791" s="1">
        <f t="shared" si="112"/>
        <v>0</v>
      </c>
      <c r="Z1791" s="1">
        <f t="shared" si="113"/>
        <v>0</v>
      </c>
      <c r="AA1791" s="1">
        <f t="shared" si="114"/>
        <v>0</v>
      </c>
      <c r="AB1791" s="1">
        <f t="shared" si="115"/>
        <v>0</v>
      </c>
    </row>
    <row r="1792" spans="25:28" ht="15" customHeight="1" x14ac:dyDescent="0.2">
      <c r="Y1792" s="1">
        <f t="shared" si="112"/>
        <v>0</v>
      </c>
      <c r="Z1792" s="1">
        <f t="shared" si="113"/>
        <v>0</v>
      </c>
      <c r="AA1792" s="1">
        <f t="shared" si="114"/>
        <v>0</v>
      </c>
      <c r="AB1792" s="1">
        <f t="shared" si="115"/>
        <v>0</v>
      </c>
    </row>
    <row r="1793" spans="25:28" ht="15" customHeight="1" x14ac:dyDescent="0.2">
      <c r="Y1793" s="1">
        <f t="shared" si="112"/>
        <v>0</v>
      </c>
      <c r="Z1793" s="1">
        <f t="shared" si="113"/>
        <v>0</v>
      </c>
      <c r="AA1793" s="1">
        <f t="shared" si="114"/>
        <v>0</v>
      </c>
      <c r="AB1793" s="1">
        <f t="shared" si="115"/>
        <v>0</v>
      </c>
    </row>
    <row r="1794" spans="25:28" ht="15" customHeight="1" x14ac:dyDescent="0.2">
      <c r="Y1794" s="1">
        <f t="shared" si="112"/>
        <v>0</v>
      </c>
      <c r="Z1794" s="1">
        <f t="shared" si="113"/>
        <v>0</v>
      </c>
      <c r="AA1794" s="1">
        <f t="shared" si="114"/>
        <v>0</v>
      </c>
      <c r="AB1794" s="1">
        <f t="shared" si="115"/>
        <v>0</v>
      </c>
    </row>
    <row r="1795" spans="25:28" ht="15" customHeight="1" x14ac:dyDescent="0.2">
      <c r="Y1795" s="1">
        <f t="shared" si="112"/>
        <v>0</v>
      </c>
      <c r="Z1795" s="1">
        <f t="shared" si="113"/>
        <v>0</v>
      </c>
      <c r="AA1795" s="1">
        <f t="shared" si="114"/>
        <v>0</v>
      </c>
      <c r="AB1795" s="1">
        <f t="shared" si="115"/>
        <v>0</v>
      </c>
    </row>
    <row r="1796" spans="25:28" ht="15" customHeight="1" x14ac:dyDescent="0.2">
      <c r="Y1796" s="1">
        <f t="shared" si="112"/>
        <v>0</v>
      </c>
      <c r="Z1796" s="1">
        <f t="shared" si="113"/>
        <v>0</v>
      </c>
      <c r="AA1796" s="1">
        <f t="shared" si="114"/>
        <v>0</v>
      </c>
      <c r="AB1796" s="1">
        <f t="shared" si="115"/>
        <v>0</v>
      </c>
    </row>
    <row r="1797" spans="25:28" ht="15" customHeight="1" x14ac:dyDescent="0.2">
      <c r="Y1797" s="1">
        <f t="shared" si="112"/>
        <v>0</v>
      </c>
      <c r="Z1797" s="1">
        <f t="shared" si="113"/>
        <v>0</v>
      </c>
      <c r="AA1797" s="1">
        <f t="shared" si="114"/>
        <v>0</v>
      </c>
      <c r="AB1797" s="1">
        <f t="shared" si="115"/>
        <v>0</v>
      </c>
    </row>
    <row r="1798" spans="25:28" ht="15" customHeight="1" x14ac:dyDescent="0.2">
      <c r="Y1798" s="1">
        <f t="shared" si="112"/>
        <v>0</v>
      </c>
      <c r="Z1798" s="1">
        <f t="shared" si="113"/>
        <v>0</v>
      </c>
      <c r="AA1798" s="1">
        <f t="shared" si="114"/>
        <v>0</v>
      </c>
      <c r="AB1798" s="1">
        <f t="shared" si="115"/>
        <v>0</v>
      </c>
    </row>
    <row r="1799" spans="25:28" ht="15" customHeight="1" x14ac:dyDescent="0.2">
      <c r="Y1799" s="1">
        <f t="shared" si="112"/>
        <v>0</v>
      </c>
      <c r="Z1799" s="1">
        <f t="shared" si="113"/>
        <v>0</v>
      </c>
      <c r="AA1799" s="1">
        <f t="shared" si="114"/>
        <v>0</v>
      </c>
      <c r="AB1799" s="1">
        <f t="shared" si="115"/>
        <v>0</v>
      </c>
    </row>
    <row r="1800" spans="25:28" ht="15" customHeight="1" x14ac:dyDescent="0.2">
      <c r="Y1800" s="1">
        <f t="shared" si="112"/>
        <v>0</v>
      </c>
      <c r="Z1800" s="1">
        <f t="shared" si="113"/>
        <v>0</v>
      </c>
      <c r="AA1800" s="1">
        <f t="shared" si="114"/>
        <v>0</v>
      </c>
      <c r="AB1800" s="1">
        <f t="shared" si="115"/>
        <v>0</v>
      </c>
    </row>
    <row r="1801" spans="25:28" ht="15" customHeight="1" x14ac:dyDescent="0.2">
      <c r="Y1801" s="1">
        <f t="shared" si="112"/>
        <v>0</v>
      </c>
      <c r="Z1801" s="1">
        <f t="shared" si="113"/>
        <v>0</v>
      </c>
      <c r="AA1801" s="1">
        <f t="shared" si="114"/>
        <v>0</v>
      </c>
      <c r="AB1801" s="1">
        <f t="shared" si="115"/>
        <v>0</v>
      </c>
    </row>
    <row r="1802" spans="25:28" ht="15" customHeight="1" x14ac:dyDescent="0.2">
      <c r="Y1802" s="1">
        <f t="shared" si="112"/>
        <v>0</v>
      </c>
      <c r="Z1802" s="1">
        <f t="shared" si="113"/>
        <v>0</v>
      </c>
      <c r="AA1802" s="1">
        <f t="shared" si="114"/>
        <v>0</v>
      </c>
      <c r="AB1802" s="1">
        <f t="shared" si="115"/>
        <v>0</v>
      </c>
    </row>
    <row r="1803" spans="25:28" ht="15" customHeight="1" x14ac:dyDescent="0.2">
      <c r="Y1803" s="1">
        <f t="shared" si="112"/>
        <v>0</v>
      </c>
      <c r="Z1803" s="1">
        <f t="shared" si="113"/>
        <v>0</v>
      </c>
      <c r="AA1803" s="1">
        <f t="shared" si="114"/>
        <v>0</v>
      </c>
      <c r="AB1803" s="1">
        <f t="shared" si="115"/>
        <v>0</v>
      </c>
    </row>
    <row r="1804" spans="25:28" ht="15" customHeight="1" x14ac:dyDescent="0.2">
      <c r="Y1804" s="1">
        <f t="shared" si="112"/>
        <v>0</v>
      </c>
      <c r="Z1804" s="1">
        <f t="shared" si="113"/>
        <v>0</v>
      </c>
      <c r="AA1804" s="1">
        <f t="shared" si="114"/>
        <v>0</v>
      </c>
      <c r="AB1804" s="1">
        <f t="shared" si="115"/>
        <v>0</v>
      </c>
    </row>
    <row r="1805" spans="25:28" ht="15" customHeight="1" x14ac:dyDescent="0.2">
      <c r="Y1805" s="1">
        <f t="shared" si="112"/>
        <v>0</v>
      </c>
      <c r="Z1805" s="1">
        <f t="shared" si="113"/>
        <v>0</v>
      </c>
      <c r="AA1805" s="1">
        <f t="shared" si="114"/>
        <v>0</v>
      </c>
      <c r="AB1805" s="1">
        <f t="shared" si="115"/>
        <v>0</v>
      </c>
    </row>
    <row r="1806" spans="25:28" ht="15" customHeight="1" x14ac:dyDescent="0.2">
      <c r="Y1806" s="1">
        <f t="shared" ref="Y1806:Y1869" si="116">MAX(0,IFERROR((LEN($T1807)-LEN(SUBSTITUTE($T1807,"Quality of Works / Criteria of Failings:","")))/LEN("Quality of Works / Criteria of Failings:"),0)-IFERROR((LEN($T1807)-LEN(SUBSTITUTE($T1807,"Quality of Works / Criteria of Failings:Compliant","")))/LEN("Quality of Works / Criteria of Failings:Compliant"),0))</f>
        <v>0</v>
      </c>
      <c r="Z1806" s="1">
        <f t="shared" ref="Z1806:Z1869" si="117">IFERROR($Y1807/MAX(1,(LEN($I1807)-LEN(SUBSTITUTE($I1807," Ltd","")))/LEN(" Ltd")),0)</f>
        <v>0</v>
      </c>
      <c r="AA1806" s="1">
        <f t="shared" ref="AA1806:AA1869" si="118">IFERROR(IFERROR((LEN($T1807)-LEN(SUBSTITUTE($T1807,"Quality of Works / Criteria of Failings:","")))/LEN("Quality of Works / Criteria of Failings:"),0)/MAX(1,(LEN($I1807)-LEN(SUBSTITUTE($I1807," Ltd","")))/LEN(" Ltd")),0)</f>
        <v>0</v>
      </c>
      <c r="AB1806" s="1">
        <f t="shared" ref="AB1806:AB1869" si="119">IFERROR(IFERROR((LEN($T1807)-LEN(SUBSTITUTE($T1807,"Quality of Works / Criteria of Failings:Compliant","")))/LEN("Quality of Works / Criteria of Failings:Compliant"),0)/MAX(1,(LEN($I1807)-LEN(SUBSTITUTE($I1807," Ltd","")))/LEN(" Ltd")),0)</f>
        <v>0</v>
      </c>
    </row>
    <row r="1807" spans="25:28" ht="15" customHeight="1" x14ac:dyDescent="0.2">
      <c r="Y1807" s="1">
        <f t="shared" si="116"/>
        <v>0</v>
      </c>
      <c r="Z1807" s="1">
        <f t="shared" si="117"/>
        <v>0</v>
      </c>
      <c r="AA1807" s="1">
        <f t="shared" si="118"/>
        <v>0</v>
      </c>
      <c r="AB1807" s="1">
        <f t="shared" si="119"/>
        <v>0</v>
      </c>
    </row>
    <row r="1808" spans="25:28" ht="15" customHeight="1" x14ac:dyDescent="0.2">
      <c r="Y1808" s="1">
        <f t="shared" si="116"/>
        <v>0</v>
      </c>
      <c r="Z1808" s="1">
        <f t="shared" si="117"/>
        <v>0</v>
      </c>
      <c r="AA1808" s="1">
        <f t="shared" si="118"/>
        <v>0</v>
      </c>
      <c r="AB1808" s="1">
        <f t="shared" si="119"/>
        <v>0</v>
      </c>
    </row>
    <row r="1809" spans="25:28" ht="15" customHeight="1" x14ac:dyDescent="0.2">
      <c r="Y1809" s="1">
        <f t="shared" si="116"/>
        <v>0</v>
      </c>
      <c r="Z1809" s="1">
        <f t="shared" si="117"/>
        <v>0</v>
      </c>
      <c r="AA1809" s="1">
        <f t="shared" si="118"/>
        <v>0</v>
      </c>
      <c r="AB1809" s="1">
        <f t="shared" si="119"/>
        <v>0</v>
      </c>
    </row>
    <row r="1810" spans="25:28" ht="15" customHeight="1" x14ac:dyDescent="0.2">
      <c r="Y1810" s="1">
        <f t="shared" si="116"/>
        <v>0</v>
      </c>
      <c r="Z1810" s="1">
        <f t="shared" si="117"/>
        <v>0</v>
      </c>
      <c r="AA1810" s="1">
        <f t="shared" si="118"/>
        <v>0</v>
      </c>
      <c r="AB1810" s="1">
        <f t="shared" si="119"/>
        <v>0</v>
      </c>
    </row>
    <row r="1811" spans="25:28" ht="15" customHeight="1" x14ac:dyDescent="0.2">
      <c r="Y1811" s="1">
        <f t="shared" si="116"/>
        <v>0</v>
      </c>
      <c r="Z1811" s="1">
        <f t="shared" si="117"/>
        <v>0</v>
      </c>
      <c r="AA1811" s="1">
        <f t="shared" si="118"/>
        <v>0</v>
      </c>
      <c r="AB1811" s="1">
        <f t="shared" si="119"/>
        <v>0</v>
      </c>
    </row>
    <row r="1812" spans="25:28" ht="15" customHeight="1" x14ac:dyDescent="0.2">
      <c r="Y1812" s="1">
        <f t="shared" si="116"/>
        <v>0</v>
      </c>
      <c r="Z1812" s="1">
        <f t="shared" si="117"/>
        <v>0</v>
      </c>
      <c r="AA1812" s="1">
        <f t="shared" si="118"/>
        <v>0</v>
      </c>
      <c r="AB1812" s="1">
        <f t="shared" si="119"/>
        <v>0</v>
      </c>
    </row>
    <row r="1813" spans="25:28" ht="15" customHeight="1" x14ac:dyDescent="0.2">
      <c r="Y1813" s="1">
        <f t="shared" si="116"/>
        <v>0</v>
      </c>
      <c r="Z1813" s="1">
        <f t="shared" si="117"/>
        <v>0</v>
      </c>
      <c r="AA1813" s="1">
        <f t="shared" si="118"/>
        <v>0</v>
      </c>
      <c r="AB1813" s="1">
        <f t="shared" si="119"/>
        <v>0</v>
      </c>
    </row>
    <row r="1814" spans="25:28" ht="15" customHeight="1" x14ac:dyDescent="0.2">
      <c r="Y1814" s="1">
        <f t="shared" si="116"/>
        <v>0</v>
      </c>
      <c r="Z1814" s="1">
        <f t="shared" si="117"/>
        <v>0</v>
      </c>
      <c r="AA1814" s="1">
        <f t="shared" si="118"/>
        <v>0</v>
      </c>
      <c r="AB1814" s="1">
        <f t="shared" si="119"/>
        <v>0</v>
      </c>
    </row>
    <row r="1815" spans="25:28" ht="15" customHeight="1" x14ac:dyDescent="0.2">
      <c r="Y1815" s="1">
        <f t="shared" si="116"/>
        <v>0</v>
      </c>
      <c r="Z1815" s="1">
        <f t="shared" si="117"/>
        <v>0</v>
      </c>
      <c r="AA1815" s="1">
        <f t="shared" si="118"/>
        <v>0</v>
      </c>
      <c r="AB1815" s="1">
        <f t="shared" si="119"/>
        <v>0</v>
      </c>
    </row>
    <row r="1816" spans="25:28" ht="15" customHeight="1" x14ac:dyDescent="0.2">
      <c r="Y1816" s="1">
        <f t="shared" si="116"/>
        <v>0</v>
      </c>
      <c r="Z1816" s="1">
        <f t="shared" si="117"/>
        <v>0</v>
      </c>
      <c r="AA1816" s="1">
        <f t="shared" si="118"/>
        <v>0</v>
      </c>
      <c r="AB1816" s="1">
        <f t="shared" si="119"/>
        <v>0</v>
      </c>
    </row>
    <row r="1817" spans="25:28" ht="15" customHeight="1" x14ac:dyDescent="0.2">
      <c r="Y1817" s="1">
        <f t="shared" si="116"/>
        <v>0</v>
      </c>
      <c r="Z1817" s="1">
        <f t="shared" si="117"/>
        <v>0</v>
      </c>
      <c r="AA1817" s="1">
        <f t="shared" si="118"/>
        <v>0</v>
      </c>
      <c r="AB1817" s="1">
        <f t="shared" si="119"/>
        <v>0</v>
      </c>
    </row>
    <row r="1818" spans="25:28" ht="15" customHeight="1" x14ac:dyDescent="0.2">
      <c r="Y1818" s="1">
        <f t="shared" si="116"/>
        <v>0</v>
      </c>
      <c r="Z1818" s="1">
        <f t="shared" si="117"/>
        <v>0</v>
      </c>
      <c r="AA1818" s="1">
        <f t="shared" si="118"/>
        <v>0</v>
      </c>
      <c r="AB1818" s="1">
        <f t="shared" si="119"/>
        <v>0</v>
      </c>
    </row>
    <row r="1819" spans="25:28" ht="15" customHeight="1" x14ac:dyDescent="0.2">
      <c r="Y1819" s="1">
        <f t="shared" si="116"/>
        <v>0</v>
      </c>
      <c r="Z1819" s="1">
        <f t="shared" si="117"/>
        <v>0</v>
      </c>
      <c r="AA1819" s="1">
        <f t="shared" si="118"/>
        <v>0</v>
      </c>
      <c r="AB1819" s="1">
        <f t="shared" si="119"/>
        <v>0</v>
      </c>
    </row>
    <row r="1820" spans="25:28" ht="15" customHeight="1" x14ac:dyDescent="0.2">
      <c r="Y1820" s="1">
        <f t="shared" si="116"/>
        <v>0</v>
      </c>
      <c r="Z1820" s="1">
        <f t="shared" si="117"/>
        <v>0</v>
      </c>
      <c r="AA1820" s="1">
        <f t="shared" si="118"/>
        <v>0</v>
      </c>
      <c r="AB1820" s="1">
        <f t="shared" si="119"/>
        <v>0</v>
      </c>
    </row>
    <row r="1821" spans="25:28" ht="15" customHeight="1" x14ac:dyDescent="0.2">
      <c r="Y1821" s="1">
        <f t="shared" si="116"/>
        <v>0</v>
      </c>
      <c r="Z1821" s="1">
        <f t="shared" si="117"/>
        <v>0</v>
      </c>
      <c r="AA1821" s="1">
        <f t="shared" si="118"/>
        <v>0</v>
      </c>
      <c r="AB1821" s="1">
        <f t="shared" si="119"/>
        <v>0</v>
      </c>
    </row>
    <row r="1822" spans="25:28" ht="15" customHeight="1" x14ac:dyDescent="0.2">
      <c r="Y1822" s="1">
        <f t="shared" si="116"/>
        <v>0</v>
      </c>
      <c r="Z1822" s="1">
        <f t="shared" si="117"/>
        <v>0</v>
      </c>
      <c r="AA1822" s="1">
        <f t="shared" si="118"/>
        <v>0</v>
      </c>
      <c r="AB1822" s="1">
        <f t="shared" si="119"/>
        <v>0</v>
      </c>
    </row>
    <row r="1823" spans="25:28" ht="15" customHeight="1" x14ac:dyDescent="0.2">
      <c r="Y1823" s="1">
        <f t="shared" si="116"/>
        <v>0</v>
      </c>
      <c r="Z1823" s="1">
        <f t="shared" si="117"/>
        <v>0</v>
      </c>
      <c r="AA1823" s="1">
        <f t="shared" si="118"/>
        <v>0</v>
      </c>
      <c r="AB1823" s="1">
        <f t="shared" si="119"/>
        <v>0</v>
      </c>
    </row>
    <row r="1824" spans="25:28" ht="15" customHeight="1" x14ac:dyDescent="0.2">
      <c r="Y1824" s="1">
        <f t="shared" si="116"/>
        <v>0</v>
      </c>
      <c r="Z1824" s="1">
        <f t="shared" si="117"/>
        <v>0</v>
      </c>
      <c r="AA1824" s="1">
        <f t="shared" si="118"/>
        <v>0</v>
      </c>
      <c r="AB1824" s="1">
        <f t="shared" si="119"/>
        <v>0</v>
      </c>
    </row>
    <row r="1825" spans="25:28" ht="15" customHeight="1" x14ac:dyDescent="0.2">
      <c r="Y1825" s="1">
        <f t="shared" si="116"/>
        <v>0</v>
      </c>
      <c r="Z1825" s="1">
        <f t="shared" si="117"/>
        <v>0</v>
      </c>
      <c r="AA1825" s="1">
        <f t="shared" si="118"/>
        <v>0</v>
      </c>
      <c r="AB1825" s="1">
        <f t="shared" si="119"/>
        <v>0</v>
      </c>
    </row>
    <row r="1826" spans="25:28" ht="15" customHeight="1" x14ac:dyDescent="0.2">
      <c r="Y1826" s="1">
        <f t="shared" si="116"/>
        <v>0</v>
      </c>
      <c r="Z1826" s="1">
        <f t="shared" si="117"/>
        <v>0</v>
      </c>
      <c r="AA1826" s="1">
        <f t="shared" si="118"/>
        <v>0</v>
      </c>
      <c r="AB1826" s="1">
        <f t="shared" si="119"/>
        <v>0</v>
      </c>
    </row>
    <row r="1827" spans="25:28" ht="15" customHeight="1" x14ac:dyDescent="0.2">
      <c r="Y1827" s="1">
        <f t="shared" si="116"/>
        <v>0</v>
      </c>
      <c r="Z1827" s="1">
        <f t="shared" si="117"/>
        <v>0</v>
      </c>
      <c r="AA1827" s="1">
        <f t="shared" si="118"/>
        <v>0</v>
      </c>
      <c r="AB1827" s="1">
        <f t="shared" si="119"/>
        <v>0</v>
      </c>
    </row>
    <row r="1828" spans="25:28" ht="15" customHeight="1" x14ac:dyDescent="0.2">
      <c r="Y1828" s="1">
        <f t="shared" si="116"/>
        <v>0</v>
      </c>
      <c r="Z1828" s="1">
        <f t="shared" si="117"/>
        <v>0</v>
      </c>
      <c r="AA1828" s="1">
        <f t="shared" si="118"/>
        <v>0</v>
      </c>
      <c r="AB1828" s="1">
        <f t="shared" si="119"/>
        <v>0</v>
      </c>
    </row>
    <row r="1829" spans="25:28" ht="15" customHeight="1" x14ac:dyDescent="0.2">
      <c r="Y1829" s="1">
        <f t="shared" si="116"/>
        <v>0</v>
      </c>
      <c r="Z1829" s="1">
        <f t="shared" si="117"/>
        <v>0</v>
      </c>
      <c r="AA1829" s="1">
        <f t="shared" si="118"/>
        <v>0</v>
      </c>
      <c r="AB1829" s="1">
        <f t="shared" si="119"/>
        <v>0</v>
      </c>
    </row>
    <row r="1830" spans="25:28" ht="15" customHeight="1" x14ac:dyDescent="0.2">
      <c r="Y1830" s="1">
        <f t="shared" si="116"/>
        <v>0</v>
      </c>
      <c r="Z1830" s="1">
        <f t="shared" si="117"/>
        <v>0</v>
      </c>
      <c r="AA1830" s="1">
        <f t="shared" si="118"/>
        <v>0</v>
      </c>
      <c r="AB1830" s="1">
        <f t="shared" si="119"/>
        <v>0</v>
      </c>
    </row>
    <row r="1831" spans="25:28" ht="15" customHeight="1" x14ac:dyDescent="0.2">
      <c r="Y1831" s="1">
        <f t="shared" si="116"/>
        <v>0</v>
      </c>
      <c r="Z1831" s="1">
        <f t="shared" si="117"/>
        <v>0</v>
      </c>
      <c r="AA1831" s="1">
        <f t="shared" si="118"/>
        <v>0</v>
      </c>
      <c r="AB1831" s="1">
        <f t="shared" si="119"/>
        <v>0</v>
      </c>
    </row>
    <row r="1832" spans="25:28" ht="15" customHeight="1" x14ac:dyDescent="0.2">
      <c r="Y1832" s="1">
        <f t="shared" si="116"/>
        <v>0</v>
      </c>
      <c r="Z1832" s="1">
        <f t="shared" si="117"/>
        <v>0</v>
      </c>
      <c r="AA1832" s="1">
        <f t="shared" si="118"/>
        <v>0</v>
      </c>
      <c r="AB1832" s="1">
        <f t="shared" si="119"/>
        <v>0</v>
      </c>
    </row>
    <row r="1833" spans="25:28" ht="15" customHeight="1" x14ac:dyDescent="0.2">
      <c r="Y1833" s="1">
        <f t="shared" si="116"/>
        <v>0</v>
      </c>
      <c r="Z1833" s="1">
        <f t="shared" si="117"/>
        <v>0</v>
      </c>
      <c r="AA1833" s="1">
        <f t="shared" si="118"/>
        <v>0</v>
      </c>
      <c r="AB1833" s="1">
        <f t="shared" si="119"/>
        <v>0</v>
      </c>
    </row>
    <row r="1834" spans="25:28" ht="15" customHeight="1" x14ac:dyDescent="0.2">
      <c r="Y1834" s="1">
        <f t="shared" si="116"/>
        <v>0</v>
      </c>
      <c r="Z1834" s="1">
        <f t="shared" si="117"/>
        <v>0</v>
      </c>
      <c r="AA1834" s="1">
        <f t="shared" si="118"/>
        <v>0</v>
      </c>
      <c r="AB1834" s="1">
        <f t="shared" si="119"/>
        <v>0</v>
      </c>
    </row>
    <row r="1835" spans="25:28" ht="15" customHeight="1" x14ac:dyDescent="0.2">
      <c r="Y1835" s="1">
        <f t="shared" si="116"/>
        <v>0</v>
      </c>
      <c r="Z1835" s="1">
        <f t="shared" si="117"/>
        <v>0</v>
      </c>
      <c r="AA1835" s="1">
        <f t="shared" si="118"/>
        <v>0</v>
      </c>
      <c r="AB1835" s="1">
        <f t="shared" si="119"/>
        <v>0</v>
      </c>
    </row>
    <row r="1836" spans="25:28" ht="15" customHeight="1" x14ac:dyDescent="0.2">
      <c r="Y1836" s="1">
        <f t="shared" si="116"/>
        <v>0</v>
      </c>
      <c r="Z1836" s="1">
        <f t="shared" si="117"/>
        <v>0</v>
      </c>
      <c r="AA1836" s="1">
        <f t="shared" si="118"/>
        <v>0</v>
      </c>
      <c r="AB1836" s="1">
        <f t="shared" si="119"/>
        <v>0</v>
      </c>
    </row>
    <row r="1837" spans="25:28" ht="15" customHeight="1" x14ac:dyDescent="0.2">
      <c r="Y1837" s="1">
        <f t="shared" si="116"/>
        <v>0</v>
      </c>
      <c r="Z1837" s="1">
        <f t="shared" si="117"/>
        <v>0</v>
      </c>
      <c r="AA1837" s="1">
        <f t="shared" si="118"/>
        <v>0</v>
      </c>
      <c r="AB1837" s="1">
        <f t="shared" si="119"/>
        <v>0</v>
      </c>
    </row>
    <row r="1838" spans="25:28" ht="15" customHeight="1" x14ac:dyDescent="0.2">
      <c r="Y1838" s="1">
        <f t="shared" si="116"/>
        <v>0</v>
      </c>
      <c r="Z1838" s="1">
        <f t="shared" si="117"/>
        <v>0</v>
      </c>
      <c r="AA1838" s="1">
        <f t="shared" si="118"/>
        <v>0</v>
      </c>
      <c r="AB1838" s="1">
        <f t="shared" si="119"/>
        <v>0</v>
      </c>
    </row>
    <row r="1839" spans="25:28" ht="15" customHeight="1" x14ac:dyDescent="0.2">
      <c r="Y1839" s="1">
        <f t="shared" si="116"/>
        <v>0</v>
      </c>
      <c r="Z1839" s="1">
        <f t="shared" si="117"/>
        <v>0</v>
      </c>
      <c r="AA1839" s="1">
        <f t="shared" si="118"/>
        <v>0</v>
      </c>
      <c r="AB1839" s="1">
        <f t="shared" si="119"/>
        <v>0</v>
      </c>
    </row>
    <row r="1840" spans="25:28" ht="15" customHeight="1" x14ac:dyDescent="0.2">
      <c r="Y1840" s="1">
        <f t="shared" si="116"/>
        <v>0</v>
      </c>
      <c r="Z1840" s="1">
        <f t="shared" si="117"/>
        <v>0</v>
      </c>
      <c r="AA1840" s="1">
        <f t="shared" si="118"/>
        <v>0</v>
      </c>
      <c r="AB1840" s="1">
        <f t="shared" si="119"/>
        <v>0</v>
      </c>
    </row>
    <row r="1841" spans="25:28" ht="15" customHeight="1" x14ac:dyDescent="0.2">
      <c r="Y1841" s="1">
        <f t="shared" si="116"/>
        <v>0</v>
      </c>
      <c r="Z1841" s="1">
        <f t="shared" si="117"/>
        <v>0</v>
      </c>
      <c r="AA1841" s="1">
        <f t="shared" si="118"/>
        <v>0</v>
      </c>
      <c r="AB1841" s="1">
        <f t="shared" si="119"/>
        <v>0</v>
      </c>
    </row>
    <row r="1842" spans="25:28" ht="15" customHeight="1" x14ac:dyDescent="0.2">
      <c r="Y1842" s="1">
        <f t="shared" si="116"/>
        <v>0</v>
      </c>
      <c r="Z1842" s="1">
        <f t="shared" si="117"/>
        <v>0</v>
      </c>
      <c r="AA1842" s="1">
        <f t="shared" si="118"/>
        <v>0</v>
      </c>
      <c r="AB1842" s="1">
        <f t="shared" si="119"/>
        <v>0</v>
      </c>
    </row>
    <row r="1843" spans="25:28" ht="15" customHeight="1" x14ac:dyDescent="0.2">
      <c r="Y1843" s="1">
        <f t="shared" si="116"/>
        <v>0</v>
      </c>
      <c r="Z1843" s="1">
        <f t="shared" si="117"/>
        <v>0</v>
      </c>
      <c r="AA1843" s="1">
        <f t="shared" si="118"/>
        <v>0</v>
      </c>
      <c r="AB1843" s="1">
        <f t="shared" si="119"/>
        <v>0</v>
      </c>
    </row>
    <row r="1844" spans="25:28" ht="15" customHeight="1" x14ac:dyDescent="0.2">
      <c r="Y1844" s="1">
        <f t="shared" si="116"/>
        <v>0</v>
      </c>
      <c r="Z1844" s="1">
        <f t="shared" si="117"/>
        <v>0</v>
      </c>
      <c r="AA1844" s="1">
        <f t="shared" si="118"/>
        <v>0</v>
      </c>
      <c r="AB1844" s="1">
        <f t="shared" si="119"/>
        <v>0</v>
      </c>
    </row>
    <row r="1845" spans="25:28" ht="15" customHeight="1" x14ac:dyDescent="0.2">
      <c r="Y1845" s="1">
        <f t="shared" si="116"/>
        <v>0</v>
      </c>
      <c r="Z1845" s="1">
        <f t="shared" si="117"/>
        <v>0</v>
      </c>
      <c r="AA1845" s="1">
        <f t="shared" si="118"/>
        <v>0</v>
      </c>
      <c r="AB1845" s="1">
        <f t="shared" si="119"/>
        <v>0</v>
      </c>
    </row>
    <row r="1846" spans="25:28" ht="15" customHeight="1" x14ac:dyDescent="0.2">
      <c r="Y1846" s="1">
        <f t="shared" si="116"/>
        <v>0</v>
      </c>
      <c r="Z1846" s="1">
        <f t="shared" si="117"/>
        <v>0</v>
      </c>
      <c r="AA1846" s="1">
        <f t="shared" si="118"/>
        <v>0</v>
      </c>
      <c r="AB1846" s="1">
        <f t="shared" si="119"/>
        <v>0</v>
      </c>
    </row>
    <row r="1847" spans="25:28" ht="15" customHeight="1" x14ac:dyDescent="0.2">
      <c r="Y1847" s="1">
        <f t="shared" si="116"/>
        <v>0</v>
      </c>
      <c r="Z1847" s="1">
        <f t="shared" si="117"/>
        <v>0</v>
      </c>
      <c r="AA1847" s="1">
        <f t="shared" si="118"/>
        <v>0</v>
      </c>
      <c r="AB1847" s="1">
        <f t="shared" si="119"/>
        <v>0</v>
      </c>
    </row>
    <row r="1848" spans="25:28" ht="15" customHeight="1" x14ac:dyDescent="0.2">
      <c r="Y1848" s="1">
        <f t="shared" si="116"/>
        <v>0</v>
      </c>
      <c r="Z1848" s="1">
        <f t="shared" si="117"/>
        <v>0</v>
      </c>
      <c r="AA1848" s="1">
        <f t="shared" si="118"/>
        <v>0</v>
      </c>
      <c r="AB1848" s="1">
        <f t="shared" si="119"/>
        <v>0</v>
      </c>
    </row>
    <row r="1849" spans="25:28" ht="15" customHeight="1" x14ac:dyDescent="0.2">
      <c r="Y1849" s="1">
        <f t="shared" si="116"/>
        <v>0</v>
      </c>
      <c r="Z1849" s="1">
        <f t="shared" si="117"/>
        <v>0</v>
      </c>
      <c r="AA1849" s="1">
        <f t="shared" si="118"/>
        <v>0</v>
      </c>
      <c r="AB1849" s="1">
        <f t="shared" si="119"/>
        <v>0</v>
      </c>
    </row>
    <row r="1850" spans="25:28" ht="15" customHeight="1" x14ac:dyDescent="0.2">
      <c r="Y1850" s="1">
        <f t="shared" si="116"/>
        <v>0</v>
      </c>
      <c r="Z1850" s="1">
        <f t="shared" si="117"/>
        <v>0</v>
      </c>
      <c r="AA1850" s="1">
        <f t="shared" si="118"/>
        <v>0</v>
      </c>
      <c r="AB1850" s="1">
        <f t="shared" si="119"/>
        <v>0</v>
      </c>
    </row>
    <row r="1851" spans="25:28" ht="15" customHeight="1" x14ac:dyDescent="0.2">
      <c r="Y1851" s="1">
        <f t="shared" si="116"/>
        <v>0</v>
      </c>
      <c r="Z1851" s="1">
        <f t="shared" si="117"/>
        <v>0</v>
      </c>
      <c r="AA1851" s="1">
        <f t="shared" si="118"/>
        <v>0</v>
      </c>
      <c r="AB1851" s="1">
        <f t="shared" si="119"/>
        <v>0</v>
      </c>
    </row>
    <row r="1852" spans="25:28" ht="15" customHeight="1" x14ac:dyDescent="0.2">
      <c r="Y1852" s="1">
        <f t="shared" si="116"/>
        <v>0</v>
      </c>
      <c r="Z1852" s="1">
        <f t="shared" si="117"/>
        <v>0</v>
      </c>
      <c r="AA1852" s="1">
        <f t="shared" si="118"/>
        <v>0</v>
      </c>
      <c r="AB1852" s="1">
        <f t="shared" si="119"/>
        <v>0</v>
      </c>
    </row>
    <row r="1853" spans="25:28" ht="15" customHeight="1" x14ac:dyDescent="0.2">
      <c r="Y1853" s="1">
        <f t="shared" si="116"/>
        <v>0</v>
      </c>
      <c r="Z1853" s="1">
        <f t="shared" si="117"/>
        <v>0</v>
      </c>
      <c r="AA1853" s="1">
        <f t="shared" si="118"/>
        <v>0</v>
      </c>
      <c r="AB1853" s="1">
        <f t="shared" si="119"/>
        <v>0</v>
      </c>
    </row>
    <row r="1854" spans="25:28" ht="15" customHeight="1" x14ac:dyDescent="0.2">
      <c r="Y1854" s="1">
        <f t="shared" si="116"/>
        <v>0</v>
      </c>
      <c r="Z1854" s="1">
        <f t="shared" si="117"/>
        <v>0</v>
      </c>
      <c r="AA1854" s="1">
        <f t="shared" si="118"/>
        <v>0</v>
      </c>
      <c r="AB1854" s="1">
        <f t="shared" si="119"/>
        <v>0</v>
      </c>
    </row>
    <row r="1855" spans="25:28" ht="15" customHeight="1" x14ac:dyDescent="0.2">
      <c r="Y1855" s="1">
        <f t="shared" si="116"/>
        <v>0</v>
      </c>
      <c r="Z1855" s="1">
        <f t="shared" si="117"/>
        <v>0</v>
      </c>
      <c r="AA1855" s="1">
        <f t="shared" si="118"/>
        <v>0</v>
      </c>
      <c r="AB1855" s="1">
        <f t="shared" si="119"/>
        <v>0</v>
      </c>
    </row>
    <row r="1856" spans="25:28" ht="15" customHeight="1" x14ac:dyDescent="0.2">
      <c r="Y1856" s="1">
        <f t="shared" si="116"/>
        <v>0</v>
      </c>
      <c r="Z1856" s="1">
        <f t="shared" si="117"/>
        <v>0</v>
      </c>
      <c r="AA1856" s="1">
        <f t="shared" si="118"/>
        <v>0</v>
      </c>
      <c r="AB1856" s="1">
        <f t="shared" si="119"/>
        <v>0</v>
      </c>
    </row>
    <row r="1857" spans="25:28" ht="15" customHeight="1" x14ac:dyDescent="0.2">
      <c r="Y1857" s="1">
        <f t="shared" si="116"/>
        <v>0</v>
      </c>
      <c r="Z1857" s="1">
        <f t="shared" si="117"/>
        <v>0</v>
      </c>
      <c r="AA1857" s="1">
        <f t="shared" si="118"/>
        <v>0</v>
      </c>
      <c r="AB1857" s="1">
        <f t="shared" si="119"/>
        <v>0</v>
      </c>
    </row>
    <row r="1858" spans="25:28" ht="15" customHeight="1" x14ac:dyDescent="0.2">
      <c r="Y1858" s="1">
        <f t="shared" si="116"/>
        <v>0</v>
      </c>
      <c r="Z1858" s="1">
        <f t="shared" si="117"/>
        <v>0</v>
      </c>
      <c r="AA1858" s="1">
        <f t="shared" si="118"/>
        <v>0</v>
      </c>
      <c r="AB1858" s="1">
        <f t="shared" si="119"/>
        <v>0</v>
      </c>
    </row>
    <row r="1859" spans="25:28" ht="15" customHeight="1" x14ac:dyDescent="0.2">
      <c r="Y1859" s="1">
        <f t="shared" si="116"/>
        <v>0</v>
      </c>
      <c r="Z1859" s="1">
        <f t="shared" si="117"/>
        <v>0</v>
      </c>
      <c r="AA1859" s="1">
        <f t="shared" si="118"/>
        <v>0</v>
      </c>
      <c r="AB1859" s="1">
        <f t="shared" si="119"/>
        <v>0</v>
      </c>
    </row>
    <row r="1860" spans="25:28" ht="15" customHeight="1" x14ac:dyDescent="0.2">
      <c r="Y1860" s="1">
        <f t="shared" si="116"/>
        <v>0</v>
      </c>
      <c r="Z1860" s="1">
        <f t="shared" si="117"/>
        <v>0</v>
      </c>
      <c r="AA1860" s="1">
        <f t="shared" si="118"/>
        <v>0</v>
      </c>
      <c r="AB1860" s="1">
        <f t="shared" si="119"/>
        <v>0</v>
      </c>
    </row>
    <row r="1861" spans="25:28" ht="15" customHeight="1" x14ac:dyDescent="0.2">
      <c r="Y1861" s="1">
        <f t="shared" si="116"/>
        <v>0</v>
      </c>
      <c r="Z1861" s="1">
        <f t="shared" si="117"/>
        <v>0</v>
      </c>
      <c r="AA1861" s="1">
        <f t="shared" si="118"/>
        <v>0</v>
      </c>
      <c r="AB1861" s="1">
        <f t="shared" si="119"/>
        <v>0</v>
      </c>
    </row>
    <row r="1862" spans="25:28" ht="15" customHeight="1" x14ac:dyDescent="0.2">
      <c r="Y1862" s="1">
        <f t="shared" si="116"/>
        <v>0</v>
      </c>
      <c r="Z1862" s="1">
        <f t="shared" si="117"/>
        <v>0</v>
      </c>
      <c r="AA1862" s="1">
        <f t="shared" si="118"/>
        <v>0</v>
      </c>
      <c r="AB1862" s="1">
        <f t="shared" si="119"/>
        <v>0</v>
      </c>
    </row>
    <row r="1863" spans="25:28" ht="15" customHeight="1" x14ac:dyDescent="0.2">
      <c r="Y1863" s="1">
        <f t="shared" si="116"/>
        <v>0</v>
      </c>
      <c r="Z1863" s="1">
        <f t="shared" si="117"/>
        <v>0</v>
      </c>
      <c r="AA1863" s="1">
        <f t="shared" si="118"/>
        <v>0</v>
      </c>
      <c r="AB1863" s="1">
        <f t="shared" si="119"/>
        <v>0</v>
      </c>
    </row>
    <row r="1864" spans="25:28" ht="15" customHeight="1" x14ac:dyDescent="0.2">
      <c r="Y1864" s="1">
        <f t="shared" si="116"/>
        <v>0</v>
      </c>
      <c r="Z1864" s="1">
        <f t="shared" si="117"/>
        <v>0</v>
      </c>
      <c r="AA1864" s="1">
        <f t="shared" si="118"/>
        <v>0</v>
      </c>
      <c r="AB1864" s="1">
        <f t="shared" si="119"/>
        <v>0</v>
      </c>
    </row>
    <row r="1865" spans="25:28" ht="15" customHeight="1" x14ac:dyDescent="0.2">
      <c r="Y1865" s="1">
        <f t="shared" si="116"/>
        <v>0</v>
      </c>
      <c r="Z1865" s="1">
        <f t="shared" si="117"/>
        <v>0</v>
      </c>
      <c r="AA1865" s="1">
        <f t="shared" si="118"/>
        <v>0</v>
      </c>
      <c r="AB1865" s="1">
        <f t="shared" si="119"/>
        <v>0</v>
      </c>
    </row>
    <row r="1866" spans="25:28" ht="15" customHeight="1" x14ac:dyDescent="0.2">
      <c r="Y1866" s="1">
        <f t="shared" si="116"/>
        <v>0</v>
      </c>
      <c r="Z1866" s="1">
        <f t="shared" si="117"/>
        <v>0</v>
      </c>
      <c r="AA1866" s="1">
        <f t="shared" si="118"/>
        <v>0</v>
      </c>
      <c r="AB1866" s="1">
        <f t="shared" si="119"/>
        <v>0</v>
      </c>
    </row>
    <row r="1867" spans="25:28" ht="15" customHeight="1" x14ac:dyDescent="0.2">
      <c r="Y1867" s="1">
        <f t="shared" si="116"/>
        <v>0</v>
      </c>
      <c r="Z1867" s="1">
        <f t="shared" si="117"/>
        <v>0</v>
      </c>
      <c r="AA1867" s="1">
        <f t="shared" si="118"/>
        <v>0</v>
      </c>
      <c r="AB1867" s="1">
        <f t="shared" si="119"/>
        <v>0</v>
      </c>
    </row>
    <row r="1868" spans="25:28" ht="15" customHeight="1" x14ac:dyDescent="0.2">
      <c r="Y1868" s="1">
        <f t="shared" si="116"/>
        <v>0</v>
      </c>
      <c r="Z1868" s="1">
        <f t="shared" si="117"/>
        <v>0</v>
      </c>
      <c r="AA1868" s="1">
        <f t="shared" si="118"/>
        <v>0</v>
      </c>
      <c r="AB1868" s="1">
        <f t="shared" si="119"/>
        <v>0</v>
      </c>
    </row>
    <row r="1869" spans="25:28" ht="15" customHeight="1" x14ac:dyDescent="0.2">
      <c r="Y1869" s="1">
        <f t="shared" si="116"/>
        <v>0</v>
      </c>
      <c r="Z1869" s="1">
        <f t="shared" si="117"/>
        <v>0</v>
      </c>
      <c r="AA1869" s="1">
        <f t="shared" si="118"/>
        <v>0</v>
      </c>
      <c r="AB1869" s="1">
        <f t="shared" si="119"/>
        <v>0</v>
      </c>
    </row>
    <row r="1870" spans="25:28" ht="15" customHeight="1" x14ac:dyDescent="0.2">
      <c r="Y1870" s="1">
        <f t="shared" ref="Y1870:Y1933" si="120">MAX(0,IFERROR((LEN($T1871)-LEN(SUBSTITUTE($T1871,"Quality of Works / Criteria of Failings:","")))/LEN("Quality of Works / Criteria of Failings:"),0)-IFERROR((LEN($T1871)-LEN(SUBSTITUTE($T1871,"Quality of Works / Criteria of Failings:Compliant","")))/LEN("Quality of Works / Criteria of Failings:Compliant"),0))</f>
        <v>0</v>
      </c>
      <c r="Z1870" s="1">
        <f t="shared" ref="Z1870:Z1933" si="121">IFERROR($Y1871/MAX(1,(LEN($I1871)-LEN(SUBSTITUTE($I1871," Ltd","")))/LEN(" Ltd")),0)</f>
        <v>0</v>
      </c>
      <c r="AA1870" s="1">
        <f t="shared" ref="AA1870:AA1933" si="122">IFERROR(IFERROR((LEN($T1871)-LEN(SUBSTITUTE($T1871,"Quality of Works / Criteria of Failings:","")))/LEN("Quality of Works / Criteria of Failings:"),0)/MAX(1,(LEN($I1871)-LEN(SUBSTITUTE($I1871," Ltd","")))/LEN(" Ltd")),0)</f>
        <v>0</v>
      </c>
      <c r="AB1870" s="1">
        <f t="shared" ref="AB1870:AB1933" si="123">IFERROR(IFERROR((LEN($T1871)-LEN(SUBSTITUTE($T1871,"Quality of Works / Criteria of Failings:Compliant","")))/LEN("Quality of Works / Criteria of Failings:Compliant"),0)/MAX(1,(LEN($I1871)-LEN(SUBSTITUTE($I1871," Ltd","")))/LEN(" Ltd")),0)</f>
        <v>0</v>
      </c>
    </row>
    <row r="1871" spans="25:28" ht="15" customHeight="1" x14ac:dyDescent="0.2">
      <c r="Y1871" s="1">
        <f t="shared" si="120"/>
        <v>0</v>
      </c>
      <c r="Z1871" s="1">
        <f t="shared" si="121"/>
        <v>0</v>
      </c>
      <c r="AA1871" s="1">
        <f t="shared" si="122"/>
        <v>0</v>
      </c>
      <c r="AB1871" s="1">
        <f t="shared" si="123"/>
        <v>0</v>
      </c>
    </row>
    <row r="1872" spans="25:28" ht="15" customHeight="1" x14ac:dyDescent="0.2">
      <c r="Y1872" s="1">
        <f t="shared" si="120"/>
        <v>0</v>
      </c>
      <c r="Z1872" s="1">
        <f t="shared" si="121"/>
        <v>0</v>
      </c>
      <c r="AA1872" s="1">
        <f t="shared" si="122"/>
        <v>0</v>
      </c>
      <c r="AB1872" s="1">
        <f t="shared" si="123"/>
        <v>0</v>
      </c>
    </row>
    <row r="1873" spans="25:28" ht="15" customHeight="1" x14ac:dyDescent="0.2">
      <c r="Y1873" s="1">
        <f t="shared" si="120"/>
        <v>0</v>
      </c>
      <c r="Z1873" s="1">
        <f t="shared" si="121"/>
        <v>0</v>
      </c>
      <c r="AA1873" s="1">
        <f t="shared" si="122"/>
        <v>0</v>
      </c>
      <c r="AB1873" s="1">
        <f t="shared" si="123"/>
        <v>0</v>
      </c>
    </row>
    <row r="1874" spans="25:28" ht="15" customHeight="1" x14ac:dyDescent="0.2">
      <c r="Y1874" s="1">
        <f t="shared" si="120"/>
        <v>0</v>
      </c>
      <c r="Z1874" s="1">
        <f t="shared" si="121"/>
        <v>0</v>
      </c>
      <c r="AA1874" s="1">
        <f t="shared" si="122"/>
        <v>0</v>
      </c>
      <c r="AB1874" s="1">
        <f t="shared" si="123"/>
        <v>0</v>
      </c>
    </row>
    <row r="1875" spans="25:28" ht="15" customHeight="1" x14ac:dyDescent="0.2">
      <c r="Y1875" s="1">
        <f t="shared" si="120"/>
        <v>0</v>
      </c>
      <c r="Z1875" s="1">
        <f t="shared" si="121"/>
        <v>0</v>
      </c>
      <c r="AA1875" s="1">
        <f t="shared" si="122"/>
        <v>0</v>
      </c>
      <c r="AB1875" s="1">
        <f t="shared" si="123"/>
        <v>0</v>
      </c>
    </row>
    <row r="1876" spans="25:28" ht="15" customHeight="1" x14ac:dyDescent="0.2">
      <c r="Y1876" s="1">
        <f t="shared" si="120"/>
        <v>0</v>
      </c>
      <c r="Z1876" s="1">
        <f t="shared" si="121"/>
        <v>0</v>
      </c>
      <c r="AA1876" s="1">
        <f t="shared" si="122"/>
        <v>0</v>
      </c>
      <c r="AB1876" s="1">
        <f t="shared" si="123"/>
        <v>0</v>
      </c>
    </row>
    <row r="1877" spans="25:28" ht="15" customHeight="1" x14ac:dyDescent="0.2">
      <c r="Y1877" s="1">
        <f t="shared" si="120"/>
        <v>0</v>
      </c>
      <c r="Z1877" s="1">
        <f t="shared" si="121"/>
        <v>0</v>
      </c>
      <c r="AA1877" s="1">
        <f t="shared" si="122"/>
        <v>0</v>
      </c>
      <c r="AB1877" s="1">
        <f t="shared" si="123"/>
        <v>0</v>
      </c>
    </row>
    <row r="1878" spans="25:28" ht="15" customHeight="1" x14ac:dyDescent="0.2">
      <c r="Y1878" s="1">
        <f t="shared" si="120"/>
        <v>0</v>
      </c>
      <c r="Z1878" s="1">
        <f t="shared" si="121"/>
        <v>0</v>
      </c>
      <c r="AA1878" s="1">
        <f t="shared" si="122"/>
        <v>0</v>
      </c>
      <c r="AB1878" s="1">
        <f t="shared" si="123"/>
        <v>0</v>
      </c>
    </row>
    <row r="1879" spans="25:28" ht="15" customHeight="1" x14ac:dyDescent="0.2">
      <c r="Y1879" s="1">
        <f t="shared" si="120"/>
        <v>0</v>
      </c>
      <c r="Z1879" s="1">
        <f t="shared" si="121"/>
        <v>0</v>
      </c>
      <c r="AA1879" s="1">
        <f t="shared" si="122"/>
        <v>0</v>
      </c>
      <c r="AB1879" s="1">
        <f t="shared" si="123"/>
        <v>0</v>
      </c>
    </row>
    <row r="1880" spans="25:28" ht="15" customHeight="1" x14ac:dyDescent="0.2">
      <c r="Y1880" s="1">
        <f t="shared" si="120"/>
        <v>0</v>
      </c>
      <c r="Z1880" s="1">
        <f t="shared" si="121"/>
        <v>0</v>
      </c>
      <c r="AA1880" s="1">
        <f t="shared" si="122"/>
        <v>0</v>
      </c>
      <c r="AB1880" s="1">
        <f t="shared" si="123"/>
        <v>0</v>
      </c>
    </row>
    <row r="1881" spans="25:28" ht="15" customHeight="1" x14ac:dyDescent="0.2">
      <c r="Y1881" s="1">
        <f t="shared" si="120"/>
        <v>0</v>
      </c>
      <c r="Z1881" s="1">
        <f t="shared" si="121"/>
        <v>0</v>
      </c>
      <c r="AA1881" s="1">
        <f t="shared" si="122"/>
        <v>0</v>
      </c>
      <c r="AB1881" s="1">
        <f t="shared" si="123"/>
        <v>0</v>
      </c>
    </row>
    <row r="1882" spans="25:28" ht="15" customHeight="1" x14ac:dyDescent="0.2">
      <c r="Y1882" s="1">
        <f t="shared" si="120"/>
        <v>0</v>
      </c>
      <c r="Z1882" s="1">
        <f t="shared" si="121"/>
        <v>0</v>
      </c>
      <c r="AA1882" s="1">
        <f t="shared" si="122"/>
        <v>0</v>
      </c>
      <c r="AB1882" s="1">
        <f t="shared" si="123"/>
        <v>0</v>
      </c>
    </row>
    <row r="1883" spans="25:28" ht="15" customHeight="1" x14ac:dyDescent="0.2">
      <c r="Y1883" s="1">
        <f t="shared" si="120"/>
        <v>0</v>
      </c>
      <c r="Z1883" s="1">
        <f t="shared" si="121"/>
        <v>0</v>
      </c>
      <c r="AA1883" s="1">
        <f t="shared" si="122"/>
        <v>0</v>
      </c>
      <c r="AB1883" s="1">
        <f t="shared" si="123"/>
        <v>0</v>
      </c>
    </row>
    <row r="1884" spans="25:28" ht="15" customHeight="1" x14ac:dyDescent="0.2">
      <c r="Y1884" s="1">
        <f t="shared" si="120"/>
        <v>0</v>
      </c>
      <c r="Z1884" s="1">
        <f t="shared" si="121"/>
        <v>0</v>
      </c>
      <c r="AA1884" s="1">
        <f t="shared" si="122"/>
        <v>0</v>
      </c>
      <c r="AB1884" s="1">
        <f t="shared" si="123"/>
        <v>0</v>
      </c>
    </row>
    <row r="1885" spans="25:28" ht="15" customHeight="1" x14ac:dyDescent="0.2">
      <c r="Y1885" s="1">
        <f t="shared" si="120"/>
        <v>0</v>
      </c>
      <c r="Z1885" s="1">
        <f t="shared" si="121"/>
        <v>0</v>
      </c>
      <c r="AA1885" s="1">
        <f t="shared" si="122"/>
        <v>0</v>
      </c>
      <c r="AB1885" s="1">
        <f t="shared" si="123"/>
        <v>0</v>
      </c>
    </row>
    <row r="1886" spans="25:28" ht="15" customHeight="1" x14ac:dyDescent="0.2">
      <c r="Y1886" s="1">
        <f t="shared" si="120"/>
        <v>0</v>
      </c>
      <c r="Z1886" s="1">
        <f t="shared" si="121"/>
        <v>0</v>
      </c>
      <c r="AA1886" s="1">
        <f t="shared" si="122"/>
        <v>0</v>
      </c>
      <c r="AB1886" s="1">
        <f t="shared" si="123"/>
        <v>0</v>
      </c>
    </row>
    <row r="1887" spans="25:28" ht="15" customHeight="1" x14ac:dyDescent="0.2">
      <c r="Y1887" s="1">
        <f t="shared" si="120"/>
        <v>0</v>
      </c>
      <c r="Z1887" s="1">
        <f t="shared" si="121"/>
        <v>0</v>
      </c>
      <c r="AA1887" s="1">
        <f t="shared" si="122"/>
        <v>0</v>
      </c>
      <c r="AB1887" s="1">
        <f t="shared" si="123"/>
        <v>0</v>
      </c>
    </row>
    <row r="1888" spans="25:28" ht="15" customHeight="1" x14ac:dyDescent="0.2">
      <c r="Y1888" s="1">
        <f t="shared" si="120"/>
        <v>0</v>
      </c>
      <c r="Z1888" s="1">
        <f t="shared" si="121"/>
        <v>0</v>
      </c>
      <c r="AA1888" s="1">
        <f t="shared" si="122"/>
        <v>0</v>
      </c>
      <c r="AB1888" s="1">
        <f t="shared" si="123"/>
        <v>0</v>
      </c>
    </row>
    <row r="1889" spans="25:28" ht="15" customHeight="1" x14ac:dyDescent="0.2">
      <c r="Y1889" s="1">
        <f t="shared" si="120"/>
        <v>0</v>
      </c>
      <c r="Z1889" s="1">
        <f t="shared" si="121"/>
        <v>0</v>
      </c>
      <c r="AA1889" s="1">
        <f t="shared" si="122"/>
        <v>0</v>
      </c>
      <c r="AB1889" s="1">
        <f t="shared" si="123"/>
        <v>0</v>
      </c>
    </row>
    <row r="1890" spans="25:28" ht="15" customHeight="1" x14ac:dyDescent="0.2">
      <c r="Y1890" s="1">
        <f t="shared" si="120"/>
        <v>0</v>
      </c>
      <c r="Z1890" s="1">
        <f t="shared" si="121"/>
        <v>0</v>
      </c>
      <c r="AA1890" s="1">
        <f t="shared" si="122"/>
        <v>0</v>
      </c>
      <c r="AB1890" s="1">
        <f t="shared" si="123"/>
        <v>0</v>
      </c>
    </row>
    <row r="1891" spans="25:28" ht="15" customHeight="1" x14ac:dyDescent="0.2">
      <c r="Y1891" s="1">
        <f t="shared" si="120"/>
        <v>0</v>
      </c>
      <c r="Z1891" s="1">
        <f t="shared" si="121"/>
        <v>0</v>
      </c>
      <c r="AA1891" s="1">
        <f t="shared" si="122"/>
        <v>0</v>
      </c>
      <c r="AB1891" s="1">
        <f t="shared" si="123"/>
        <v>0</v>
      </c>
    </row>
    <row r="1892" spans="25:28" ht="15" customHeight="1" x14ac:dyDescent="0.2">
      <c r="Y1892" s="1">
        <f t="shared" si="120"/>
        <v>0</v>
      </c>
      <c r="Z1892" s="1">
        <f t="shared" si="121"/>
        <v>0</v>
      </c>
      <c r="AA1892" s="1">
        <f t="shared" si="122"/>
        <v>0</v>
      </c>
      <c r="AB1892" s="1">
        <f t="shared" si="123"/>
        <v>0</v>
      </c>
    </row>
    <row r="1893" spans="25:28" ht="15" customHeight="1" x14ac:dyDescent="0.2">
      <c r="Y1893" s="1">
        <f t="shared" si="120"/>
        <v>0</v>
      </c>
      <c r="Z1893" s="1">
        <f t="shared" si="121"/>
        <v>0</v>
      </c>
      <c r="AA1893" s="1">
        <f t="shared" si="122"/>
        <v>0</v>
      </c>
      <c r="AB1893" s="1">
        <f t="shared" si="123"/>
        <v>0</v>
      </c>
    </row>
    <row r="1894" spans="25:28" ht="15" customHeight="1" x14ac:dyDescent="0.2">
      <c r="Y1894" s="1">
        <f t="shared" si="120"/>
        <v>0</v>
      </c>
      <c r="Z1894" s="1">
        <f t="shared" si="121"/>
        <v>0</v>
      </c>
      <c r="AA1894" s="1">
        <f t="shared" si="122"/>
        <v>0</v>
      </c>
      <c r="AB1894" s="1">
        <f t="shared" si="123"/>
        <v>0</v>
      </c>
    </row>
    <row r="1895" spans="25:28" ht="15" customHeight="1" x14ac:dyDescent="0.2">
      <c r="Y1895" s="1">
        <f t="shared" si="120"/>
        <v>0</v>
      </c>
      <c r="Z1895" s="1">
        <f t="shared" si="121"/>
        <v>0</v>
      </c>
      <c r="AA1895" s="1">
        <f t="shared" si="122"/>
        <v>0</v>
      </c>
      <c r="AB1895" s="1">
        <f t="shared" si="123"/>
        <v>0</v>
      </c>
    </row>
    <row r="1896" spans="25:28" ht="15" customHeight="1" x14ac:dyDescent="0.2">
      <c r="Y1896" s="1">
        <f t="shared" si="120"/>
        <v>0</v>
      </c>
      <c r="Z1896" s="1">
        <f t="shared" si="121"/>
        <v>0</v>
      </c>
      <c r="AA1896" s="1">
        <f t="shared" si="122"/>
        <v>0</v>
      </c>
      <c r="AB1896" s="1">
        <f t="shared" si="123"/>
        <v>0</v>
      </c>
    </row>
    <row r="1897" spans="25:28" ht="15" customHeight="1" x14ac:dyDescent="0.2">
      <c r="Y1897" s="1">
        <f t="shared" si="120"/>
        <v>0</v>
      </c>
      <c r="Z1897" s="1">
        <f t="shared" si="121"/>
        <v>0</v>
      </c>
      <c r="AA1897" s="1">
        <f t="shared" si="122"/>
        <v>0</v>
      </c>
      <c r="AB1897" s="1">
        <f t="shared" si="123"/>
        <v>0</v>
      </c>
    </row>
    <row r="1898" spans="25:28" ht="15" customHeight="1" x14ac:dyDescent="0.2">
      <c r="Y1898" s="1">
        <f t="shared" si="120"/>
        <v>0</v>
      </c>
      <c r="Z1898" s="1">
        <f t="shared" si="121"/>
        <v>0</v>
      </c>
      <c r="AA1898" s="1">
        <f t="shared" si="122"/>
        <v>0</v>
      </c>
      <c r="AB1898" s="1">
        <f t="shared" si="123"/>
        <v>0</v>
      </c>
    </row>
    <row r="1899" spans="25:28" ht="15" customHeight="1" x14ac:dyDescent="0.2">
      <c r="Y1899" s="1">
        <f t="shared" si="120"/>
        <v>0</v>
      </c>
      <c r="Z1899" s="1">
        <f t="shared" si="121"/>
        <v>0</v>
      </c>
      <c r="AA1899" s="1">
        <f t="shared" si="122"/>
        <v>0</v>
      </c>
      <c r="AB1899" s="1">
        <f t="shared" si="123"/>
        <v>0</v>
      </c>
    </row>
    <row r="1900" spans="25:28" ht="15" customHeight="1" x14ac:dyDescent="0.2">
      <c r="Y1900" s="1">
        <f t="shared" si="120"/>
        <v>0</v>
      </c>
      <c r="Z1900" s="1">
        <f t="shared" si="121"/>
        <v>0</v>
      </c>
      <c r="AA1900" s="1">
        <f t="shared" si="122"/>
        <v>0</v>
      </c>
      <c r="AB1900" s="1">
        <f t="shared" si="123"/>
        <v>0</v>
      </c>
    </row>
    <row r="1901" spans="25:28" ht="15" customHeight="1" x14ac:dyDescent="0.2">
      <c r="Y1901" s="1">
        <f t="shared" si="120"/>
        <v>0</v>
      </c>
      <c r="Z1901" s="1">
        <f t="shared" si="121"/>
        <v>0</v>
      </c>
      <c r="AA1901" s="1">
        <f t="shared" si="122"/>
        <v>0</v>
      </c>
      <c r="AB1901" s="1">
        <f t="shared" si="123"/>
        <v>0</v>
      </c>
    </row>
    <row r="1902" spans="25:28" ht="15" customHeight="1" x14ac:dyDescent="0.2">
      <c r="Y1902" s="1">
        <f t="shared" si="120"/>
        <v>0</v>
      </c>
      <c r="Z1902" s="1">
        <f t="shared" si="121"/>
        <v>0</v>
      </c>
      <c r="AA1902" s="1">
        <f t="shared" si="122"/>
        <v>0</v>
      </c>
      <c r="AB1902" s="1">
        <f t="shared" si="123"/>
        <v>0</v>
      </c>
    </row>
    <row r="1903" spans="25:28" ht="15" customHeight="1" x14ac:dyDescent="0.2">
      <c r="Y1903" s="1">
        <f t="shared" si="120"/>
        <v>0</v>
      </c>
      <c r="Z1903" s="1">
        <f t="shared" si="121"/>
        <v>0</v>
      </c>
      <c r="AA1903" s="1">
        <f t="shared" si="122"/>
        <v>0</v>
      </c>
      <c r="AB1903" s="1">
        <f t="shared" si="123"/>
        <v>0</v>
      </c>
    </row>
    <row r="1904" spans="25:28" ht="15" customHeight="1" x14ac:dyDescent="0.2">
      <c r="Y1904" s="1">
        <f t="shared" si="120"/>
        <v>0</v>
      </c>
      <c r="Z1904" s="1">
        <f t="shared" si="121"/>
        <v>0</v>
      </c>
      <c r="AA1904" s="1">
        <f t="shared" si="122"/>
        <v>0</v>
      </c>
      <c r="AB1904" s="1">
        <f t="shared" si="123"/>
        <v>0</v>
      </c>
    </row>
    <row r="1905" spans="25:28" ht="15" customHeight="1" x14ac:dyDescent="0.2">
      <c r="Y1905" s="1">
        <f t="shared" si="120"/>
        <v>0</v>
      </c>
      <c r="Z1905" s="1">
        <f t="shared" si="121"/>
        <v>0</v>
      </c>
      <c r="AA1905" s="1">
        <f t="shared" si="122"/>
        <v>0</v>
      </c>
      <c r="AB1905" s="1">
        <f t="shared" si="123"/>
        <v>0</v>
      </c>
    </row>
    <row r="1906" spans="25:28" ht="15" customHeight="1" x14ac:dyDescent="0.2">
      <c r="Y1906" s="1">
        <f t="shared" si="120"/>
        <v>0</v>
      </c>
      <c r="Z1906" s="1">
        <f t="shared" si="121"/>
        <v>0</v>
      </c>
      <c r="AA1906" s="1">
        <f t="shared" si="122"/>
        <v>0</v>
      </c>
      <c r="AB1906" s="1">
        <f t="shared" si="123"/>
        <v>0</v>
      </c>
    </row>
    <row r="1907" spans="25:28" ht="15" customHeight="1" x14ac:dyDescent="0.2">
      <c r="Y1907" s="1">
        <f t="shared" si="120"/>
        <v>0</v>
      </c>
      <c r="Z1907" s="1">
        <f t="shared" si="121"/>
        <v>0</v>
      </c>
      <c r="AA1907" s="1">
        <f t="shared" si="122"/>
        <v>0</v>
      </c>
      <c r="AB1907" s="1">
        <f t="shared" si="123"/>
        <v>0</v>
      </c>
    </row>
    <row r="1908" spans="25:28" ht="15" customHeight="1" x14ac:dyDescent="0.2">
      <c r="Y1908" s="1">
        <f t="shared" si="120"/>
        <v>0</v>
      </c>
      <c r="Z1908" s="1">
        <f t="shared" si="121"/>
        <v>0</v>
      </c>
      <c r="AA1908" s="1">
        <f t="shared" si="122"/>
        <v>0</v>
      </c>
      <c r="AB1908" s="1">
        <f t="shared" si="123"/>
        <v>0</v>
      </c>
    </row>
    <row r="1909" spans="25:28" ht="15" customHeight="1" x14ac:dyDescent="0.2">
      <c r="Y1909" s="1">
        <f t="shared" si="120"/>
        <v>0</v>
      </c>
      <c r="Z1909" s="1">
        <f t="shared" si="121"/>
        <v>0</v>
      </c>
      <c r="AA1909" s="1">
        <f t="shared" si="122"/>
        <v>0</v>
      </c>
      <c r="AB1909" s="1">
        <f t="shared" si="123"/>
        <v>0</v>
      </c>
    </row>
    <row r="1910" spans="25:28" ht="15" customHeight="1" x14ac:dyDescent="0.2">
      <c r="Y1910" s="1">
        <f t="shared" si="120"/>
        <v>0</v>
      </c>
      <c r="Z1910" s="1">
        <f t="shared" si="121"/>
        <v>0</v>
      </c>
      <c r="AA1910" s="1">
        <f t="shared" si="122"/>
        <v>0</v>
      </c>
      <c r="AB1910" s="1">
        <f t="shared" si="123"/>
        <v>0</v>
      </c>
    </row>
    <row r="1911" spans="25:28" ht="15" customHeight="1" x14ac:dyDescent="0.2">
      <c r="Y1911" s="1">
        <f t="shared" si="120"/>
        <v>0</v>
      </c>
      <c r="Z1911" s="1">
        <f t="shared" si="121"/>
        <v>0</v>
      </c>
      <c r="AA1911" s="1">
        <f t="shared" si="122"/>
        <v>0</v>
      </c>
      <c r="AB1911" s="1">
        <f t="shared" si="123"/>
        <v>0</v>
      </c>
    </row>
    <row r="1912" spans="25:28" ht="15" customHeight="1" x14ac:dyDescent="0.2">
      <c r="Y1912" s="1">
        <f t="shared" si="120"/>
        <v>0</v>
      </c>
      <c r="Z1912" s="1">
        <f t="shared" si="121"/>
        <v>0</v>
      </c>
      <c r="AA1912" s="1">
        <f t="shared" si="122"/>
        <v>0</v>
      </c>
      <c r="AB1912" s="1">
        <f t="shared" si="123"/>
        <v>0</v>
      </c>
    </row>
    <row r="1913" spans="25:28" ht="15" customHeight="1" x14ac:dyDescent="0.2">
      <c r="Y1913" s="1">
        <f t="shared" si="120"/>
        <v>0</v>
      </c>
      <c r="Z1913" s="1">
        <f t="shared" si="121"/>
        <v>0</v>
      </c>
      <c r="AA1913" s="1">
        <f t="shared" si="122"/>
        <v>0</v>
      </c>
      <c r="AB1913" s="1">
        <f t="shared" si="123"/>
        <v>0</v>
      </c>
    </row>
    <row r="1914" spans="25:28" ht="15" customHeight="1" x14ac:dyDescent="0.2">
      <c r="Y1914" s="1">
        <f t="shared" si="120"/>
        <v>0</v>
      </c>
      <c r="Z1914" s="1">
        <f t="shared" si="121"/>
        <v>0</v>
      </c>
      <c r="AA1914" s="1">
        <f t="shared" si="122"/>
        <v>0</v>
      </c>
      <c r="AB1914" s="1">
        <f t="shared" si="123"/>
        <v>0</v>
      </c>
    </row>
    <row r="1915" spans="25:28" ht="15" customHeight="1" x14ac:dyDescent="0.2">
      <c r="Y1915" s="1">
        <f t="shared" si="120"/>
        <v>0</v>
      </c>
      <c r="Z1915" s="1">
        <f t="shared" si="121"/>
        <v>0</v>
      </c>
      <c r="AA1915" s="1">
        <f t="shared" si="122"/>
        <v>0</v>
      </c>
      <c r="AB1915" s="1">
        <f t="shared" si="123"/>
        <v>0</v>
      </c>
    </row>
    <row r="1916" spans="25:28" ht="15" customHeight="1" x14ac:dyDescent="0.2">
      <c r="Y1916" s="1">
        <f t="shared" si="120"/>
        <v>0</v>
      </c>
      <c r="Z1916" s="1">
        <f t="shared" si="121"/>
        <v>0</v>
      </c>
      <c r="AA1916" s="1">
        <f t="shared" si="122"/>
        <v>0</v>
      </c>
      <c r="AB1916" s="1">
        <f t="shared" si="123"/>
        <v>0</v>
      </c>
    </row>
    <row r="1917" spans="25:28" ht="15" customHeight="1" x14ac:dyDescent="0.2">
      <c r="Y1917" s="1">
        <f t="shared" si="120"/>
        <v>0</v>
      </c>
      <c r="Z1917" s="1">
        <f t="shared" si="121"/>
        <v>0</v>
      </c>
      <c r="AA1917" s="1">
        <f t="shared" si="122"/>
        <v>0</v>
      </c>
      <c r="AB1917" s="1">
        <f t="shared" si="123"/>
        <v>0</v>
      </c>
    </row>
    <row r="1918" spans="25:28" ht="15" customHeight="1" x14ac:dyDescent="0.2">
      <c r="Y1918" s="1">
        <f t="shared" si="120"/>
        <v>0</v>
      </c>
      <c r="Z1918" s="1">
        <f t="shared" si="121"/>
        <v>0</v>
      </c>
      <c r="AA1918" s="1">
        <f t="shared" si="122"/>
        <v>0</v>
      </c>
      <c r="AB1918" s="1">
        <f t="shared" si="123"/>
        <v>0</v>
      </c>
    </row>
    <row r="1919" spans="25:28" ht="15" customHeight="1" x14ac:dyDescent="0.2">
      <c r="Y1919" s="1">
        <f t="shared" si="120"/>
        <v>0</v>
      </c>
      <c r="Z1919" s="1">
        <f t="shared" si="121"/>
        <v>0</v>
      </c>
      <c r="AA1919" s="1">
        <f t="shared" si="122"/>
        <v>0</v>
      </c>
      <c r="AB1919" s="1">
        <f t="shared" si="123"/>
        <v>0</v>
      </c>
    </row>
    <row r="1920" spans="25:28" ht="15" customHeight="1" x14ac:dyDescent="0.2">
      <c r="Y1920" s="1">
        <f t="shared" si="120"/>
        <v>0</v>
      </c>
      <c r="Z1920" s="1">
        <f t="shared" si="121"/>
        <v>0</v>
      </c>
      <c r="AA1920" s="1">
        <f t="shared" si="122"/>
        <v>0</v>
      </c>
      <c r="AB1920" s="1">
        <f t="shared" si="123"/>
        <v>0</v>
      </c>
    </row>
    <row r="1921" spans="25:28" ht="15" customHeight="1" x14ac:dyDescent="0.2">
      <c r="Y1921" s="1">
        <f t="shared" si="120"/>
        <v>0</v>
      </c>
      <c r="Z1921" s="1">
        <f t="shared" si="121"/>
        <v>0</v>
      </c>
      <c r="AA1921" s="1">
        <f t="shared" si="122"/>
        <v>0</v>
      </c>
      <c r="AB1921" s="1">
        <f t="shared" si="123"/>
        <v>0</v>
      </c>
    </row>
    <row r="1922" spans="25:28" ht="15" customHeight="1" x14ac:dyDescent="0.2">
      <c r="Y1922" s="1">
        <f t="shared" si="120"/>
        <v>0</v>
      </c>
      <c r="Z1922" s="1">
        <f t="shared" si="121"/>
        <v>0</v>
      </c>
      <c r="AA1922" s="1">
        <f t="shared" si="122"/>
        <v>0</v>
      </c>
      <c r="AB1922" s="1">
        <f t="shared" si="123"/>
        <v>0</v>
      </c>
    </row>
    <row r="1923" spans="25:28" ht="15" customHeight="1" x14ac:dyDescent="0.2">
      <c r="Y1923" s="1">
        <f t="shared" si="120"/>
        <v>0</v>
      </c>
      <c r="Z1923" s="1">
        <f t="shared" si="121"/>
        <v>0</v>
      </c>
      <c r="AA1923" s="1">
        <f t="shared" si="122"/>
        <v>0</v>
      </c>
      <c r="AB1923" s="1">
        <f t="shared" si="123"/>
        <v>0</v>
      </c>
    </row>
    <row r="1924" spans="25:28" ht="15" customHeight="1" x14ac:dyDescent="0.2">
      <c r="Y1924" s="1">
        <f t="shared" si="120"/>
        <v>0</v>
      </c>
      <c r="Z1924" s="1">
        <f t="shared" si="121"/>
        <v>0</v>
      </c>
      <c r="AA1924" s="1">
        <f t="shared" si="122"/>
        <v>0</v>
      </c>
      <c r="AB1924" s="1">
        <f t="shared" si="123"/>
        <v>0</v>
      </c>
    </row>
    <row r="1925" spans="25:28" ht="15" customHeight="1" x14ac:dyDescent="0.2">
      <c r="Y1925" s="1">
        <f t="shared" si="120"/>
        <v>0</v>
      </c>
      <c r="Z1925" s="1">
        <f t="shared" si="121"/>
        <v>0</v>
      </c>
      <c r="AA1925" s="1">
        <f t="shared" si="122"/>
        <v>0</v>
      </c>
      <c r="AB1925" s="1">
        <f t="shared" si="123"/>
        <v>0</v>
      </c>
    </row>
    <row r="1926" spans="25:28" ht="15" customHeight="1" x14ac:dyDescent="0.2">
      <c r="Y1926" s="1">
        <f t="shared" si="120"/>
        <v>0</v>
      </c>
      <c r="Z1926" s="1">
        <f t="shared" si="121"/>
        <v>0</v>
      </c>
      <c r="AA1926" s="1">
        <f t="shared" si="122"/>
        <v>0</v>
      </c>
      <c r="AB1926" s="1">
        <f t="shared" si="123"/>
        <v>0</v>
      </c>
    </row>
    <row r="1927" spans="25:28" ht="15" customHeight="1" x14ac:dyDescent="0.2">
      <c r="Y1927" s="1">
        <f t="shared" si="120"/>
        <v>0</v>
      </c>
      <c r="Z1927" s="1">
        <f t="shared" si="121"/>
        <v>0</v>
      </c>
      <c r="AA1927" s="1">
        <f t="shared" si="122"/>
        <v>0</v>
      </c>
      <c r="AB1927" s="1">
        <f t="shared" si="123"/>
        <v>0</v>
      </c>
    </row>
    <row r="1928" spans="25:28" ht="15" customHeight="1" x14ac:dyDescent="0.2">
      <c r="Y1928" s="1">
        <f t="shared" si="120"/>
        <v>0</v>
      </c>
      <c r="Z1928" s="1">
        <f t="shared" si="121"/>
        <v>0</v>
      </c>
      <c r="AA1928" s="1">
        <f t="shared" si="122"/>
        <v>0</v>
      </c>
      <c r="AB1928" s="1">
        <f t="shared" si="123"/>
        <v>0</v>
      </c>
    </row>
    <row r="1929" spans="25:28" ht="15" customHeight="1" x14ac:dyDescent="0.2">
      <c r="Y1929" s="1">
        <f t="shared" si="120"/>
        <v>0</v>
      </c>
      <c r="Z1929" s="1">
        <f t="shared" si="121"/>
        <v>0</v>
      </c>
      <c r="AA1929" s="1">
        <f t="shared" si="122"/>
        <v>0</v>
      </c>
      <c r="AB1929" s="1">
        <f t="shared" si="123"/>
        <v>0</v>
      </c>
    </row>
    <row r="1930" spans="25:28" ht="15" customHeight="1" x14ac:dyDescent="0.2">
      <c r="Y1930" s="1">
        <f t="shared" si="120"/>
        <v>0</v>
      </c>
      <c r="Z1930" s="1">
        <f t="shared" si="121"/>
        <v>0</v>
      </c>
      <c r="AA1930" s="1">
        <f t="shared" si="122"/>
        <v>0</v>
      </c>
      <c r="AB1930" s="1">
        <f t="shared" si="123"/>
        <v>0</v>
      </c>
    </row>
    <row r="1931" spans="25:28" ht="15" customHeight="1" x14ac:dyDescent="0.2">
      <c r="Y1931" s="1">
        <f t="shared" si="120"/>
        <v>0</v>
      </c>
      <c r="Z1931" s="1">
        <f t="shared" si="121"/>
        <v>0</v>
      </c>
      <c r="AA1931" s="1">
        <f t="shared" si="122"/>
        <v>0</v>
      </c>
      <c r="AB1931" s="1">
        <f t="shared" si="123"/>
        <v>0</v>
      </c>
    </row>
    <row r="1932" spans="25:28" ht="15" customHeight="1" x14ac:dyDescent="0.2">
      <c r="Y1932" s="1">
        <f t="shared" si="120"/>
        <v>0</v>
      </c>
      <c r="Z1932" s="1">
        <f t="shared" si="121"/>
        <v>0</v>
      </c>
      <c r="AA1932" s="1">
        <f t="shared" si="122"/>
        <v>0</v>
      </c>
      <c r="AB1932" s="1">
        <f t="shared" si="123"/>
        <v>0</v>
      </c>
    </row>
    <row r="1933" spans="25:28" ht="15" customHeight="1" x14ac:dyDescent="0.2">
      <c r="Y1933" s="1">
        <f t="shared" si="120"/>
        <v>0</v>
      </c>
      <c r="Z1933" s="1">
        <f t="shared" si="121"/>
        <v>0</v>
      </c>
      <c r="AA1933" s="1">
        <f t="shared" si="122"/>
        <v>0</v>
      </c>
      <c r="AB1933" s="1">
        <f t="shared" si="123"/>
        <v>0</v>
      </c>
    </row>
    <row r="1934" spans="25:28" ht="15" customHeight="1" x14ac:dyDescent="0.2">
      <c r="Y1934" s="1">
        <f t="shared" ref="Y1934:Y1999" si="124">MAX(0,IFERROR((LEN($T1935)-LEN(SUBSTITUTE($T1935,"Quality of Works / Criteria of Failings:","")))/LEN("Quality of Works / Criteria of Failings:"),0)-IFERROR((LEN($T1935)-LEN(SUBSTITUTE($T1935,"Quality of Works / Criteria of Failings:Compliant","")))/LEN("Quality of Works / Criteria of Failings:Compliant"),0))</f>
        <v>0</v>
      </c>
      <c r="Z1934" s="1">
        <f t="shared" ref="Z1934:Z1999" si="125">IFERROR($Y1935/MAX(1,(LEN($I1935)-LEN(SUBSTITUTE($I1935," Ltd","")))/LEN(" Ltd")),0)</f>
        <v>0</v>
      </c>
      <c r="AA1934" s="1">
        <f t="shared" ref="AA1934:AA1999" si="126">IFERROR(IFERROR((LEN($T1935)-LEN(SUBSTITUTE($T1935,"Quality of Works / Criteria of Failings:","")))/LEN("Quality of Works / Criteria of Failings:"),0)/MAX(1,(LEN($I1935)-LEN(SUBSTITUTE($I1935," Ltd","")))/LEN(" Ltd")),0)</f>
        <v>0</v>
      </c>
      <c r="AB1934" s="1">
        <f t="shared" ref="AB1934:AB1999" si="127">IFERROR(IFERROR((LEN($T1935)-LEN(SUBSTITUTE($T1935,"Quality of Works / Criteria of Failings:Compliant","")))/LEN("Quality of Works / Criteria of Failings:Compliant"),0)/MAX(1,(LEN($I1935)-LEN(SUBSTITUTE($I1935," Ltd","")))/LEN(" Ltd")),0)</f>
        <v>0</v>
      </c>
    </row>
    <row r="1935" spans="25:28" ht="15" customHeight="1" x14ac:dyDescent="0.2">
      <c r="Y1935" s="1">
        <f t="shared" si="124"/>
        <v>0</v>
      </c>
      <c r="Z1935" s="1">
        <f t="shared" si="125"/>
        <v>0</v>
      </c>
      <c r="AA1935" s="1">
        <f t="shared" si="126"/>
        <v>0</v>
      </c>
      <c r="AB1935" s="1">
        <f t="shared" si="127"/>
        <v>0</v>
      </c>
    </row>
    <row r="1936" spans="25:28" ht="15" customHeight="1" x14ac:dyDescent="0.2">
      <c r="Y1936" s="1">
        <f t="shared" si="124"/>
        <v>0</v>
      </c>
      <c r="Z1936" s="1">
        <f t="shared" si="125"/>
        <v>0</v>
      </c>
      <c r="AA1936" s="1">
        <f t="shared" si="126"/>
        <v>0</v>
      </c>
      <c r="AB1936" s="1">
        <f t="shared" si="127"/>
        <v>0</v>
      </c>
    </row>
    <row r="1937" spans="25:28" ht="15" customHeight="1" x14ac:dyDescent="0.2">
      <c r="Y1937" s="1">
        <f t="shared" si="124"/>
        <v>0</v>
      </c>
      <c r="Z1937" s="1">
        <f t="shared" si="125"/>
        <v>0</v>
      </c>
      <c r="AA1937" s="1">
        <f t="shared" si="126"/>
        <v>0</v>
      </c>
      <c r="AB1937" s="1">
        <f t="shared" si="127"/>
        <v>0</v>
      </c>
    </row>
    <row r="1938" spans="25:28" ht="15" customHeight="1" x14ac:dyDescent="0.2">
      <c r="Y1938" s="1">
        <f t="shared" si="124"/>
        <v>0</v>
      </c>
      <c r="Z1938" s="1">
        <f t="shared" si="125"/>
        <v>0</v>
      </c>
      <c r="AA1938" s="1">
        <f t="shared" si="126"/>
        <v>0</v>
      </c>
      <c r="AB1938" s="1">
        <f t="shared" si="127"/>
        <v>0</v>
      </c>
    </row>
    <row r="1939" spans="25:28" ht="15" customHeight="1" x14ac:dyDescent="0.2">
      <c r="Y1939" s="1">
        <f t="shared" si="124"/>
        <v>0</v>
      </c>
      <c r="Z1939" s="1">
        <f t="shared" si="125"/>
        <v>0</v>
      </c>
      <c r="AA1939" s="1">
        <f t="shared" si="126"/>
        <v>0</v>
      </c>
      <c r="AB1939" s="1">
        <f t="shared" si="127"/>
        <v>0</v>
      </c>
    </row>
    <row r="1940" spans="25:28" ht="15" customHeight="1" x14ac:dyDescent="0.2">
      <c r="Y1940" s="1">
        <f t="shared" si="124"/>
        <v>0</v>
      </c>
      <c r="Z1940" s="1">
        <f t="shared" si="125"/>
        <v>0</v>
      </c>
      <c r="AA1940" s="1">
        <f t="shared" si="126"/>
        <v>0</v>
      </c>
      <c r="AB1940" s="1">
        <f t="shared" si="127"/>
        <v>0</v>
      </c>
    </row>
    <row r="1941" spans="25:28" ht="15" customHeight="1" x14ac:dyDescent="0.2">
      <c r="Y1941" s="1">
        <f t="shared" si="124"/>
        <v>0</v>
      </c>
      <c r="Z1941" s="1">
        <f t="shared" si="125"/>
        <v>0</v>
      </c>
      <c r="AA1941" s="1">
        <f t="shared" si="126"/>
        <v>0</v>
      </c>
      <c r="AB1941" s="1">
        <f t="shared" si="127"/>
        <v>0</v>
      </c>
    </row>
    <row r="1942" spans="25:28" ht="15" customHeight="1" x14ac:dyDescent="0.2">
      <c r="Y1942" s="1">
        <f t="shared" si="124"/>
        <v>0</v>
      </c>
      <c r="Z1942" s="1">
        <f t="shared" si="125"/>
        <v>0</v>
      </c>
      <c r="AA1942" s="1">
        <f t="shared" si="126"/>
        <v>0</v>
      </c>
      <c r="AB1942" s="1">
        <f t="shared" si="127"/>
        <v>0</v>
      </c>
    </row>
    <row r="1943" spans="25:28" ht="15" customHeight="1" x14ac:dyDescent="0.2">
      <c r="Y1943" s="1">
        <f t="shared" si="124"/>
        <v>0</v>
      </c>
      <c r="Z1943" s="1">
        <f t="shared" si="125"/>
        <v>0</v>
      </c>
      <c r="AA1943" s="1">
        <f t="shared" si="126"/>
        <v>0</v>
      </c>
      <c r="AB1943" s="1">
        <f t="shared" si="127"/>
        <v>0</v>
      </c>
    </row>
    <row r="1944" spans="25:28" ht="15" customHeight="1" x14ac:dyDescent="0.2">
      <c r="Y1944" s="1">
        <f t="shared" si="124"/>
        <v>0</v>
      </c>
      <c r="Z1944" s="1">
        <f t="shared" si="125"/>
        <v>0</v>
      </c>
      <c r="AA1944" s="1">
        <f t="shared" si="126"/>
        <v>0</v>
      </c>
      <c r="AB1944" s="1">
        <f t="shared" si="127"/>
        <v>0</v>
      </c>
    </row>
    <row r="1945" spans="25:28" ht="15" customHeight="1" x14ac:dyDescent="0.2">
      <c r="Y1945" s="1">
        <f t="shared" si="124"/>
        <v>0</v>
      </c>
      <c r="Z1945" s="1">
        <f t="shared" si="125"/>
        <v>0</v>
      </c>
      <c r="AA1945" s="1">
        <f t="shared" si="126"/>
        <v>0</v>
      </c>
      <c r="AB1945" s="1">
        <f t="shared" si="127"/>
        <v>0</v>
      </c>
    </row>
    <row r="1946" spans="25:28" ht="15" customHeight="1" x14ac:dyDescent="0.2">
      <c r="Y1946" s="1">
        <f t="shared" si="124"/>
        <v>0</v>
      </c>
      <c r="Z1946" s="1">
        <f t="shared" si="125"/>
        <v>0</v>
      </c>
      <c r="AA1946" s="1">
        <f t="shared" si="126"/>
        <v>0</v>
      </c>
      <c r="AB1946" s="1">
        <f t="shared" si="127"/>
        <v>0</v>
      </c>
    </row>
    <row r="1947" spans="25:28" ht="15" customHeight="1" x14ac:dyDescent="0.2">
      <c r="Y1947" s="1">
        <f t="shared" si="124"/>
        <v>0</v>
      </c>
      <c r="Z1947" s="1">
        <f t="shared" si="125"/>
        <v>0</v>
      </c>
      <c r="AA1947" s="1">
        <f t="shared" si="126"/>
        <v>0</v>
      </c>
      <c r="AB1947" s="1">
        <f t="shared" si="127"/>
        <v>0</v>
      </c>
    </row>
    <row r="1948" spans="25:28" ht="15" customHeight="1" x14ac:dyDescent="0.2">
      <c r="Y1948" s="1">
        <f t="shared" si="124"/>
        <v>0</v>
      </c>
      <c r="Z1948" s="1">
        <f t="shared" si="125"/>
        <v>0</v>
      </c>
      <c r="AA1948" s="1">
        <f t="shared" si="126"/>
        <v>0</v>
      </c>
      <c r="AB1948" s="1">
        <f t="shared" si="127"/>
        <v>0</v>
      </c>
    </row>
    <row r="1949" spans="25:28" ht="15" customHeight="1" x14ac:dyDescent="0.2">
      <c r="Y1949" s="1">
        <f t="shared" si="124"/>
        <v>0</v>
      </c>
      <c r="Z1949" s="1">
        <f t="shared" si="125"/>
        <v>0</v>
      </c>
      <c r="AA1949" s="1">
        <f t="shared" si="126"/>
        <v>0</v>
      </c>
      <c r="AB1949" s="1">
        <f t="shared" si="127"/>
        <v>0</v>
      </c>
    </row>
    <row r="1950" spans="25:28" ht="15" customHeight="1" x14ac:dyDescent="0.2">
      <c r="Y1950" s="1">
        <f t="shared" si="124"/>
        <v>0</v>
      </c>
      <c r="Z1950" s="1">
        <f t="shared" si="125"/>
        <v>0</v>
      </c>
      <c r="AA1950" s="1">
        <f t="shared" si="126"/>
        <v>0</v>
      </c>
      <c r="AB1950" s="1">
        <f t="shared" si="127"/>
        <v>0</v>
      </c>
    </row>
    <row r="1951" spans="25:28" ht="15" customHeight="1" x14ac:dyDescent="0.2">
      <c r="Y1951" s="1">
        <f t="shared" si="124"/>
        <v>0</v>
      </c>
      <c r="Z1951" s="1">
        <f t="shared" si="125"/>
        <v>0</v>
      </c>
      <c r="AA1951" s="1">
        <f t="shared" si="126"/>
        <v>0</v>
      </c>
      <c r="AB1951" s="1">
        <f t="shared" si="127"/>
        <v>0</v>
      </c>
    </row>
    <row r="1952" spans="25:28" ht="15" customHeight="1" x14ac:dyDescent="0.2">
      <c r="Y1952" s="1">
        <f t="shared" si="124"/>
        <v>0</v>
      </c>
      <c r="Z1952" s="1">
        <f t="shared" si="125"/>
        <v>0</v>
      </c>
      <c r="AA1952" s="1">
        <f t="shared" si="126"/>
        <v>0</v>
      </c>
      <c r="AB1952" s="1">
        <f t="shared" si="127"/>
        <v>0</v>
      </c>
    </row>
    <row r="1953" spans="25:28" ht="15" customHeight="1" x14ac:dyDescent="0.2">
      <c r="Y1953" s="1">
        <f t="shared" si="124"/>
        <v>0</v>
      </c>
      <c r="Z1953" s="1">
        <f t="shared" si="125"/>
        <v>0</v>
      </c>
      <c r="AA1953" s="1">
        <f t="shared" si="126"/>
        <v>0</v>
      </c>
      <c r="AB1953" s="1">
        <f t="shared" si="127"/>
        <v>0</v>
      </c>
    </row>
    <row r="1954" spans="25:28" ht="15" customHeight="1" x14ac:dyDescent="0.2">
      <c r="Y1954" s="1">
        <f t="shared" si="124"/>
        <v>0</v>
      </c>
      <c r="Z1954" s="1">
        <f t="shared" si="125"/>
        <v>0</v>
      </c>
      <c r="AA1954" s="1">
        <f t="shared" si="126"/>
        <v>0</v>
      </c>
      <c r="AB1954" s="1">
        <f t="shared" si="127"/>
        <v>0</v>
      </c>
    </row>
    <row r="1955" spans="25:28" ht="15" customHeight="1" x14ac:dyDescent="0.2">
      <c r="Y1955" s="1">
        <f t="shared" si="124"/>
        <v>0</v>
      </c>
      <c r="Z1955" s="1">
        <f t="shared" si="125"/>
        <v>0</v>
      </c>
      <c r="AA1955" s="1">
        <f t="shared" si="126"/>
        <v>0</v>
      </c>
      <c r="AB1955" s="1">
        <f t="shared" si="127"/>
        <v>0</v>
      </c>
    </row>
    <row r="1956" spans="25:28" ht="15" customHeight="1" x14ac:dyDescent="0.2">
      <c r="Y1956" s="1">
        <f t="shared" si="124"/>
        <v>0</v>
      </c>
      <c r="Z1956" s="1">
        <f t="shared" si="125"/>
        <v>0</v>
      </c>
      <c r="AA1956" s="1">
        <f t="shared" si="126"/>
        <v>0</v>
      </c>
      <c r="AB1956" s="1">
        <f t="shared" si="127"/>
        <v>0</v>
      </c>
    </row>
    <row r="1957" spans="25:28" ht="15" customHeight="1" x14ac:dyDescent="0.2">
      <c r="Y1957" s="1">
        <f t="shared" si="124"/>
        <v>0</v>
      </c>
      <c r="Z1957" s="1">
        <f t="shared" si="125"/>
        <v>0</v>
      </c>
      <c r="AA1957" s="1">
        <f t="shared" si="126"/>
        <v>0</v>
      </c>
      <c r="AB1957" s="1">
        <f t="shared" si="127"/>
        <v>0</v>
      </c>
    </row>
    <row r="1958" spans="25:28" ht="15" customHeight="1" x14ac:dyDescent="0.2">
      <c r="Y1958" s="1">
        <f t="shared" si="124"/>
        <v>0</v>
      </c>
      <c r="Z1958" s="1">
        <f t="shared" si="125"/>
        <v>0</v>
      </c>
      <c r="AA1958" s="1">
        <f t="shared" si="126"/>
        <v>0</v>
      </c>
      <c r="AB1958" s="1">
        <f t="shared" si="127"/>
        <v>0</v>
      </c>
    </row>
    <row r="1959" spans="25:28" ht="15" customHeight="1" x14ac:dyDescent="0.2">
      <c r="Y1959" s="1">
        <f t="shared" si="124"/>
        <v>0</v>
      </c>
      <c r="Z1959" s="1">
        <f t="shared" si="125"/>
        <v>0</v>
      </c>
      <c r="AA1959" s="1">
        <f t="shared" si="126"/>
        <v>0</v>
      </c>
      <c r="AB1959" s="1">
        <f t="shared" si="127"/>
        <v>0</v>
      </c>
    </row>
    <row r="1960" spans="25:28" ht="15" customHeight="1" x14ac:dyDescent="0.2">
      <c r="Y1960" s="1">
        <f t="shared" si="124"/>
        <v>0</v>
      </c>
      <c r="Z1960" s="1">
        <f t="shared" si="125"/>
        <v>0</v>
      </c>
      <c r="AA1960" s="1">
        <f t="shared" si="126"/>
        <v>0</v>
      </c>
      <c r="AB1960" s="1">
        <f t="shared" si="127"/>
        <v>0</v>
      </c>
    </row>
    <row r="1961" spans="25:28" ht="15" customHeight="1" x14ac:dyDescent="0.2">
      <c r="Y1961" s="1">
        <f t="shared" si="124"/>
        <v>0</v>
      </c>
      <c r="Z1961" s="1">
        <f t="shared" si="125"/>
        <v>0</v>
      </c>
      <c r="AA1961" s="1">
        <f t="shared" si="126"/>
        <v>0</v>
      </c>
      <c r="AB1961" s="1">
        <f t="shared" si="127"/>
        <v>0</v>
      </c>
    </row>
    <row r="1962" spans="25:28" ht="15" customHeight="1" x14ac:dyDescent="0.2">
      <c r="Y1962" s="1">
        <f t="shared" si="124"/>
        <v>0</v>
      </c>
      <c r="Z1962" s="1">
        <f t="shared" si="125"/>
        <v>0</v>
      </c>
      <c r="AA1962" s="1">
        <f t="shared" si="126"/>
        <v>0</v>
      </c>
      <c r="AB1962" s="1">
        <f t="shared" si="127"/>
        <v>0</v>
      </c>
    </row>
    <row r="1963" spans="25:28" ht="15" customHeight="1" x14ac:dyDescent="0.2">
      <c r="Y1963" s="1">
        <f t="shared" si="124"/>
        <v>0</v>
      </c>
      <c r="Z1963" s="1">
        <f t="shared" si="125"/>
        <v>0</v>
      </c>
      <c r="AA1963" s="1">
        <f t="shared" si="126"/>
        <v>0</v>
      </c>
      <c r="AB1963" s="1">
        <f t="shared" si="127"/>
        <v>0</v>
      </c>
    </row>
    <row r="1964" spans="25:28" ht="15" customHeight="1" x14ac:dyDescent="0.2">
      <c r="Y1964" s="1">
        <f t="shared" si="124"/>
        <v>0</v>
      </c>
      <c r="Z1964" s="1">
        <f t="shared" si="125"/>
        <v>0</v>
      </c>
      <c r="AA1964" s="1">
        <f t="shared" si="126"/>
        <v>0</v>
      </c>
      <c r="AB1964" s="1">
        <f t="shared" si="127"/>
        <v>0</v>
      </c>
    </row>
    <row r="1965" spans="25:28" ht="15" customHeight="1" x14ac:dyDescent="0.2">
      <c r="Y1965" s="1">
        <f t="shared" si="124"/>
        <v>0</v>
      </c>
      <c r="Z1965" s="1">
        <f t="shared" si="125"/>
        <v>0</v>
      </c>
      <c r="AA1965" s="1">
        <f t="shared" si="126"/>
        <v>0</v>
      </c>
      <c r="AB1965" s="1">
        <f t="shared" si="127"/>
        <v>0</v>
      </c>
    </row>
    <row r="1966" spans="25:28" ht="15" customHeight="1" x14ac:dyDescent="0.2">
      <c r="Y1966" s="1">
        <f t="shared" si="124"/>
        <v>0</v>
      </c>
      <c r="Z1966" s="1">
        <f t="shared" si="125"/>
        <v>0</v>
      </c>
      <c r="AA1966" s="1">
        <f t="shared" si="126"/>
        <v>0</v>
      </c>
      <c r="AB1966" s="1">
        <f t="shared" si="127"/>
        <v>0</v>
      </c>
    </row>
    <row r="1967" spans="25:28" ht="15" customHeight="1" x14ac:dyDescent="0.2">
      <c r="Y1967" s="1">
        <f t="shared" si="124"/>
        <v>0</v>
      </c>
      <c r="Z1967" s="1">
        <f t="shared" si="125"/>
        <v>0</v>
      </c>
      <c r="AA1967" s="1">
        <f t="shared" si="126"/>
        <v>0</v>
      </c>
      <c r="AB1967" s="1">
        <f t="shared" si="127"/>
        <v>0</v>
      </c>
    </row>
    <row r="1968" spans="25:28" ht="15" customHeight="1" x14ac:dyDescent="0.2">
      <c r="Y1968" s="1">
        <f t="shared" si="124"/>
        <v>0</v>
      </c>
      <c r="Z1968" s="1">
        <f t="shared" si="125"/>
        <v>0</v>
      </c>
      <c r="AA1968" s="1">
        <f t="shared" si="126"/>
        <v>0</v>
      </c>
      <c r="AB1968" s="1">
        <f t="shared" si="127"/>
        <v>0</v>
      </c>
    </row>
    <row r="1969" spans="25:28" ht="15" customHeight="1" x14ac:dyDescent="0.2">
      <c r="Y1969" s="1">
        <f t="shared" si="124"/>
        <v>0</v>
      </c>
      <c r="Z1969" s="1">
        <f t="shared" si="125"/>
        <v>0</v>
      </c>
      <c r="AA1969" s="1">
        <f t="shared" si="126"/>
        <v>0</v>
      </c>
      <c r="AB1969" s="1">
        <f t="shared" si="127"/>
        <v>0</v>
      </c>
    </row>
    <row r="1970" spans="25:28" ht="15" customHeight="1" x14ac:dyDescent="0.2">
      <c r="Y1970" s="1">
        <f t="shared" si="124"/>
        <v>0</v>
      </c>
      <c r="Z1970" s="1">
        <f t="shared" si="125"/>
        <v>0</v>
      </c>
      <c r="AA1970" s="1">
        <f t="shared" si="126"/>
        <v>0</v>
      </c>
      <c r="AB1970" s="1">
        <f t="shared" si="127"/>
        <v>0</v>
      </c>
    </row>
    <row r="1971" spans="25:28" ht="15" customHeight="1" x14ac:dyDescent="0.2">
      <c r="Y1971" s="1">
        <f t="shared" si="124"/>
        <v>0</v>
      </c>
      <c r="Z1971" s="1">
        <f t="shared" si="125"/>
        <v>0</v>
      </c>
      <c r="AA1971" s="1">
        <f t="shared" si="126"/>
        <v>0</v>
      </c>
      <c r="AB1971" s="1">
        <f t="shared" si="127"/>
        <v>0</v>
      </c>
    </row>
    <row r="1972" spans="25:28" ht="15" customHeight="1" x14ac:dyDescent="0.2">
      <c r="Y1972" s="1">
        <f t="shared" si="124"/>
        <v>0</v>
      </c>
      <c r="Z1972" s="1">
        <f t="shared" si="125"/>
        <v>0</v>
      </c>
      <c r="AA1972" s="1">
        <f t="shared" si="126"/>
        <v>0</v>
      </c>
      <c r="AB1972" s="1">
        <f t="shared" si="127"/>
        <v>0</v>
      </c>
    </row>
    <row r="1973" spans="25:28" ht="15" customHeight="1" x14ac:dyDescent="0.2">
      <c r="Y1973" s="1">
        <f t="shared" si="124"/>
        <v>0</v>
      </c>
      <c r="Z1973" s="1">
        <f t="shared" si="125"/>
        <v>0</v>
      </c>
      <c r="AA1973" s="1">
        <f t="shared" si="126"/>
        <v>0</v>
      </c>
      <c r="AB1973" s="1">
        <f t="shared" si="127"/>
        <v>0</v>
      </c>
    </row>
    <row r="1974" spans="25:28" ht="15" customHeight="1" x14ac:dyDescent="0.2">
      <c r="Y1974" s="1">
        <f t="shared" si="124"/>
        <v>0</v>
      </c>
      <c r="Z1974" s="1">
        <f t="shared" si="125"/>
        <v>0</v>
      </c>
      <c r="AA1974" s="1">
        <f t="shared" si="126"/>
        <v>0</v>
      </c>
      <c r="AB1974" s="1">
        <f t="shared" si="127"/>
        <v>0</v>
      </c>
    </row>
    <row r="1975" spans="25:28" ht="15" customHeight="1" x14ac:dyDescent="0.2">
      <c r="Y1975" s="1">
        <f t="shared" si="124"/>
        <v>0</v>
      </c>
      <c r="Z1975" s="1">
        <f t="shared" si="125"/>
        <v>0</v>
      </c>
      <c r="AA1975" s="1">
        <f t="shared" si="126"/>
        <v>0</v>
      </c>
      <c r="AB1975" s="1">
        <f t="shared" si="127"/>
        <v>0</v>
      </c>
    </row>
    <row r="1976" spans="25:28" ht="15" customHeight="1" x14ac:dyDescent="0.2">
      <c r="Y1976" s="1">
        <f t="shared" si="124"/>
        <v>0</v>
      </c>
      <c r="Z1976" s="1">
        <f t="shared" si="125"/>
        <v>0</v>
      </c>
      <c r="AA1976" s="1">
        <f t="shared" si="126"/>
        <v>0</v>
      </c>
      <c r="AB1976" s="1">
        <f t="shared" si="127"/>
        <v>0</v>
      </c>
    </row>
    <row r="1977" spans="25:28" ht="15" customHeight="1" x14ac:dyDescent="0.2">
      <c r="Y1977" s="1">
        <f t="shared" si="124"/>
        <v>0</v>
      </c>
      <c r="Z1977" s="1">
        <f t="shared" si="125"/>
        <v>0</v>
      </c>
      <c r="AA1977" s="1">
        <f t="shared" si="126"/>
        <v>0</v>
      </c>
      <c r="AB1977" s="1">
        <f t="shared" si="127"/>
        <v>0</v>
      </c>
    </row>
    <row r="1978" spans="25:28" ht="15" customHeight="1" x14ac:dyDescent="0.2">
      <c r="Y1978" s="1">
        <f t="shared" si="124"/>
        <v>0</v>
      </c>
      <c r="Z1978" s="1">
        <f t="shared" si="125"/>
        <v>0</v>
      </c>
      <c r="AA1978" s="1">
        <f t="shared" si="126"/>
        <v>0</v>
      </c>
      <c r="AB1978" s="1">
        <f t="shared" si="127"/>
        <v>0</v>
      </c>
    </row>
    <row r="1979" spans="25:28" ht="15" customHeight="1" x14ac:dyDescent="0.2">
      <c r="Y1979" s="1">
        <f t="shared" si="124"/>
        <v>0</v>
      </c>
      <c r="Z1979" s="1">
        <f t="shared" si="125"/>
        <v>0</v>
      </c>
      <c r="AA1979" s="1">
        <f t="shared" si="126"/>
        <v>0</v>
      </c>
      <c r="AB1979" s="1">
        <f t="shared" si="127"/>
        <v>0</v>
      </c>
    </row>
    <row r="1980" spans="25:28" ht="15" customHeight="1" x14ac:dyDescent="0.2">
      <c r="Y1980" s="1">
        <f t="shared" si="124"/>
        <v>0</v>
      </c>
      <c r="Z1980" s="1">
        <f t="shared" si="125"/>
        <v>0</v>
      </c>
      <c r="AA1980" s="1">
        <f t="shared" si="126"/>
        <v>0</v>
      </c>
      <c r="AB1980" s="1">
        <f t="shared" si="127"/>
        <v>0</v>
      </c>
    </row>
    <row r="1981" spans="25:28" ht="15" customHeight="1" x14ac:dyDescent="0.2">
      <c r="Y1981" s="1">
        <f t="shared" si="124"/>
        <v>0</v>
      </c>
      <c r="Z1981" s="1">
        <f t="shared" si="125"/>
        <v>0</v>
      </c>
      <c r="AA1981" s="1">
        <f t="shared" si="126"/>
        <v>0</v>
      </c>
      <c r="AB1981" s="1">
        <f t="shared" si="127"/>
        <v>0</v>
      </c>
    </row>
    <row r="1982" spans="25:28" ht="15" customHeight="1" x14ac:dyDescent="0.2">
      <c r="Y1982" s="1">
        <f t="shared" si="124"/>
        <v>0</v>
      </c>
      <c r="Z1982" s="1">
        <f t="shared" si="125"/>
        <v>0</v>
      </c>
      <c r="AA1982" s="1">
        <f t="shared" si="126"/>
        <v>0</v>
      </c>
      <c r="AB1982" s="1">
        <f t="shared" si="127"/>
        <v>0</v>
      </c>
    </row>
    <row r="1983" spans="25:28" ht="15" customHeight="1" x14ac:dyDescent="0.2">
      <c r="Y1983" s="1">
        <f t="shared" si="124"/>
        <v>0</v>
      </c>
      <c r="Z1983" s="1">
        <f t="shared" si="125"/>
        <v>0</v>
      </c>
      <c r="AA1983" s="1">
        <f t="shared" si="126"/>
        <v>0</v>
      </c>
      <c r="AB1983" s="1">
        <f t="shared" si="127"/>
        <v>0</v>
      </c>
    </row>
    <row r="1984" spans="25:28" ht="15" customHeight="1" x14ac:dyDescent="0.2">
      <c r="Y1984" s="1">
        <f t="shared" si="124"/>
        <v>0</v>
      </c>
      <c r="Z1984" s="1">
        <f t="shared" si="125"/>
        <v>0</v>
      </c>
      <c r="AA1984" s="1">
        <f t="shared" si="126"/>
        <v>0</v>
      </c>
      <c r="AB1984" s="1">
        <f t="shared" si="127"/>
        <v>0</v>
      </c>
    </row>
    <row r="1985" spans="25:28" ht="15" customHeight="1" x14ac:dyDescent="0.2">
      <c r="Y1985" s="1">
        <f t="shared" si="124"/>
        <v>0</v>
      </c>
      <c r="Z1985" s="1">
        <f t="shared" si="125"/>
        <v>0</v>
      </c>
      <c r="AA1985" s="1">
        <f t="shared" si="126"/>
        <v>0</v>
      </c>
      <c r="AB1985" s="1">
        <f t="shared" si="127"/>
        <v>0</v>
      </c>
    </row>
    <row r="1986" spans="25:28" ht="15" customHeight="1" x14ac:dyDescent="0.2">
      <c r="Y1986" s="1">
        <f t="shared" si="124"/>
        <v>0</v>
      </c>
      <c r="Z1986" s="1">
        <f t="shared" si="125"/>
        <v>0</v>
      </c>
      <c r="AA1986" s="1">
        <f t="shared" si="126"/>
        <v>0</v>
      </c>
      <c r="AB1986" s="1">
        <f t="shared" si="127"/>
        <v>0</v>
      </c>
    </row>
    <row r="1987" spans="25:28" ht="15" customHeight="1" x14ac:dyDescent="0.2">
      <c r="Y1987" s="1">
        <f t="shared" si="124"/>
        <v>0</v>
      </c>
      <c r="Z1987" s="1">
        <f t="shared" si="125"/>
        <v>0</v>
      </c>
      <c r="AA1987" s="1">
        <f t="shared" si="126"/>
        <v>0</v>
      </c>
      <c r="AB1987" s="1">
        <f t="shared" si="127"/>
        <v>0</v>
      </c>
    </row>
    <row r="1988" spans="25:28" ht="15" customHeight="1" x14ac:dyDescent="0.2">
      <c r="Y1988" s="1">
        <f t="shared" si="124"/>
        <v>0</v>
      </c>
      <c r="Z1988" s="1">
        <f t="shared" si="125"/>
        <v>0</v>
      </c>
      <c r="AA1988" s="1">
        <f t="shared" si="126"/>
        <v>0</v>
      </c>
      <c r="AB1988" s="1">
        <f t="shared" si="127"/>
        <v>0</v>
      </c>
    </row>
    <row r="1989" spans="25:28" ht="15" customHeight="1" x14ac:dyDescent="0.2">
      <c r="Y1989" s="1">
        <f t="shared" si="124"/>
        <v>0</v>
      </c>
      <c r="Z1989" s="1">
        <f t="shared" si="125"/>
        <v>0</v>
      </c>
      <c r="AA1989" s="1">
        <f t="shared" si="126"/>
        <v>0</v>
      </c>
      <c r="AB1989" s="1">
        <f t="shared" si="127"/>
        <v>0</v>
      </c>
    </row>
    <row r="1990" spans="25:28" ht="15" customHeight="1" x14ac:dyDescent="0.2">
      <c r="Y1990" s="1">
        <f t="shared" si="124"/>
        <v>0</v>
      </c>
      <c r="Z1990" s="1">
        <f t="shared" si="125"/>
        <v>0</v>
      </c>
      <c r="AA1990" s="1">
        <f t="shared" si="126"/>
        <v>0</v>
      </c>
      <c r="AB1990" s="1">
        <f t="shared" si="127"/>
        <v>0</v>
      </c>
    </row>
    <row r="1991" spans="25:28" ht="15" customHeight="1" x14ac:dyDescent="0.2">
      <c r="Y1991" s="1">
        <f t="shared" si="124"/>
        <v>0</v>
      </c>
      <c r="Z1991" s="1">
        <f t="shared" si="125"/>
        <v>0</v>
      </c>
      <c r="AA1991" s="1">
        <f t="shared" si="126"/>
        <v>0</v>
      </c>
      <c r="AB1991" s="1">
        <f t="shared" si="127"/>
        <v>0</v>
      </c>
    </row>
    <row r="1992" spans="25:28" ht="15" customHeight="1" x14ac:dyDescent="0.2">
      <c r="Y1992" s="1">
        <f t="shared" si="124"/>
        <v>0</v>
      </c>
      <c r="Z1992" s="1">
        <f t="shared" si="125"/>
        <v>0</v>
      </c>
      <c r="AA1992" s="1">
        <f t="shared" si="126"/>
        <v>0</v>
      </c>
      <c r="AB1992" s="1">
        <f t="shared" si="127"/>
        <v>0</v>
      </c>
    </row>
    <row r="1993" spans="25:28" ht="15" customHeight="1" x14ac:dyDescent="0.2">
      <c r="Y1993" s="1">
        <f t="shared" si="124"/>
        <v>0</v>
      </c>
      <c r="Z1993" s="1">
        <f t="shared" si="125"/>
        <v>0</v>
      </c>
      <c r="AA1993" s="1">
        <f t="shared" si="126"/>
        <v>0</v>
      </c>
      <c r="AB1993" s="1">
        <f t="shared" si="127"/>
        <v>0</v>
      </c>
    </row>
    <row r="1994" spans="25:28" ht="15" customHeight="1" x14ac:dyDescent="0.2">
      <c r="Y1994" s="1">
        <f t="shared" si="124"/>
        <v>0</v>
      </c>
      <c r="Z1994" s="1">
        <f t="shared" si="125"/>
        <v>0</v>
      </c>
      <c r="AA1994" s="1">
        <f t="shared" si="126"/>
        <v>0</v>
      </c>
      <c r="AB1994" s="1">
        <f t="shared" si="127"/>
        <v>0</v>
      </c>
    </row>
    <row r="1995" spans="25:28" ht="15" customHeight="1" x14ac:dyDescent="0.2">
      <c r="Y1995" s="1">
        <f t="shared" si="124"/>
        <v>0</v>
      </c>
      <c r="Z1995" s="1">
        <f t="shared" si="125"/>
        <v>0</v>
      </c>
      <c r="AA1995" s="1">
        <f t="shared" si="126"/>
        <v>0</v>
      </c>
      <c r="AB1995" s="1">
        <f t="shared" si="127"/>
        <v>0</v>
      </c>
    </row>
    <row r="1996" spans="25:28" ht="15" customHeight="1" x14ac:dyDescent="0.2">
      <c r="Y1996" s="1">
        <f t="shared" si="124"/>
        <v>0</v>
      </c>
      <c r="Z1996" s="1">
        <f t="shared" si="125"/>
        <v>0</v>
      </c>
      <c r="AA1996" s="1">
        <f t="shared" si="126"/>
        <v>0</v>
      </c>
      <c r="AB1996" s="1">
        <f t="shared" si="127"/>
        <v>0</v>
      </c>
    </row>
    <row r="1997" spans="25:28" ht="15" customHeight="1" x14ac:dyDescent="0.2">
      <c r="Y1997" s="1">
        <f t="shared" si="124"/>
        <v>0</v>
      </c>
      <c r="Z1997" s="1">
        <f t="shared" si="125"/>
        <v>0</v>
      </c>
      <c r="AA1997" s="1">
        <f t="shared" si="126"/>
        <v>0</v>
      </c>
      <c r="AB1997" s="1">
        <f t="shared" si="127"/>
        <v>0</v>
      </c>
    </row>
    <row r="1998" spans="25:28" ht="15" customHeight="1" x14ac:dyDescent="0.2">
      <c r="Y1998" s="1">
        <f t="shared" si="124"/>
        <v>0</v>
      </c>
      <c r="Z1998" s="1">
        <f t="shared" si="125"/>
        <v>0</v>
      </c>
      <c r="AA1998" s="1">
        <f t="shared" si="126"/>
        <v>0</v>
      </c>
      <c r="AB1998" s="1">
        <f t="shared" si="127"/>
        <v>0</v>
      </c>
    </row>
    <row r="1999" spans="25:28" ht="15" customHeight="1" x14ac:dyDescent="0.2">
      <c r="Y1999" s="1">
        <f t="shared" si="124"/>
        <v>0</v>
      </c>
      <c r="Z1999" s="1">
        <f t="shared" si="125"/>
        <v>0</v>
      </c>
      <c r="AA1999" s="1">
        <f t="shared" si="126"/>
        <v>0</v>
      </c>
      <c r="AB1999" s="1">
        <f t="shared" si="127"/>
        <v>0</v>
      </c>
    </row>
  </sheetData>
  <mergeCells count="4">
    <mergeCell ref="A1:X1"/>
    <mergeCell ref="A2:X2"/>
    <mergeCell ref="A3:Y3"/>
    <mergeCell ref="A5:X5"/>
  </mergeCells>
  <conditionalFormatting sqref="F5:F1004">
    <cfRule type="containsText" dxfId="13" priority="2" operator="containsText" text="Not Cut to Consent">
      <formula>NOT(ISERROR(SEARCH("Not Cut to Consent",F5)))</formula>
    </cfRule>
    <cfRule type="containsText" dxfId="12" priority="3" operator="containsText" text="Cut Not Compliant with BS3998">
      <formula>NOT(ISERROR(SEARCH("Cut Not Compliant with BS3998",F5)))</formula>
    </cfRule>
    <cfRule type="containsText" dxfId="11" priority="4" operator="containsText" text="Limited Cuts Recorded">
      <formula>NOT(ISERROR(SEARCH("Limited Cuts Recorded",F5)))</formula>
    </cfRule>
    <cfRule type="containsText" dxfId="10" priority="5" operator="containsText" text="Climbing Vegetation">
      <formula>NOT(ISERROR(SEARCH("Climbing Vegetation",F5)))</formula>
    </cfRule>
    <cfRule type="containsText" dxfId="9" priority="6" operator="containsText" text="Compliant">
      <formula>NOT(ISERROR(SEARCH("Compliant",F5)))</formula>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27"/>
  <sheetViews>
    <sheetView topLeftCell="K1" workbookViewId="0"/>
  </sheetViews>
  <sheetFormatPr baseColWidth="10" defaultColWidth="8.83203125" defaultRowHeight="13" x14ac:dyDescent="0.15"/>
  <cols>
    <col min="1" max="10" width="8" hidden="1" customWidth="1"/>
    <col min="11" max="11" width="20" customWidth="1"/>
    <col min="12" max="13" width="8" hidden="1" customWidth="1"/>
    <col min="14" max="14" width="20" customWidth="1"/>
    <col min="15" max="20" width="8" hidden="1" customWidth="1"/>
    <col min="21" max="21" width="20" customWidth="1"/>
    <col min="22" max="22" width="8" hidden="1" customWidth="1"/>
    <col min="23" max="23" width="20" customWidth="1"/>
    <col min="24" max="30" width="8" hidden="1" customWidth="1"/>
    <col min="31" max="34" width="18" hidden="1" customWidth="1"/>
  </cols>
  <sheetData>
    <row r="1" spans="1:34" x14ac:dyDescent="0.15">
      <c r="A1" s="156" t="s">
        <v>936</v>
      </c>
      <c r="B1" s="146"/>
      <c r="C1" s="146"/>
      <c r="D1" s="146"/>
      <c r="E1" s="146"/>
      <c r="F1" s="146"/>
      <c r="G1" s="146"/>
    </row>
    <row r="2" spans="1:34" x14ac:dyDescent="0.15">
      <c r="A2" s="155" t="s">
        <v>937</v>
      </c>
      <c r="B2" s="146"/>
      <c r="C2" s="146"/>
      <c r="D2" s="146"/>
      <c r="E2" s="146"/>
      <c r="F2" s="146"/>
      <c r="G2" s="146"/>
    </row>
    <row r="4" spans="1:34" x14ac:dyDescent="0.15">
      <c r="A4" s="157" t="s">
        <v>938</v>
      </c>
      <c r="B4" s="146"/>
      <c r="C4" s="146"/>
      <c r="D4" s="146"/>
      <c r="E4" s="146"/>
      <c r="F4" s="146"/>
      <c r="G4" s="146"/>
    </row>
    <row r="5" spans="1:34" ht="48" x14ac:dyDescent="0.15">
      <c r="A5" s="112" t="s">
        <v>939</v>
      </c>
      <c r="B5" s="112" t="s">
        <v>853</v>
      </c>
      <c r="C5" s="112" t="s">
        <v>940</v>
      </c>
      <c r="D5" s="112" t="s">
        <v>723</v>
      </c>
      <c r="E5" s="112" t="s">
        <v>758</v>
      </c>
      <c r="F5" s="112" t="s">
        <v>759</v>
      </c>
      <c r="G5" s="112" t="s">
        <v>740</v>
      </c>
      <c r="H5" s="112" t="s">
        <v>738</v>
      </c>
      <c r="I5" s="112" t="s">
        <v>855</v>
      </c>
      <c r="J5" s="112" t="s">
        <v>856</v>
      </c>
      <c r="K5" s="113" t="s">
        <v>857</v>
      </c>
      <c r="L5" s="112" t="s">
        <v>858</v>
      </c>
      <c r="M5" s="112" t="s">
        <v>859</v>
      </c>
      <c r="N5" s="113" t="s">
        <v>860</v>
      </c>
      <c r="O5" s="112" t="s">
        <v>941</v>
      </c>
      <c r="P5" s="112" t="s">
        <v>942</v>
      </c>
      <c r="Q5" s="112" t="s">
        <v>943</v>
      </c>
      <c r="R5" s="112" t="s">
        <v>944</v>
      </c>
      <c r="S5" s="112" t="s">
        <v>945</v>
      </c>
      <c r="T5" s="112" t="s">
        <v>14</v>
      </c>
      <c r="U5" s="113" t="s">
        <v>862</v>
      </c>
      <c r="V5" s="112" t="s">
        <v>946</v>
      </c>
      <c r="W5" s="113" t="s">
        <v>947</v>
      </c>
      <c r="X5" s="112" t="s">
        <v>948</v>
      </c>
      <c r="Y5" s="112" t="s">
        <v>949</v>
      </c>
      <c r="Z5" s="112" t="s">
        <v>950</v>
      </c>
      <c r="AA5" s="112" t="s">
        <v>951</v>
      </c>
      <c r="AB5" s="112" t="s">
        <v>869</v>
      </c>
      <c r="AC5" s="112" t="s">
        <v>715</v>
      </c>
      <c r="AD5" s="112" t="s">
        <v>865</v>
      </c>
      <c r="AE5" s="114" t="s">
        <v>952</v>
      </c>
      <c r="AF5" s="114" t="s">
        <v>953</v>
      </c>
      <c r="AG5" s="117" t="s">
        <v>954</v>
      </c>
      <c r="AH5" s="117" t="s">
        <v>955</v>
      </c>
    </row>
    <row r="6" spans="1:34" x14ac:dyDescent="0.15">
      <c r="A6" t="s">
        <v>253</v>
      </c>
      <c r="B6" t="s">
        <v>956</v>
      </c>
      <c r="C6" t="s">
        <v>766</v>
      </c>
      <c r="D6" t="s">
        <v>957</v>
      </c>
      <c r="E6" t="s">
        <v>957</v>
      </c>
      <c r="F6" t="s">
        <v>785</v>
      </c>
      <c r="H6" t="s">
        <v>958</v>
      </c>
      <c r="I6" t="s">
        <v>959</v>
      </c>
      <c r="J6" t="s">
        <v>960</v>
      </c>
      <c r="K6" t="s">
        <v>961</v>
      </c>
      <c r="L6" t="s">
        <v>962</v>
      </c>
      <c r="M6" t="s">
        <v>963</v>
      </c>
      <c r="N6" t="s">
        <v>964</v>
      </c>
      <c r="O6" t="s">
        <v>965</v>
      </c>
      <c r="P6" t="s">
        <v>966</v>
      </c>
      <c r="Q6" t="s">
        <v>231</v>
      </c>
      <c r="R6" t="s">
        <v>231</v>
      </c>
      <c r="S6" t="s">
        <v>967</v>
      </c>
      <c r="T6" t="s">
        <v>968</v>
      </c>
      <c r="U6" t="s">
        <v>969</v>
      </c>
      <c r="X6" t="s">
        <v>970</v>
      </c>
      <c r="Y6" t="s">
        <v>268</v>
      </c>
      <c r="AB6" t="s">
        <v>883</v>
      </c>
      <c r="AC6" t="s">
        <v>971</v>
      </c>
      <c r="AD6" t="s">
        <v>972</v>
      </c>
      <c r="AE6" t="str">
        <f t="shared" ref="AE6:AE37" si="0">IF(K6="","",TRIM(MID(K6,IF(ISNUMBER(VALUE(LEFT(K6,4))),6,1),200)))</f>
        <v>L F Tree Care Ltd</v>
      </c>
      <c r="AF6">
        <f t="shared" ref="AF6:AF37" si="1">IF(N6="","",IFERROR(DATEVALUE(LEFT(N6,10)),N6))</f>
        <v>46051</v>
      </c>
      <c r="AG6">
        <f t="shared" ref="AG6:AG37" si="2">IF(W6="",0,LEN(TRIM(W6))-LEN(SUBSTITUTE(TRIM(W6),",",""))+1)</f>
        <v>0</v>
      </c>
      <c r="AH6">
        <f t="shared" ref="AH6:AH37" si="3">IF(OR(N6="",K6=""),"",IF(U6="High Standards",4,IF(U6="Compliant",3,IF(U6="Minor Nonconformity",IF(AG6&gt;=2,1,2),""))))</f>
        <v>4</v>
      </c>
    </row>
    <row r="7" spans="1:34" x14ac:dyDescent="0.15">
      <c r="A7" t="s">
        <v>253</v>
      </c>
      <c r="B7" t="s">
        <v>973</v>
      </c>
      <c r="C7" t="s">
        <v>766</v>
      </c>
      <c r="D7" t="s">
        <v>902</v>
      </c>
      <c r="E7" t="s">
        <v>902</v>
      </c>
      <c r="F7" t="s">
        <v>785</v>
      </c>
      <c r="H7" t="s">
        <v>903</v>
      </c>
      <c r="I7" t="s">
        <v>974</v>
      </c>
      <c r="J7" t="s">
        <v>975</v>
      </c>
      <c r="K7" t="s">
        <v>976</v>
      </c>
      <c r="L7" t="s">
        <v>977</v>
      </c>
      <c r="M7" t="s">
        <v>978</v>
      </c>
      <c r="N7" t="s">
        <v>979</v>
      </c>
      <c r="O7" t="s">
        <v>980</v>
      </c>
      <c r="P7" t="s">
        <v>981</v>
      </c>
      <c r="Q7" t="s">
        <v>231</v>
      </c>
      <c r="R7" t="s">
        <v>231</v>
      </c>
      <c r="S7" t="s">
        <v>967</v>
      </c>
      <c r="T7" t="s">
        <v>968</v>
      </c>
      <c r="U7" t="s">
        <v>982</v>
      </c>
      <c r="X7" t="s">
        <v>983</v>
      </c>
      <c r="Y7" t="s">
        <v>268</v>
      </c>
      <c r="AB7" t="s">
        <v>883</v>
      </c>
      <c r="AC7" t="s">
        <v>984</v>
      </c>
      <c r="AD7" t="s">
        <v>985</v>
      </c>
      <c r="AE7" t="str">
        <f t="shared" si="0"/>
        <v>J Ashby Tree Services</v>
      </c>
      <c r="AF7">
        <f t="shared" si="1"/>
        <v>46052</v>
      </c>
      <c r="AG7">
        <f t="shared" si="2"/>
        <v>0</v>
      </c>
      <c r="AH7">
        <f t="shared" si="3"/>
        <v>3</v>
      </c>
    </row>
    <row r="8" spans="1:34" x14ac:dyDescent="0.15">
      <c r="A8" t="s">
        <v>253</v>
      </c>
      <c r="B8" t="s">
        <v>986</v>
      </c>
      <c r="C8" t="s">
        <v>766</v>
      </c>
      <c r="D8" t="s">
        <v>902</v>
      </c>
      <c r="E8" t="s">
        <v>902</v>
      </c>
      <c r="F8" t="s">
        <v>785</v>
      </c>
      <c r="H8" t="s">
        <v>903</v>
      </c>
      <c r="I8" t="s">
        <v>987</v>
      </c>
      <c r="K8" t="s">
        <v>976</v>
      </c>
      <c r="L8" t="s">
        <v>977</v>
      </c>
      <c r="M8" t="s">
        <v>988</v>
      </c>
      <c r="N8" t="s">
        <v>989</v>
      </c>
      <c r="O8" t="s">
        <v>990</v>
      </c>
      <c r="P8" t="s">
        <v>991</v>
      </c>
      <c r="Q8" t="s">
        <v>231</v>
      </c>
      <c r="R8" t="s">
        <v>231</v>
      </c>
      <c r="S8" t="s">
        <v>967</v>
      </c>
      <c r="T8" t="s">
        <v>992</v>
      </c>
      <c r="U8" t="s">
        <v>969</v>
      </c>
      <c r="W8" t="s">
        <v>993</v>
      </c>
      <c r="X8" t="s">
        <v>994</v>
      </c>
      <c r="Y8" t="s">
        <v>268</v>
      </c>
      <c r="AB8" t="s">
        <v>995</v>
      </c>
      <c r="AC8" t="s">
        <v>996</v>
      </c>
      <c r="AD8" t="s">
        <v>997</v>
      </c>
      <c r="AE8" t="str">
        <f t="shared" si="0"/>
        <v>J Ashby Tree Services</v>
      </c>
      <c r="AF8">
        <f t="shared" si="1"/>
        <v>46056</v>
      </c>
      <c r="AG8">
        <f t="shared" si="2"/>
        <v>1</v>
      </c>
      <c r="AH8">
        <f t="shared" si="3"/>
        <v>4</v>
      </c>
    </row>
    <row r="9" spans="1:34" x14ac:dyDescent="0.15">
      <c r="A9" t="s">
        <v>253</v>
      </c>
      <c r="B9" t="s">
        <v>998</v>
      </c>
      <c r="C9" t="s">
        <v>766</v>
      </c>
      <c r="D9" t="s">
        <v>902</v>
      </c>
      <c r="E9" t="s">
        <v>902</v>
      </c>
      <c r="F9" t="s">
        <v>785</v>
      </c>
      <c r="H9" t="s">
        <v>903</v>
      </c>
      <c r="I9" t="s">
        <v>999</v>
      </c>
      <c r="K9" t="s">
        <v>1000</v>
      </c>
      <c r="L9" t="s">
        <v>1001</v>
      </c>
      <c r="M9" t="s">
        <v>1002</v>
      </c>
      <c r="N9" t="s">
        <v>1003</v>
      </c>
      <c r="O9" t="s">
        <v>1004</v>
      </c>
      <c r="P9" t="s">
        <v>1005</v>
      </c>
      <c r="Q9" t="s">
        <v>231</v>
      </c>
      <c r="R9" t="s">
        <v>231</v>
      </c>
      <c r="S9" t="s">
        <v>967</v>
      </c>
      <c r="T9" t="s">
        <v>1006</v>
      </c>
      <c r="U9" t="s">
        <v>982</v>
      </c>
      <c r="W9" t="s">
        <v>1007</v>
      </c>
      <c r="X9" t="s">
        <v>1008</v>
      </c>
      <c r="Y9" t="s">
        <v>268</v>
      </c>
      <c r="AB9" t="s">
        <v>1009</v>
      </c>
      <c r="AC9" t="s">
        <v>1010</v>
      </c>
      <c r="AD9" t="s">
        <v>1011</v>
      </c>
      <c r="AE9" t="str">
        <f t="shared" si="0"/>
        <v>Brinksworth Tree Services Ltd</v>
      </c>
      <c r="AF9">
        <f t="shared" si="1"/>
        <v>46056</v>
      </c>
      <c r="AG9">
        <f t="shared" si="2"/>
        <v>2</v>
      </c>
      <c r="AH9">
        <f t="shared" si="3"/>
        <v>3</v>
      </c>
    </row>
    <row r="10" spans="1:34" x14ac:dyDescent="0.15">
      <c r="A10" t="s">
        <v>253</v>
      </c>
      <c r="B10" t="s">
        <v>956</v>
      </c>
      <c r="C10" t="s">
        <v>766</v>
      </c>
      <c r="D10" t="s">
        <v>957</v>
      </c>
      <c r="E10" t="s">
        <v>957</v>
      </c>
      <c r="F10" t="s">
        <v>785</v>
      </c>
      <c r="H10" t="s">
        <v>958</v>
      </c>
      <c r="I10" t="s">
        <v>1012</v>
      </c>
      <c r="J10" t="s">
        <v>1013</v>
      </c>
      <c r="K10" t="s">
        <v>1014</v>
      </c>
      <c r="L10" t="s">
        <v>1015</v>
      </c>
      <c r="M10" t="s">
        <v>1016</v>
      </c>
      <c r="N10" t="s">
        <v>1017</v>
      </c>
      <c r="O10" t="s">
        <v>1018</v>
      </c>
      <c r="P10" t="s">
        <v>1019</v>
      </c>
      <c r="Q10" t="s">
        <v>231</v>
      </c>
      <c r="R10" t="s">
        <v>231</v>
      </c>
      <c r="S10" t="s">
        <v>967</v>
      </c>
      <c r="T10" t="s">
        <v>968</v>
      </c>
      <c r="U10" t="s">
        <v>969</v>
      </c>
      <c r="X10" t="s">
        <v>1020</v>
      </c>
      <c r="Y10" t="s">
        <v>268</v>
      </c>
      <c r="AB10" t="s">
        <v>883</v>
      </c>
      <c r="AC10" t="s">
        <v>1021</v>
      </c>
      <c r="AD10" t="s">
        <v>1022</v>
      </c>
      <c r="AE10" t="str">
        <f t="shared" si="0"/>
        <v>Treerebral Ltd</v>
      </c>
      <c r="AF10">
        <f t="shared" si="1"/>
        <v>46057</v>
      </c>
      <c r="AG10">
        <f t="shared" si="2"/>
        <v>0</v>
      </c>
      <c r="AH10">
        <f t="shared" si="3"/>
        <v>4</v>
      </c>
    </row>
    <row r="11" spans="1:34" x14ac:dyDescent="0.15">
      <c r="A11" t="s">
        <v>253</v>
      </c>
      <c r="B11" t="s">
        <v>876</v>
      </c>
      <c r="C11" t="s">
        <v>766</v>
      </c>
      <c r="D11" t="s">
        <v>767</v>
      </c>
      <c r="E11" t="s">
        <v>767</v>
      </c>
      <c r="F11" t="s">
        <v>785</v>
      </c>
      <c r="H11" t="s">
        <v>808</v>
      </c>
      <c r="I11" t="s">
        <v>1023</v>
      </c>
      <c r="J11" t="s">
        <v>1024</v>
      </c>
      <c r="K11" t="s">
        <v>1025</v>
      </c>
      <c r="L11" t="s">
        <v>1026</v>
      </c>
      <c r="M11" t="s">
        <v>1027</v>
      </c>
      <c r="N11" t="s">
        <v>1028</v>
      </c>
      <c r="O11" t="s">
        <v>1029</v>
      </c>
      <c r="P11" t="s">
        <v>991</v>
      </c>
      <c r="Q11" t="s">
        <v>231</v>
      </c>
      <c r="R11" t="s">
        <v>231</v>
      </c>
      <c r="S11" t="s">
        <v>967</v>
      </c>
      <c r="T11" t="s">
        <v>1030</v>
      </c>
      <c r="U11" t="s">
        <v>982</v>
      </c>
      <c r="W11" t="s">
        <v>1031</v>
      </c>
      <c r="X11" t="s">
        <v>1032</v>
      </c>
      <c r="Y11" t="s">
        <v>268</v>
      </c>
      <c r="AB11" t="s">
        <v>883</v>
      </c>
      <c r="AC11" t="s">
        <v>1033</v>
      </c>
      <c r="AD11" t="s">
        <v>1034</v>
      </c>
      <c r="AE11" t="str">
        <f t="shared" si="0"/>
        <v>MAC Tree Surgery and Fencing Ltd</v>
      </c>
      <c r="AF11">
        <f t="shared" si="1"/>
        <v>46063</v>
      </c>
      <c r="AG11">
        <f t="shared" si="2"/>
        <v>3</v>
      </c>
      <c r="AH11">
        <f t="shared" si="3"/>
        <v>3</v>
      </c>
    </row>
    <row r="12" spans="1:34" x14ac:dyDescent="0.15">
      <c r="A12" t="s">
        <v>253</v>
      </c>
      <c r="B12" t="s">
        <v>1035</v>
      </c>
      <c r="C12" t="s">
        <v>766</v>
      </c>
      <c r="D12" t="s">
        <v>767</v>
      </c>
      <c r="E12" t="s">
        <v>767</v>
      </c>
      <c r="F12" t="s">
        <v>785</v>
      </c>
      <c r="H12" t="s">
        <v>808</v>
      </c>
      <c r="I12" t="s">
        <v>1036</v>
      </c>
      <c r="J12" t="s">
        <v>781</v>
      </c>
      <c r="K12" t="s">
        <v>1037</v>
      </c>
      <c r="L12" t="s">
        <v>1038</v>
      </c>
      <c r="M12" t="s">
        <v>1039</v>
      </c>
      <c r="N12" t="s">
        <v>1040</v>
      </c>
      <c r="O12" t="s">
        <v>1041</v>
      </c>
      <c r="P12" t="s">
        <v>1042</v>
      </c>
      <c r="Q12" t="s">
        <v>231</v>
      </c>
      <c r="R12" t="s">
        <v>231</v>
      </c>
      <c r="S12" t="s">
        <v>967</v>
      </c>
      <c r="T12" t="s">
        <v>1043</v>
      </c>
      <c r="U12" t="s">
        <v>982</v>
      </c>
      <c r="W12" t="s">
        <v>1044</v>
      </c>
      <c r="X12" t="s">
        <v>1045</v>
      </c>
      <c r="Y12" t="s">
        <v>279</v>
      </c>
      <c r="Z12" t="s">
        <v>1046</v>
      </c>
      <c r="AA12" t="s">
        <v>1047</v>
      </c>
      <c r="AB12" t="s">
        <v>883</v>
      </c>
      <c r="AC12" t="s">
        <v>1048</v>
      </c>
      <c r="AD12" t="s">
        <v>1049</v>
      </c>
      <c r="AE12" t="str">
        <f t="shared" si="0"/>
        <v>D &amp; R Landscapes</v>
      </c>
      <c r="AF12">
        <f t="shared" si="1"/>
        <v>46063</v>
      </c>
      <c r="AG12">
        <f t="shared" si="2"/>
        <v>5</v>
      </c>
      <c r="AH12">
        <f t="shared" si="3"/>
        <v>3</v>
      </c>
    </row>
    <row r="13" spans="1:34" x14ac:dyDescent="0.15">
      <c r="A13" t="s">
        <v>253</v>
      </c>
      <c r="B13" t="s">
        <v>1050</v>
      </c>
      <c r="C13" t="s">
        <v>766</v>
      </c>
      <c r="D13" t="s">
        <v>767</v>
      </c>
      <c r="E13" t="s">
        <v>767</v>
      </c>
      <c r="F13" t="s">
        <v>785</v>
      </c>
      <c r="H13" t="s">
        <v>808</v>
      </c>
      <c r="I13" t="s">
        <v>1051</v>
      </c>
      <c r="J13" t="s">
        <v>1051</v>
      </c>
      <c r="K13" t="s">
        <v>1052</v>
      </c>
      <c r="L13" t="s">
        <v>1053</v>
      </c>
      <c r="M13" t="s">
        <v>1054</v>
      </c>
      <c r="N13" t="s">
        <v>1055</v>
      </c>
      <c r="O13" t="s">
        <v>1056</v>
      </c>
      <c r="P13" t="s">
        <v>1057</v>
      </c>
      <c r="Q13" t="s">
        <v>231</v>
      </c>
      <c r="R13" t="s">
        <v>231</v>
      </c>
      <c r="S13" t="s">
        <v>967</v>
      </c>
      <c r="T13" t="s">
        <v>1058</v>
      </c>
      <c r="U13" t="s">
        <v>982</v>
      </c>
      <c r="W13" t="s">
        <v>1059</v>
      </c>
      <c r="X13" t="s">
        <v>1060</v>
      </c>
      <c r="Y13" t="s">
        <v>268</v>
      </c>
      <c r="AB13" t="s">
        <v>883</v>
      </c>
      <c r="AC13" t="s">
        <v>1061</v>
      </c>
      <c r="AD13" t="s">
        <v>1062</v>
      </c>
      <c r="AE13" t="str">
        <f t="shared" si="0"/>
        <v>Ashdown Tree Limited</v>
      </c>
      <c r="AF13">
        <f t="shared" si="1"/>
        <v>46065</v>
      </c>
      <c r="AG13">
        <f t="shared" si="2"/>
        <v>3</v>
      </c>
      <c r="AH13">
        <f t="shared" si="3"/>
        <v>3</v>
      </c>
    </row>
    <row r="14" spans="1:34" x14ac:dyDescent="0.15">
      <c r="A14" t="s">
        <v>253</v>
      </c>
      <c r="B14" t="s">
        <v>1063</v>
      </c>
      <c r="C14" t="s">
        <v>766</v>
      </c>
      <c r="D14" t="s">
        <v>767</v>
      </c>
      <c r="E14" t="s">
        <v>767</v>
      </c>
      <c r="F14" t="s">
        <v>785</v>
      </c>
      <c r="H14" t="s">
        <v>808</v>
      </c>
      <c r="I14" t="s">
        <v>1064</v>
      </c>
      <c r="J14" t="s">
        <v>1064</v>
      </c>
      <c r="K14" t="s">
        <v>1065</v>
      </c>
      <c r="L14" t="s">
        <v>1066</v>
      </c>
      <c r="M14" t="s">
        <v>1067</v>
      </c>
      <c r="N14" t="s">
        <v>1068</v>
      </c>
      <c r="O14" t="s">
        <v>1069</v>
      </c>
      <c r="P14" t="s">
        <v>1070</v>
      </c>
      <c r="Q14" t="s">
        <v>231</v>
      </c>
      <c r="R14" t="s">
        <v>231</v>
      </c>
      <c r="S14" t="s">
        <v>967</v>
      </c>
      <c r="T14" t="s">
        <v>1071</v>
      </c>
      <c r="U14" t="s">
        <v>982</v>
      </c>
      <c r="W14" t="s">
        <v>1072</v>
      </c>
      <c r="X14" t="s">
        <v>1073</v>
      </c>
      <c r="Y14" t="s">
        <v>268</v>
      </c>
      <c r="AB14" t="s">
        <v>1074</v>
      </c>
      <c r="AC14" t="s">
        <v>1075</v>
      </c>
      <c r="AD14" t="s">
        <v>1076</v>
      </c>
      <c r="AE14" t="str">
        <f t="shared" si="0"/>
        <v>S6 Tree specialists Ltd6617 Ashdown Tree Limited</v>
      </c>
      <c r="AF14">
        <f t="shared" si="1"/>
        <v>46065</v>
      </c>
      <c r="AG14">
        <f t="shared" si="2"/>
        <v>1</v>
      </c>
      <c r="AH14">
        <f t="shared" si="3"/>
        <v>3</v>
      </c>
    </row>
    <row r="15" spans="1:34" x14ac:dyDescent="0.15">
      <c r="A15" t="s">
        <v>253</v>
      </c>
      <c r="B15" t="s">
        <v>998</v>
      </c>
      <c r="C15" t="s">
        <v>766</v>
      </c>
      <c r="D15" t="s">
        <v>902</v>
      </c>
      <c r="E15" t="s">
        <v>902</v>
      </c>
      <c r="F15" t="s">
        <v>785</v>
      </c>
      <c r="H15" t="s">
        <v>903</v>
      </c>
      <c r="I15" t="s">
        <v>1077</v>
      </c>
      <c r="J15" t="s">
        <v>1078</v>
      </c>
      <c r="K15" t="s">
        <v>1079</v>
      </c>
      <c r="L15" t="s">
        <v>1080</v>
      </c>
      <c r="M15" t="s">
        <v>1081</v>
      </c>
      <c r="N15" t="s">
        <v>1082</v>
      </c>
      <c r="O15" t="s">
        <v>1083</v>
      </c>
      <c r="P15" t="s">
        <v>1084</v>
      </c>
      <c r="Q15" t="s">
        <v>231</v>
      </c>
      <c r="R15" t="s">
        <v>231</v>
      </c>
      <c r="S15" t="s">
        <v>967</v>
      </c>
      <c r="T15" t="s">
        <v>968</v>
      </c>
      <c r="U15" t="s">
        <v>982</v>
      </c>
      <c r="X15" t="s">
        <v>1085</v>
      </c>
      <c r="Y15" t="s">
        <v>268</v>
      </c>
      <c r="AB15" t="s">
        <v>883</v>
      </c>
      <c r="AC15" t="s">
        <v>1086</v>
      </c>
      <c r="AD15" t="s">
        <v>1087</v>
      </c>
      <c r="AE15" t="str">
        <f t="shared" si="0"/>
        <v>DE UA SWales4</v>
      </c>
      <c r="AF15">
        <f t="shared" si="1"/>
        <v>46069</v>
      </c>
      <c r="AG15">
        <f t="shared" si="2"/>
        <v>0</v>
      </c>
      <c r="AH15">
        <f t="shared" si="3"/>
        <v>3</v>
      </c>
    </row>
    <row r="16" spans="1:34" x14ac:dyDescent="0.15">
      <c r="A16" t="s">
        <v>253</v>
      </c>
      <c r="B16" t="s">
        <v>1088</v>
      </c>
      <c r="C16" t="s">
        <v>766</v>
      </c>
      <c r="D16" t="s">
        <v>902</v>
      </c>
      <c r="E16" t="s">
        <v>902</v>
      </c>
      <c r="F16" t="s">
        <v>785</v>
      </c>
      <c r="H16" t="s">
        <v>903</v>
      </c>
      <c r="I16" t="s">
        <v>1089</v>
      </c>
      <c r="J16" t="s">
        <v>1090</v>
      </c>
      <c r="K16" t="s">
        <v>1091</v>
      </c>
      <c r="L16" t="s">
        <v>1092</v>
      </c>
      <c r="M16" t="s">
        <v>1093</v>
      </c>
      <c r="N16" t="s">
        <v>1094</v>
      </c>
      <c r="O16" t="s">
        <v>1095</v>
      </c>
      <c r="P16" t="s">
        <v>1096</v>
      </c>
      <c r="Q16" t="s">
        <v>231</v>
      </c>
      <c r="R16" t="s">
        <v>231</v>
      </c>
      <c r="S16" t="s">
        <v>967</v>
      </c>
      <c r="T16" t="s">
        <v>1097</v>
      </c>
      <c r="U16" t="s">
        <v>969</v>
      </c>
      <c r="V16" t="s">
        <v>231</v>
      </c>
      <c r="X16" t="s">
        <v>1098</v>
      </c>
      <c r="Y16" t="s">
        <v>268</v>
      </c>
      <c r="AB16" t="s">
        <v>883</v>
      </c>
      <c r="AC16" t="s">
        <v>1099</v>
      </c>
      <c r="AD16" t="s">
        <v>1100</v>
      </c>
      <c r="AE16" t="str">
        <f t="shared" si="0"/>
        <v>Lincolnshire Hardwoods Ltd</v>
      </c>
      <c r="AF16">
        <f t="shared" si="1"/>
        <v>46072</v>
      </c>
      <c r="AG16">
        <f t="shared" si="2"/>
        <v>0</v>
      </c>
      <c r="AH16">
        <f t="shared" si="3"/>
        <v>4</v>
      </c>
    </row>
    <row r="17" spans="1:34" x14ac:dyDescent="0.15">
      <c r="A17" t="s">
        <v>253</v>
      </c>
      <c r="B17" t="s">
        <v>1101</v>
      </c>
      <c r="C17" t="s">
        <v>766</v>
      </c>
      <c r="D17" t="s">
        <v>902</v>
      </c>
      <c r="E17" t="s">
        <v>902</v>
      </c>
      <c r="F17" t="s">
        <v>785</v>
      </c>
      <c r="H17" t="s">
        <v>903</v>
      </c>
      <c r="I17" t="s">
        <v>1102</v>
      </c>
      <c r="J17" t="s">
        <v>1103</v>
      </c>
      <c r="K17" t="s">
        <v>1104</v>
      </c>
      <c r="L17" t="s">
        <v>1105</v>
      </c>
      <c r="M17" t="s">
        <v>1106</v>
      </c>
      <c r="N17" t="s">
        <v>1107</v>
      </c>
      <c r="O17" t="s">
        <v>1108</v>
      </c>
      <c r="P17" t="s">
        <v>1109</v>
      </c>
      <c r="Q17" t="s">
        <v>1110</v>
      </c>
      <c r="R17" t="s">
        <v>1111</v>
      </c>
      <c r="S17" t="s">
        <v>967</v>
      </c>
      <c r="T17" t="s">
        <v>1058</v>
      </c>
      <c r="U17" t="s">
        <v>982</v>
      </c>
      <c r="V17" t="s">
        <v>1112</v>
      </c>
      <c r="W17" t="s">
        <v>1113</v>
      </c>
      <c r="X17" t="s">
        <v>1114</v>
      </c>
      <c r="Y17" t="s">
        <v>268</v>
      </c>
      <c r="AB17" t="s">
        <v>1115</v>
      </c>
      <c r="AC17" t="s">
        <v>1116</v>
      </c>
      <c r="AD17" t="s">
        <v>1117</v>
      </c>
      <c r="AE17" t="str">
        <f t="shared" si="0"/>
        <v>Belvoir Tree Care</v>
      </c>
      <c r="AF17">
        <f t="shared" si="1"/>
        <v>46073</v>
      </c>
      <c r="AG17">
        <f t="shared" si="2"/>
        <v>1</v>
      </c>
      <c r="AH17">
        <f t="shared" si="3"/>
        <v>3</v>
      </c>
    </row>
    <row r="18" spans="1:34" x14ac:dyDescent="0.15">
      <c r="A18" t="s">
        <v>253</v>
      </c>
      <c r="B18" t="s">
        <v>823</v>
      </c>
      <c r="C18" t="s">
        <v>766</v>
      </c>
      <c r="D18" t="s">
        <v>767</v>
      </c>
      <c r="E18" t="s">
        <v>767</v>
      </c>
      <c r="F18" t="s">
        <v>785</v>
      </c>
      <c r="H18" t="s">
        <v>808</v>
      </c>
      <c r="I18" t="s">
        <v>1118</v>
      </c>
      <c r="K18" t="s">
        <v>788</v>
      </c>
      <c r="L18" t="s">
        <v>1119</v>
      </c>
      <c r="M18" t="s">
        <v>1120</v>
      </c>
      <c r="N18" t="s">
        <v>1121</v>
      </c>
      <c r="O18" t="s">
        <v>1122</v>
      </c>
      <c r="P18" t="s">
        <v>1111</v>
      </c>
      <c r="Q18" t="s">
        <v>1123</v>
      </c>
      <c r="R18" t="s">
        <v>1123</v>
      </c>
      <c r="S18" t="s">
        <v>1124</v>
      </c>
      <c r="T18" t="s">
        <v>968</v>
      </c>
      <c r="U18" t="s">
        <v>969</v>
      </c>
      <c r="V18" t="s">
        <v>1125</v>
      </c>
      <c r="X18" t="s">
        <v>1126</v>
      </c>
      <c r="Y18" t="s">
        <v>268</v>
      </c>
      <c r="AB18" t="s">
        <v>883</v>
      </c>
      <c r="AC18" t="s">
        <v>1127</v>
      </c>
      <c r="AD18" t="s">
        <v>1128</v>
      </c>
      <c r="AE18" t="str">
        <f t="shared" si="0"/>
        <v>Austin Tree Care LTD</v>
      </c>
      <c r="AF18">
        <f t="shared" si="1"/>
        <v>46073</v>
      </c>
      <c r="AG18">
        <f t="shared" si="2"/>
        <v>0</v>
      </c>
      <c r="AH18">
        <f t="shared" si="3"/>
        <v>4</v>
      </c>
    </row>
    <row r="19" spans="1:34" x14ac:dyDescent="0.15">
      <c r="A19" t="s">
        <v>253</v>
      </c>
      <c r="B19" t="s">
        <v>1129</v>
      </c>
      <c r="C19" t="s">
        <v>766</v>
      </c>
      <c r="D19" t="s">
        <v>902</v>
      </c>
      <c r="E19" t="s">
        <v>902</v>
      </c>
      <c r="F19" t="s">
        <v>785</v>
      </c>
      <c r="H19" t="s">
        <v>903</v>
      </c>
      <c r="I19" t="s">
        <v>1130</v>
      </c>
      <c r="J19" t="s">
        <v>1130</v>
      </c>
      <c r="K19" t="s">
        <v>1131</v>
      </c>
      <c r="L19" t="s">
        <v>1132</v>
      </c>
      <c r="M19" t="s">
        <v>1133</v>
      </c>
      <c r="N19" t="s">
        <v>1134</v>
      </c>
      <c r="O19" t="s">
        <v>1135</v>
      </c>
      <c r="P19" t="s">
        <v>1136</v>
      </c>
      <c r="Q19" t="s">
        <v>1137</v>
      </c>
      <c r="R19" t="s">
        <v>1138</v>
      </c>
      <c r="S19" t="s">
        <v>1139</v>
      </c>
      <c r="T19" t="s">
        <v>1140</v>
      </c>
      <c r="U19" t="s">
        <v>982</v>
      </c>
      <c r="W19" t="s">
        <v>1141</v>
      </c>
      <c r="X19" t="s">
        <v>1142</v>
      </c>
      <c r="Y19" t="s">
        <v>268</v>
      </c>
      <c r="AB19" t="s">
        <v>1143</v>
      </c>
      <c r="AC19" t="s">
        <v>1144</v>
      </c>
      <c r="AD19" t="s">
        <v>1145</v>
      </c>
      <c r="AE19" t="str">
        <f t="shared" si="0"/>
        <v>PB Tree Contractors</v>
      </c>
      <c r="AF19">
        <f t="shared" si="1"/>
        <v>46072</v>
      </c>
      <c r="AG19">
        <f t="shared" si="2"/>
        <v>1</v>
      </c>
      <c r="AH19">
        <f t="shared" si="3"/>
        <v>3</v>
      </c>
    </row>
    <row r="20" spans="1:34" x14ac:dyDescent="0.15">
      <c r="A20" t="s">
        <v>1146</v>
      </c>
      <c r="B20" t="s">
        <v>1129</v>
      </c>
      <c r="C20" t="s">
        <v>766</v>
      </c>
      <c r="D20" t="s">
        <v>902</v>
      </c>
      <c r="E20" t="s">
        <v>902</v>
      </c>
      <c r="F20" t="s">
        <v>785</v>
      </c>
      <c r="H20" t="s">
        <v>903</v>
      </c>
      <c r="I20" t="s">
        <v>1130</v>
      </c>
      <c r="J20" t="s">
        <v>1147</v>
      </c>
      <c r="K20" t="s">
        <v>1131</v>
      </c>
      <c r="L20" t="s">
        <v>1148</v>
      </c>
      <c r="M20" t="s">
        <v>1149</v>
      </c>
      <c r="N20" t="s">
        <v>1133</v>
      </c>
      <c r="P20" t="s">
        <v>1150</v>
      </c>
      <c r="Q20" t="s">
        <v>1137</v>
      </c>
      <c r="R20" t="s">
        <v>1137</v>
      </c>
      <c r="S20" t="s">
        <v>1151</v>
      </c>
      <c r="T20" t="s">
        <v>968</v>
      </c>
      <c r="U20" t="s">
        <v>982</v>
      </c>
      <c r="X20" t="s">
        <v>1152</v>
      </c>
      <c r="Y20" t="s">
        <v>268</v>
      </c>
      <c r="AB20" t="s">
        <v>883</v>
      </c>
      <c r="AC20" t="s">
        <v>1153</v>
      </c>
      <c r="AD20" t="s">
        <v>1154</v>
      </c>
      <c r="AE20" t="str">
        <f t="shared" si="0"/>
        <v>PB Tree Contractors</v>
      </c>
      <c r="AF20">
        <f t="shared" si="1"/>
        <v>46072</v>
      </c>
      <c r="AG20">
        <f t="shared" si="2"/>
        <v>0</v>
      </c>
      <c r="AH20">
        <f t="shared" si="3"/>
        <v>3</v>
      </c>
    </row>
    <row r="21" spans="1:34" x14ac:dyDescent="0.15">
      <c r="A21" t="s">
        <v>253</v>
      </c>
      <c r="B21" t="s">
        <v>1050</v>
      </c>
      <c r="C21" t="s">
        <v>766</v>
      </c>
      <c r="D21" t="s">
        <v>767</v>
      </c>
      <c r="E21" t="s">
        <v>767</v>
      </c>
      <c r="F21" t="s">
        <v>785</v>
      </c>
      <c r="H21" t="s">
        <v>808</v>
      </c>
      <c r="I21" t="s">
        <v>1155</v>
      </c>
      <c r="K21" t="s">
        <v>1052</v>
      </c>
      <c r="L21" t="s">
        <v>1053</v>
      </c>
      <c r="M21" t="s">
        <v>1156</v>
      </c>
      <c r="N21" t="s">
        <v>1157</v>
      </c>
      <c r="O21" t="s">
        <v>1158</v>
      </c>
      <c r="P21" t="s">
        <v>1159</v>
      </c>
      <c r="Q21" t="s">
        <v>1150</v>
      </c>
      <c r="R21" t="s">
        <v>1150</v>
      </c>
      <c r="S21" t="s">
        <v>1160</v>
      </c>
      <c r="T21" t="s">
        <v>968</v>
      </c>
      <c r="U21" t="s">
        <v>982</v>
      </c>
      <c r="X21" t="s">
        <v>1161</v>
      </c>
      <c r="Y21" t="s">
        <v>268</v>
      </c>
      <c r="AB21" t="s">
        <v>883</v>
      </c>
      <c r="AC21" t="s">
        <v>1162</v>
      </c>
      <c r="AD21" t="s">
        <v>1163</v>
      </c>
      <c r="AE21" t="str">
        <f t="shared" si="0"/>
        <v>Ashdown Tree Limited</v>
      </c>
      <c r="AF21">
        <f t="shared" si="1"/>
        <v>46072</v>
      </c>
      <c r="AG21">
        <f t="shared" si="2"/>
        <v>0</v>
      </c>
      <c r="AH21">
        <f t="shared" si="3"/>
        <v>3</v>
      </c>
    </row>
    <row r="22" spans="1:34" x14ac:dyDescent="0.15">
      <c r="A22" t="s">
        <v>253</v>
      </c>
      <c r="B22" t="s">
        <v>998</v>
      </c>
      <c r="C22" t="s">
        <v>766</v>
      </c>
      <c r="D22" t="s">
        <v>902</v>
      </c>
      <c r="E22" t="s">
        <v>902</v>
      </c>
      <c r="F22" t="s">
        <v>785</v>
      </c>
      <c r="H22" t="s">
        <v>903</v>
      </c>
      <c r="I22" t="s">
        <v>1164</v>
      </c>
      <c r="J22" t="s">
        <v>1165</v>
      </c>
      <c r="K22" t="s">
        <v>1166</v>
      </c>
      <c r="L22" t="s">
        <v>1167</v>
      </c>
      <c r="M22" t="s">
        <v>1168</v>
      </c>
      <c r="N22" t="s">
        <v>1169</v>
      </c>
      <c r="O22" t="s">
        <v>1170</v>
      </c>
      <c r="P22" t="s">
        <v>1171</v>
      </c>
      <c r="Q22" t="s">
        <v>1172</v>
      </c>
      <c r="R22" t="s">
        <v>1172</v>
      </c>
      <c r="S22" t="s">
        <v>1173</v>
      </c>
      <c r="T22" t="s">
        <v>968</v>
      </c>
      <c r="U22" t="s">
        <v>982</v>
      </c>
      <c r="X22" t="s">
        <v>1174</v>
      </c>
      <c r="Y22" t="s">
        <v>268</v>
      </c>
      <c r="AB22" t="s">
        <v>883</v>
      </c>
      <c r="AC22" t="s">
        <v>1175</v>
      </c>
      <c r="AD22" t="s">
        <v>1176</v>
      </c>
      <c r="AE22" t="str">
        <f t="shared" si="0"/>
        <v>DE UA SWales2</v>
      </c>
      <c r="AF22">
        <f t="shared" si="1"/>
        <v>46072</v>
      </c>
      <c r="AG22">
        <f t="shared" si="2"/>
        <v>0</v>
      </c>
      <c r="AH22">
        <f t="shared" si="3"/>
        <v>3</v>
      </c>
    </row>
    <row r="23" spans="1:34" x14ac:dyDescent="0.15">
      <c r="A23" t="s">
        <v>253</v>
      </c>
      <c r="B23" t="s">
        <v>998</v>
      </c>
      <c r="C23" t="s">
        <v>766</v>
      </c>
      <c r="D23" t="s">
        <v>902</v>
      </c>
      <c r="E23" t="s">
        <v>902</v>
      </c>
      <c r="F23" t="s">
        <v>785</v>
      </c>
      <c r="H23" t="s">
        <v>903</v>
      </c>
      <c r="I23" t="s">
        <v>1177</v>
      </c>
      <c r="J23" t="s">
        <v>1178</v>
      </c>
      <c r="K23" t="s">
        <v>1179</v>
      </c>
      <c r="L23" t="s">
        <v>1180</v>
      </c>
      <c r="M23" t="s">
        <v>1181</v>
      </c>
      <c r="N23" t="s">
        <v>1182</v>
      </c>
      <c r="O23" t="s">
        <v>1183</v>
      </c>
      <c r="P23" t="s">
        <v>1184</v>
      </c>
      <c r="Q23" t="s">
        <v>1185</v>
      </c>
      <c r="R23" t="s">
        <v>1186</v>
      </c>
      <c r="S23" t="s">
        <v>1187</v>
      </c>
      <c r="T23" t="s">
        <v>1188</v>
      </c>
      <c r="U23" t="s">
        <v>982</v>
      </c>
      <c r="V23" t="s">
        <v>1189</v>
      </c>
      <c r="W23" t="s">
        <v>1190</v>
      </c>
      <c r="X23" t="s">
        <v>1191</v>
      </c>
      <c r="Y23" t="s">
        <v>268</v>
      </c>
      <c r="AB23" t="s">
        <v>1192</v>
      </c>
      <c r="AC23" t="s">
        <v>1193</v>
      </c>
      <c r="AD23" t="s">
        <v>1194</v>
      </c>
      <c r="AE23" t="str">
        <f t="shared" si="0"/>
        <v>Mon &amp; Brec Tree Services Ltd</v>
      </c>
      <c r="AF23">
        <f t="shared" si="1"/>
        <v>46072</v>
      </c>
      <c r="AG23">
        <f t="shared" si="2"/>
        <v>1</v>
      </c>
      <c r="AH23">
        <f t="shared" si="3"/>
        <v>3</v>
      </c>
    </row>
    <row r="24" spans="1:34" x14ac:dyDescent="0.15">
      <c r="A24" t="s">
        <v>253</v>
      </c>
      <c r="B24" t="s">
        <v>1101</v>
      </c>
      <c r="C24" t="s">
        <v>766</v>
      </c>
      <c r="D24" t="s">
        <v>902</v>
      </c>
      <c r="E24" t="s">
        <v>902</v>
      </c>
      <c r="F24" t="s">
        <v>785</v>
      </c>
      <c r="H24" t="s">
        <v>903</v>
      </c>
      <c r="I24" t="s">
        <v>1195</v>
      </c>
      <c r="J24" t="s">
        <v>1196</v>
      </c>
      <c r="K24" t="s">
        <v>1197</v>
      </c>
      <c r="L24" t="s">
        <v>1198</v>
      </c>
      <c r="M24" t="s">
        <v>1199</v>
      </c>
      <c r="N24" t="s">
        <v>1200</v>
      </c>
      <c r="O24" t="s">
        <v>1201</v>
      </c>
      <c r="P24" t="s">
        <v>1202</v>
      </c>
      <c r="Q24" t="s">
        <v>1203</v>
      </c>
      <c r="R24" t="s">
        <v>1202</v>
      </c>
      <c r="S24" t="s">
        <v>1204</v>
      </c>
      <c r="T24" t="s">
        <v>1205</v>
      </c>
      <c r="U24" t="s">
        <v>982</v>
      </c>
      <c r="V24" t="s">
        <v>1206</v>
      </c>
      <c r="W24" t="s">
        <v>1207</v>
      </c>
      <c r="X24" t="s">
        <v>1208</v>
      </c>
      <c r="Y24" t="s">
        <v>268</v>
      </c>
      <c r="AB24" t="s">
        <v>883</v>
      </c>
      <c r="AC24" t="s">
        <v>1209</v>
      </c>
      <c r="AD24" t="s">
        <v>1210</v>
      </c>
      <c r="AE24" t="str">
        <f t="shared" si="0"/>
        <v>Astbury Tree Care</v>
      </c>
      <c r="AF24">
        <f t="shared" si="1"/>
        <v>46071</v>
      </c>
      <c r="AG24">
        <f t="shared" si="2"/>
        <v>1</v>
      </c>
      <c r="AH24">
        <f t="shared" si="3"/>
        <v>3</v>
      </c>
    </row>
    <row r="25" spans="1:34" x14ac:dyDescent="0.15">
      <c r="A25" t="s">
        <v>253</v>
      </c>
      <c r="B25" t="s">
        <v>1050</v>
      </c>
      <c r="C25" t="s">
        <v>766</v>
      </c>
      <c r="D25" t="s">
        <v>767</v>
      </c>
      <c r="E25" t="s">
        <v>767</v>
      </c>
      <c r="F25" t="s">
        <v>785</v>
      </c>
      <c r="H25" t="s">
        <v>808</v>
      </c>
      <c r="I25" t="s">
        <v>1211</v>
      </c>
      <c r="K25" t="s">
        <v>1052</v>
      </c>
      <c r="L25" t="s">
        <v>1212</v>
      </c>
      <c r="M25" t="s">
        <v>1213</v>
      </c>
      <c r="N25" t="s">
        <v>1214</v>
      </c>
      <c r="O25" t="s">
        <v>1215</v>
      </c>
      <c r="P25" t="s">
        <v>1216</v>
      </c>
      <c r="Q25" t="s">
        <v>1217</v>
      </c>
      <c r="R25" t="s">
        <v>1218</v>
      </c>
      <c r="S25" t="s">
        <v>1219</v>
      </c>
      <c r="T25" t="s">
        <v>1220</v>
      </c>
      <c r="U25" t="s">
        <v>982</v>
      </c>
      <c r="V25" t="s">
        <v>1221</v>
      </c>
      <c r="W25" t="s">
        <v>1190</v>
      </c>
      <c r="X25" t="s">
        <v>1222</v>
      </c>
      <c r="Y25" t="s">
        <v>268</v>
      </c>
      <c r="AB25" t="s">
        <v>883</v>
      </c>
      <c r="AC25" t="s">
        <v>1223</v>
      </c>
      <c r="AD25" t="s">
        <v>1224</v>
      </c>
      <c r="AE25" t="str">
        <f t="shared" si="0"/>
        <v>Ashdown Tree Limited</v>
      </c>
      <c r="AF25">
        <f t="shared" si="1"/>
        <v>46070</v>
      </c>
      <c r="AG25">
        <f t="shared" si="2"/>
        <v>1</v>
      </c>
      <c r="AH25">
        <f t="shared" si="3"/>
        <v>3</v>
      </c>
    </row>
    <row r="26" spans="1:34" x14ac:dyDescent="0.15">
      <c r="A26" t="s">
        <v>253</v>
      </c>
      <c r="B26" t="s">
        <v>1129</v>
      </c>
      <c r="C26" t="s">
        <v>766</v>
      </c>
      <c r="D26" t="s">
        <v>902</v>
      </c>
      <c r="E26" t="s">
        <v>902</v>
      </c>
      <c r="F26" t="s">
        <v>785</v>
      </c>
      <c r="H26" t="s">
        <v>903</v>
      </c>
      <c r="I26" t="s">
        <v>1225</v>
      </c>
      <c r="J26" t="s">
        <v>1226</v>
      </c>
      <c r="K26" t="s">
        <v>1227</v>
      </c>
      <c r="L26" t="s">
        <v>1228</v>
      </c>
      <c r="M26" t="s">
        <v>1229</v>
      </c>
      <c r="N26" t="s">
        <v>1230</v>
      </c>
      <c r="O26" t="s">
        <v>1231</v>
      </c>
      <c r="P26" t="s">
        <v>1111</v>
      </c>
      <c r="Q26" t="s">
        <v>1232</v>
      </c>
      <c r="R26" t="s">
        <v>1233</v>
      </c>
      <c r="S26" t="s">
        <v>1234</v>
      </c>
      <c r="T26" t="s">
        <v>1235</v>
      </c>
      <c r="U26" t="s">
        <v>982</v>
      </c>
      <c r="V26" t="s">
        <v>1236</v>
      </c>
      <c r="W26" t="s">
        <v>1237</v>
      </c>
      <c r="X26" t="s">
        <v>1238</v>
      </c>
      <c r="Y26" t="s">
        <v>268</v>
      </c>
      <c r="AB26" t="s">
        <v>1239</v>
      </c>
      <c r="AC26" t="s">
        <v>1240</v>
      </c>
      <c r="AD26" t="s">
        <v>1241</v>
      </c>
      <c r="AE26" t="str">
        <f t="shared" si="0"/>
        <v>Coxley Tree Care Ltd</v>
      </c>
      <c r="AF26">
        <f t="shared" si="1"/>
        <v>46070</v>
      </c>
      <c r="AG26">
        <f t="shared" si="2"/>
        <v>2</v>
      </c>
      <c r="AH26">
        <f t="shared" si="3"/>
        <v>3</v>
      </c>
    </row>
    <row r="27" spans="1:34" x14ac:dyDescent="0.15">
      <c r="A27" t="s">
        <v>253</v>
      </c>
      <c r="B27" t="s">
        <v>998</v>
      </c>
      <c r="C27" t="s">
        <v>766</v>
      </c>
      <c r="D27" t="s">
        <v>902</v>
      </c>
      <c r="E27" t="s">
        <v>902</v>
      </c>
      <c r="F27" t="s">
        <v>785</v>
      </c>
      <c r="H27" t="s">
        <v>903</v>
      </c>
      <c r="I27" t="s">
        <v>1077</v>
      </c>
      <c r="J27" t="s">
        <v>1078</v>
      </c>
      <c r="K27" t="s">
        <v>1079</v>
      </c>
      <c r="L27" t="s">
        <v>1242</v>
      </c>
      <c r="M27" t="s">
        <v>1081</v>
      </c>
      <c r="N27" t="s">
        <v>1082</v>
      </c>
      <c r="O27" t="s">
        <v>1083</v>
      </c>
      <c r="P27" t="s">
        <v>1243</v>
      </c>
      <c r="Q27" t="s">
        <v>1244</v>
      </c>
      <c r="R27" t="s">
        <v>1244</v>
      </c>
      <c r="S27" t="s">
        <v>1245</v>
      </c>
      <c r="T27" t="s">
        <v>968</v>
      </c>
      <c r="U27" t="s">
        <v>982</v>
      </c>
      <c r="V27" t="s">
        <v>1246</v>
      </c>
      <c r="X27" t="s">
        <v>1085</v>
      </c>
      <c r="Y27" t="s">
        <v>268</v>
      </c>
      <c r="AB27" t="s">
        <v>883</v>
      </c>
      <c r="AC27" t="s">
        <v>1247</v>
      </c>
      <c r="AD27" t="s">
        <v>1248</v>
      </c>
      <c r="AE27" t="str">
        <f t="shared" si="0"/>
        <v>DE UA SWales4</v>
      </c>
      <c r="AF27">
        <f t="shared" si="1"/>
        <v>46069</v>
      </c>
      <c r="AG27">
        <f t="shared" si="2"/>
        <v>0</v>
      </c>
      <c r="AH27">
        <f t="shared" si="3"/>
        <v>3</v>
      </c>
    </row>
    <row r="28" spans="1:34" x14ac:dyDescent="0.15">
      <c r="A28" t="s">
        <v>253</v>
      </c>
      <c r="B28" t="s">
        <v>823</v>
      </c>
      <c r="C28" t="s">
        <v>766</v>
      </c>
      <c r="D28" t="s">
        <v>767</v>
      </c>
      <c r="E28" t="s">
        <v>767</v>
      </c>
      <c r="F28" t="s">
        <v>785</v>
      </c>
      <c r="H28" t="s">
        <v>808</v>
      </c>
      <c r="I28" t="s">
        <v>1249</v>
      </c>
      <c r="K28" t="s">
        <v>818</v>
      </c>
      <c r="L28" t="s">
        <v>1250</v>
      </c>
      <c r="M28" t="s">
        <v>1251</v>
      </c>
      <c r="N28" t="s">
        <v>1252</v>
      </c>
      <c r="O28" t="s">
        <v>1253</v>
      </c>
      <c r="P28" t="s">
        <v>1254</v>
      </c>
      <c r="Q28" t="s">
        <v>1255</v>
      </c>
      <c r="R28" t="s">
        <v>1202</v>
      </c>
      <c r="S28" t="s">
        <v>1256</v>
      </c>
      <c r="T28" t="s">
        <v>1257</v>
      </c>
      <c r="U28" t="s">
        <v>982</v>
      </c>
      <c r="V28" t="s">
        <v>1258</v>
      </c>
      <c r="W28" t="s">
        <v>1259</v>
      </c>
      <c r="X28" t="s">
        <v>1260</v>
      </c>
      <c r="Y28" t="s">
        <v>268</v>
      </c>
      <c r="AB28" t="s">
        <v>1261</v>
      </c>
      <c r="AC28" t="s">
        <v>1262</v>
      </c>
      <c r="AD28" t="s">
        <v>1263</v>
      </c>
      <c r="AE28" t="str">
        <f t="shared" si="0"/>
        <v>M G Tree Surgery Ltd</v>
      </c>
      <c r="AF28">
        <f t="shared" si="1"/>
        <v>46070</v>
      </c>
      <c r="AG28">
        <f t="shared" si="2"/>
        <v>2</v>
      </c>
      <c r="AH28">
        <f t="shared" si="3"/>
        <v>3</v>
      </c>
    </row>
    <row r="29" spans="1:34" x14ac:dyDescent="0.15">
      <c r="A29" t="s">
        <v>253</v>
      </c>
      <c r="B29" t="s">
        <v>998</v>
      </c>
      <c r="C29" t="s">
        <v>766</v>
      </c>
      <c r="D29" t="s">
        <v>902</v>
      </c>
      <c r="E29" t="s">
        <v>902</v>
      </c>
      <c r="F29" t="s">
        <v>785</v>
      </c>
      <c r="H29" t="s">
        <v>903</v>
      </c>
      <c r="I29" t="s">
        <v>1264</v>
      </c>
      <c r="J29" t="s">
        <v>1265</v>
      </c>
      <c r="K29" t="s">
        <v>1266</v>
      </c>
      <c r="L29" t="s">
        <v>1267</v>
      </c>
      <c r="M29" t="s">
        <v>1268</v>
      </c>
      <c r="N29" t="s">
        <v>1269</v>
      </c>
      <c r="O29" t="s">
        <v>1270</v>
      </c>
      <c r="P29" t="s">
        <v>1110</v>
      </c>
      <c r="Q29" t="s">
        <v>1271</v>
      </c>
      <c r="R29" t="s">
        <v>1271</v>
      </c>
      <c r="S29" t="s">
        <v>1272</v>
      </c>
      <c r="T29" t="s">
        <v>968</v>
      </c>
      <c r="U29" t="s">
        <v>982</v>
      </c>
      <c r="V29" t="s">
        <v>1273</v>
      </c>
      <c r="X29" t="s">
        <v>1274</v>
      </c>
      <c r="Y29" t="s">
        <v>268</v>
      </c>
      <c r="AB29" t="s">
        <v>883</v>
      </c>
      <c r="AC29" t="s">
        <v>1275</v>
      </c>
      <c r="AD29" t="s">
        <v>1276</v>
      </c>
      <c r="AE29" t="str">
        <f t="shared" si="0"/>
        <v>DE UA SWales3</v>
      </c>
      <c r="AF29">
        <f t="shared" si="1"/>
        <v>46070</v>
      </c>
      <c r="AG29">
        <f t="shared" si="2"/>
        <v>0</v>
      </c>
      <c r="AH29">
        <f t="shared" si="3"/>
        <v>3</v>
      </c>
    </row>
    <row r="30" spans="1:34" x14ac:dyDescent="0.15">
      <c r="A30" t="s">
        <v>253</v>
      </c>
      <c r="B30" t="s">
        <v>1129</v>
      </c>
      <c r="C30" t="s">
        <v>766</v>
      </c>
      <c r="D30" t="s">
        <v>902</v>
      </c>
      <c r="E30" t="s">
        <v>902</v>
      </c>
      <c r="F30" t="s">
        <v>785</v>
      </c>
      <c r="H30" t="s">
        <v>903</v>
      </c>
      <c r="I30" t="s">
        <v>1277</v>
      </c>
      <c r="J30" t="s">
        <v>1226</v>
      </c>
      <c r="K30" t="s">
        <v>1227</v>
      </c>
      <c r="L30" t="s">
        <v>1278</v>
      </c>
      <c r="M30" t="s">
        <v>1279</v>
      </c>
      <c r="N30" t="s">
        <v>1280</v>
      </c>
      <c r="O30" t="s">
        <v>1281</v>
      </c>
      <c r="P30" t="s">
        <v>1171</v>
      </c>
      <c r="Q30" t="s">
        <v>1282</v>
      </c>
      <c r="R30" t="s">
        <v>1282</v>
      </c>
      <c r="S30" t="s">
        <v>1283</v>
      </c>
      <c r="T30" t="s">
        <v>968</v>
      </c>
      <c r="U30" t="s">
        <v>982</v>
      </c>
      <c r="V30" t="s">
        <v>1284</v>
      </c>
      <c r="X30" t="s">
        <v>1285</v>
      </c>
      <c r="Y30" t="s">
        <v>268</v>
      </c>
      <c r="AB30" t="s">
        <v>883</v>
      </c>
      <c r="AC30" t="s">
        <v>1286</v>
      </c>
      <c r="AD30" t="s">
        <v>1287</v>
      </c>
      <c r="AE30" t="str">
        <f t="shared" si="0"/>
        <v>Coxley Tree Care Ltd</v>
      </c>
      <c r="AF30">
        <f t="shared" si="1"/>
        <v>46069</v>
      </c>
      <c r="AG30">
        <f t="shared" si="2"/>
        <v>0</v>
      </c>
      <c r="AH30">
        <f t="shared" si="3"/>
        <v>3</v>
      </c>
    </row>
    <row r="31" spans="1:34" x14ac:dyDescent="0.15">
      <c r="A31" t="s">
        <v>253</v>
      </c>
      <c r="B31" t="s">
        <v>1288</v>
      </c>
      <c r="C31" t="s">
        <v>766</v>
      </c>
      <c r="D31" t="s">
        <v>957</v>
      </c>
      <c r="E31" t="s">
        <v>957</v>
      </c>
      <c r="F31" t="s">
        <v>785</v>
      </c>
      <c r="H31" t="s">
        <v>958</v>
      </c>
      <c r="I31" t="s">
        <v>1289</v>
      </c>
      <c r="J31" t="s">
        <v>1290</v>
      </c>
      <c r="K31" t="s">
        <v>1291</v>
      </c>
      <c r="L31" t="s">
        <v>1292</v>
      </c>
      <c r="M31" t="s">
        <v>1293</v>
      </c>
      <c r="N31" t="s">
        <v>1294</v>
      </c>
      <c r="O31" t="s">
        <v>1295</v>
      </c>
      <c r="P31" t="s">
        <v>1218</v>
      </c>
      <c r="Q31" t="s">
        <v>1296</v>
      </c>
      <c r="R31" t="s">
        <v>1296</v>
      </c>
      <c r="S31" t="s">
        <v>1297</v>
      </c>
      <c r="T31" t="s">
        <v>968</v>
      </c>
      <c r="U31" t="s">
        <v>969</v>
      </c>
      <c r="V31" t="s">
        <v>1298</v>
      </c>
      <c r="X31" t="s">
        <v>1299</v>
      </c>
      <c r="Y31" t="s">
        <v>268</v>
      </c>
      <c r="AB31" t="s">
        <v>883</v>
      </c>
      <c r="AC31" t="s">
        <v>1300</v>
      </c>
      <c r="AD31" t="s">
        <v>1301</v>
      </c>
      <c r="AE31" t="str">
        <f t="shared" si="0"/>
        <v>HJ Tree Surgeons Limited</v>
      </c>
      <c r="AF31">
        <f t="shared" si="1"/>
        <v>46069</v>
      </c>
      <c r="AG31">
        <f t="shared" si="2"/>
        <v>0</v>
      </c>
      <c r="AH31">
        <f t="shared" si="3"/>
        <v>4</v>
      </c>
    </row>
    <row r="32" spans="1:34" x14ac:dyDescent="0.15">
      <c r="A32" t="s">
        <v>253</v>
      </c>
      <c r="B32" t="s">
        <v>1302</v>
      </c>
      <c r="C32" t="s">
        <v>766</v>
      </c>
      <c r="D32" t="s">
        <v>902</v>
      </c>
      <c r="E32" t="s">
        <v>902</v>
      </c>
      <c r="F32" t="s">
        <v>785</v>
      </c>
      <c r="H32" t="s">
        <v>903</v>
      </c>
      <c r="I32" t="s">
        <v>1303</v>
      </c>
      <c r="J32" t="s">
        <v>1304</v>
      </c>
      <c r="K32" t="s">
        <v>1305</v>
      </c>
      <c r="L32" t="s">
        <v>1306</v>
      </c>
      <c r="M32" t="s">
        <v>1307</v>
      </c>
      <c r="N32" t="s">
        <v>1308</v>
      </c>
      <c r="O32" t="s">
        <v>1309</v>
      </c>
      <c r="P32" t="s">
        <v>1310</v>
      </c>
      <c r="Q32" t="s">
        <v>1311</v>
      </c>
      <c r="R32" t="s">
        <v>1311</v>
      </c>
      <c r="S32" t="s">
        <v>1151</v>
      </c>
      <c r="T32" t="s">
        <v>968</v>
      </c>
      <c r="U32" t="s">
        <v>982</v>
      </c>
      <c r="V32" t="s">
        <v>1312</v>
      </c>
      <c r="X32" t="s">
        <v>1313</v>
      </c>
      <c r="Y32" t="s">
        <v>268</v>
      </c>
      <c r="AB32" t="s">
        <v>883</v>
      </c>
      <c r="AC32" t="s">
        <v>1314</v>
      </c>
      <c r="AD32" t="s">
        <v>1315</v>
      </c>
      <c r="AE32" t="str">
        <f t="shared" si="0"/>
        <v>Bathams Tree Care Ltd</v>
      </c>
      <c r="AF32">
        <f t="shared" si="1"/>
        <v>46069</v>
      </c>
      <c r="AG32">
        <f t="shared" si="2"/>
        <v>0</v>
      </c>
      <c r="AH32">
        <f t="shared" si="3"/>
        <v>3</v>
      </c>
    </row>
    <row r="33" spans="1:34" x14ac:dyDescent="0.15">
      <c r="A33" t="s">
        <v>253</v>
      </c>
      <c r="B33" t="s">
        <v>1316</v>
      </c>
      <c r="C33" t="s">
        <v>766</v>
      </c>
      <c r="D33" t="s">
        <v>902</v>
      </c>
      <c r="E33" t="s">
        <v>902</v>
      </c>
      <c r="F33" t="s">
        <v>785</v>
      </c>
      <c r="H33" t="s">
        <v>903</v>
      </c>
      <c r="I33" t="s">
        <v>1317</v>
      </c>
      <c r="J33" t="s">
        <v>1317</v>
      </c>
      <c r="K33" t="s">
        <v>1305</v>
      </c>
      <c r="L33" t="s">
        <v>1318</v>
      </c>
      <c r="M33" t="s">
        <v>1293</v>
      </c>
      <c r="N33" t="s">
        <v>1319</v>
      </c>
      <c r="O33" t="s">
        <v>1320</v>
      </c>
      <c r="P33" t="s">
        <v>1321</v>
      </c>
      <c r="Q33" t="s">
        <v>1322</v>
      </c>
      <c r="R33" t="s">
        <v>1322</v>
      </c>
      <c r="S33" t="s">
        <v>1323</v>
      </c>
      <c r="T33" t="s">
        <v>968</v>
      </c>
      <c r="U33" t="s">
        <v>969</v>
      </c>
      <c r="V33" t="s">
        <v>1324</v>
      </c>
      <c r="X33" t="s">
        <v>1325</v>
      </c>
      <c r="Y33" t="s">
        <v>268</v>
      </c>
      <c r="AB33" t="s">
        <v>883</v>
      </c>
      <c r="AC33" t="s">
        <v>1326</v>
      </c>
      <c r="AD33" t="s">
        <v>1327</v>
      </c>
      <c r="AE33" t="str">
        <f t="shared" si="0"/>
        <v>Bathams Tree Care Ltd</v>
      </c>
      <c r="AF33">
        <f t="shared" si="1"/>
        <v>46069</v>
      </c>
      <c r="AG33">
        <f t="shared" si="2"/>
        <v>0</v>
      </c>
      <c r="AH33">
        <f t="shared" si="3"/>
        <v>4</v>
      </c>
    </row>
    <row r="34" spans="1:34" x14ac:dyDescent="0.15">
      <c r="A34" t="s">
        <v>253</v>
      </c>
      <c r="B34" t="s">
        <v>1328</v>
      </c>
      <c r="C34" t="s">
        <v>766</v>
      </c>
      <c r="D34" t="s">
        <v>957</v>
      </c>
      <c r="E34" t="s">
        <v>957</v>
      </c>
      <c r="F34" t="s">
        <v>785</v>
      </c>
      <c r="H34" t="s">
        <v>958</v>
      </c>
      <c r="I34" t="s">
        <v>1218</v>
      </c>
      <c r="J34" t="s">
        <v>1329</v>
      </c>
      <c r="K34" t="s">
        <v>1330</v>
      </c>
      <c r="L34" t="s">
        <v>1331</v>
      </c>
      <c r="M34" t="s">
        <v>1332</v>
      </c>
      <c r="N34" t="s">
        <v>1333</v>
      </c>
      <c r="O34" t="s">
        <v>1334</v>
      </c>
      <c r="P34" t="s">
        <v>1171</v>
      </c>
      <c r="Q34" t="s">
        <v>1335</v>
      </c>
      <c r="R34" t="s">
        <v>1335</v>
      </c>
      <c r="S34" t="s">
        <v>1336</v>
      </c>
      <c r="T34" t="s">
        <v>968</v>
      </c>
      <c r="U34" t="s">
        <v>969</v>
      </c>
      <c r="V34" t="s">
        <v>1337</v>
      </c>
      <c r="X34" t="s">
        <v>1338</v>
      </c>
      <c r="Y34" t="s">
        <v>268</v>
      </c>
      <c r="AB34" t="s">
        <v>883</v>
      </c>
      <c r="AC34" t="s">
        <v>1339</v>
      </c>
      <c r="AD34" t="s">
        <v>1340</v>
      </c>
      <c r="AE34" t="str">
        <f t="shared" si="0"/>
        <v>Kingfisher Tree Services Ltd</v>
      </c>
      <c r="AF34">
        <f t="shared" si="1"/>
        <v>46080</v>
      </c>
      <c r="AG34">
        <f t="shared" si="2"/>
        <v>0</v>
      </c>
      <c r="AH34">
        <f t="shared" si="3"/>
        <v>4</v>
      </c>
    </row>
    <row r="35" spans="1:34" x14ac:dyDescent="0.15">
      <c r="A35" t="s">
        <v>253</v>
      </c>
      <c r="B35" t="s">
        <v>1341</v>
      </c>
      <c r="C35" t="s">
        <v>766</v>
      </c>
      <c r="D35" t="s">
        <v>902</v>
      </c>
      <c r="E35" t="s">
        <v>902</v>
      </c>
      <c r="F35" t="s">
        <v>785</v>
      </c>
      <c r="H35" t="s">
        <v>903</v>
      </c>
      <c r="I35" t="s">
        <v>1342</v>
      </c>
      <c r="K35" t="s">
        <v>1343</v>
      </c>
      <c r="L35" t="s">
        <v>1344</v>
      </c>
      <c r="M35" t="s">
        <v>1345</v>
      </c>
      <c r="N35" t="s">
        <v>1346</v>
      </c>
      <c r="O35" t="s">
        <v>1347</v>
      </c>
      <c r="P35" t="s">
        <v>1348</v>
      </c>
      <c r="Q35" t="s">
        <v>1216</v>
      </c>
      <c r="R35" t="s">
        <v>1216</v>
      </c>
      <c r="S35" t="s">
        <v>1349</v>
      </c>
      <c r="T35" t="s">
        <v>968</v>
      </c>
      <c r="U35" t="s">
        <v>982</v>
      </c>
      <c r="V35" t="s">
        <v>1350</v>
      </c>
      <c r="X35" t="s">
        <v>1351</v>
      </c>
      <c r="Y35" t="s">
        <v>268</v>
      </c>
      <c r="AB35" t="s">
        <v>883</v>
      </c>
      <c r="AC35" t="s">
        <v>1352</v>
      </c>
      <c r="AD35" t="s">
        <v>1353</v>
      </c>
      <c r="AE35" t="str">
        <f t="shared" si="0"/>
        <v>Cliff Tree Services Ian5112 DE UA Arb Neil Squires</v>
      </c>
      <c r="AF35">
        <f t="shared" si="1"/>
        <v>46080</v>
      </c>
      <c r="AG35">
        <f t="shared" si="2"/>
        <v>0</v>
      </c>
      <c r="AH35">
        <f t="shared" si="3"/>
        <v>3</v>
      </c>
    </row>
    <row r="36" spans="1:34" x14ac:dyDescent="0.15">
      <c r="A36" t="s">
        <v>253</v>
      </c>
      <c r="B36" t="s">
        <v>1354</v>
      </c>
      <c r="C36" t="s">
        <v>766</v>
      </c>
      <c r="D36" t="s">
        <v>902</v>
      </c>
      <c r="E36" t="s">
        <v>902</v>
      </c>
      <c r="F36" t="s">
        <v>785</v>
      </c>
      <c r="H36" t="s">
        <v>903</v>
      </c>
      <c r="I36" t="s">
        <v>1355</v>
      </c>
      <c r="K36" t="s">
        <v>1343</v>
      </c>
      <c r="L36" t="s">
        <v>1344</v>
      </c>
      <c r="M36" t="s">
        <v>1356</v>
      </c>
      <c r="N36" t="s">
        <v>1357</v>
      </c>
      <c r="O36" t="s">
        <v>1358</v>
      </c>
      <c r="P36" t="s">
        <v>1057</v>
      </c>
      <c r="Q36" t="s">
        <v>1359</v>
      </c>
      <c r="R36" t="s">
        <v>1359</v>
      </c>
      <c r="S36" t="s">
        <v>1360</v>
      </c>
      <c r="T36" t="s">
        <v>968</v>
      </c>
      <c r="U36" t="s">
        <v>969</v>
      </c>
      <c r="V36" t="s">
        <v>1361</v>
      </c>
      <c r="X36" t="s">
        <v>1362</v>
      </c>
      <c r="Y36" t="s">
        <v>268</v>
      </c>
      <c r="AB36" t="s">
        <v>883</v>
      </c>
      <c r="AC36" t="s">
        <v>1363</v>
      </c>
      <c r="AD36" t="s">
        <v>1364</v>
      </c>
      <c r="AE36" t="str">
        <f t="shared" si="0"/>
        <v>Cliff Tree Services Ian5112 DE UA Arb Neil Squires</v>
      </c>
      <c r="AF36">
        <f t="shared" si="1"/>
        <v>46080</v>
      </c>
      <c r="AG36">
        <f t="shared" si="2"/>
        <v>0</v>
      </c>
      <c r="AH36">
        <f t="shared" si="3"/>
        <v>4</v>
      </c>
    </row>
    <row r="37" spans="1:34" x14ac:dyDescent="0.15">
      <c r="A37" t="s">
        <v>253</v>
      </c>
      <c r="B37" t="s">
        <v>986</v>
      </c>
      <c r="C37" t="s">
        <v>766</v>
      </c>
      <c r="D37" t="s">
        <v>902</v>
      </c>
      <c r="E37" t="s">
        <v>902</v>
      </c>
      <c r="F37" t="s">
        <v>785</v>
      </c>
      <c r="H37" t="s">
        <v>903</v>
      </c>
      <c r="I37" t="s">
        <v>1365</v>
      </c>
      <c r="K37" t="s">
        <v>1366</v>
      </c>
      <c r="L37" t="s">
        <v>1367</v>
      </c>
      <c r="M37" t="s">
        <v>1368</v>
      </c>
      <c r="N37" t="s">
        <v>1369</v>
      </c>
      <c r="O37" t="s">
        <v>1370</v>
      </c>
      <c r="P37" t="s">
        <v>1371</v>
      </c>
      <c r="Q37" t="s">
        <v>1372</v>
      </c>
      <c r="R37" t="s">
        <v>1372</v>
      </c>
      <c r="S37" t="s">
        <v>1297</v>
      </c>
      <c r="T37" t="s">
        <v>968</v>
      </c>
      <c r="U37" t="s">
        <v>982</v>
      </c>
      <c r="V37" t="s">
        <v>1373</v>
      </c>
      <c r="X37" t="s">
        <v>994</v>
      </c>
      <c r="Y37" t="s">
        <v>268</v>
      </c>
      <c r="AB37" t="s">
        <v>883</v>
      </c>
      <c r="AC37" t="s">
        <v>1374</v>
      </c>
      <c r="AD37" t="s">
        <v>1375</v>
      </c>
      <c r="AE37" t="str">
        <f t="shared" si="0"/>
        <v>Booker Tree Care</v>
      </c>
      <c r="AF37">
        <f t="shared" si="1"/>
        <v>46080</v>
      </c>
      <c r="AG37">
        <f t="shared" si="2"/>
        <v>0</v>
      </c>
      <c r="AH37">
        <f t="shared" si="3"/>
        <v>3</v>
      </c>
    </row>
    <row r="38" spans="1:34" x14ac:dyDescent="0.15">
      <c r="A38" t="s">
        <v>253</v>
      </c>
      <c r="B38" t="s">
        <v>1376</v>
      </c>
      <c r="C38" t="s">
        <v>766</v>
      </c>
      <c r="D38" t="s">
        <v>902</v>
      </c>
      <c r="E38" t="s">
        <v>902</v>
      </c>
      <c r="F38" t="s">
        <v>785</v>
      </c>
      <c r="H38" t="s">
        <v>903</v>
      </c>
      <c r="I38" t="s">
        <v>1377</v>
      </c>
      <c r="K38" t="s">
        <v>1366</v>
      </c>
      <c r="L38" t="s">
        <v>1378</v>
      </c>
      <c r="M38" t="s">
        <v>1379</v>
      </c>
      <c r="N38" t="s">
        <v>1380</v>
      </c>
      <c r="O38" t="s">
        <v>1381</v>
      </c>
      <c r="P38" t="s">
        <v>1382</v>
      </c>
      <c r="Q38" t="s">
        <v>1322</v>
      </c>
      <c r="R38" t="s">
        <v>1322</v>
      </c>
      <c r="S38" t="s">
        <v>1219</v>
      </c>
      <c r="T38" t="s">
        <v>968</v>
      </c>
      <c r="U38" t="s">
        <v>969</v>
      </c>
      <c r="V38" t="s">
        <v>1383</v>
      </c>
      <c r="X38" t="s">
        <v>1384</v>
      </c>
      <c r="Y38" t="s">
        <v>268</v>
      </c>
      <c r="AB38" t="s">
        <v>883</v>
      </c>
      <c r="AC38" t="s">
        <v>1385</v>
      </c>
      <c r="AD38" t="s">
        <v>1386</v>
      </c>
      <c r="AE38" t="str">
        <f t="shared" ref="AE38:AE69" si="4">IF(K38="","",TRIM(MID(K38,IF(ISNUMBER(VALUE(LEFT(K38,4))),6,1),200)))</f>
        <v>Booker Tree Care</v>
      </c>
      <c r="AF38">
        <f t="shared" ref="AF38:AF69" si="5">IF(N38="","",IFERROR(DATEVALUE(LEFT(N38,10)),N38))</f>
        <v>46079</v>
      </c>
      <c r="AG38">
        <f t="shared" ref="AG38:AG69" si="6">IF(W38="",0,LEN(TRIM(W38))-LEN(SUBSTITUTE(TRIM(W38),",",""))+1)</f>
        <v>0</v>
      </c>
      <c r="AH38">
        <f t="shared" ref="AH38:AH69" si="7">IF(OR(N38="",K38=""),"",IF(U38="High Standards",4,IF(U38="Compliant",3,IF(U38="Minor Nonconformity",IF(AG38&gt;=2,1,2),""))))</f>
        <v>4</v>
      </c>
    </row>
    <row r="39" spans="1:34" x14ac:dyDescent="0.15">
      <c r="A39" t="s">
        <v>253</v>
      </c>
      <c r="B39" t="s">
        <v>1387</v>
      </c>
      <c r="C39" t="s">
        <v>766</v>
      </c>
      <c r="D39" t="s">
        <v>957</v>
      </c>
      <c r="E39" t="s">
        <v>957</v>
      </c>
      <c r="F39" t="s">
        <v>785</v>
      </c>
      <c r="H39" t="s">
        <v>958</v>
      </c>
      <c r="I39" t="s">
        <v>1388</v>
      </c>
      <c r="J39" t="s">
        <v>1389</v>
      </c>
      <c r="K39" t="s">
        <v>1390</v>
      </c>
      <c r="L39" t="s">
        <v>1391</v>
      </c>
      <c r="M39" t="s">
        <v>1392</v>
      </c>
      <c r="N39" t="s">
        <v>1393</v>
      </c>
      <c r="O39" t="s">
        <v>1394</v>
      </c>
      <c r="P39" t="s">
        <v>1395</v>
      </c>
      <c r="Q39" t="s">
        <v>1372</v>
      </c>
      <c r="R39" t="s">
        <v>1372</v>
      </c>
      <c r="S39" t="s">
        <v>1396</v>
      </c>
      <c r="T39" t="s">
        <v>968</v>
      </c>
      <c r="U39" t="s">
        <v>982</v>
      </c>
      <c r="V39" t="s">
        <v>1397</v>
      </c>
      <c r="X39" t="s">
        <v>1398</v>
      </c>
      <c r="Y39" t="s">
        <v>279</v>
      </c>
      <c r="Z39" t="s">
        <v>1399</v>
      </c>
      <c r="AA39" t="s">
        <v>1400</v>
      </c>
      <c r="AB39" t="s">
        <v>883</v>
      </c>
      <c r="AC39" t="s">
        <v>1401</v>
      </c>
      <c r="AD39" t="s">
        <v>1402</v>
      </c>
      <c r="AE39" t="str">
        <f t="shared" si="4"/>
        <v>Vale Tree Surgeons</v>
      </c>
      <c r="AF39">
        <f t="shared" si="5"/>
        <v>46079</v>
      </c>
      <c r="AG39">
        <f t="shared" si="6"/>
        <v>0</v>
      </c>
      <c r="AH39">
        <f t="shared" si="7"/>
        <v>3</v>
      </c>
    </row>
    <row r="40" spans="1:34" x14ac:dyDescent="0.15">
      <c r="A40" t="s">
        <v>253</v>
      </c>
      <c r="B40" t="s">
        <v>1403</v>
      </c>
      <c r="C40" t="s">
        <v>766</v>
      </c>
      <c r="D40" t="s">
        <v>902</v>
      </c>
      <c r="E40" t="s">
        <v>902</v>
      </c>
      <c r="F40" t="s">
        <v>785</v>
      </c>
      <c r="H40" t="s">
        <v>903</v>
      </c>
      <c r="I40" t="s">
        <v>1404</v>
      </c>
      <c r="J40" t="s">
        <v>1405</v>
      </c>
      <c r="K40" t="s">
        <v>906</v>
      </c>
      <c r="L40" t="s">
        <v>1406</v>
      </c>
      <c r="M40" t="s">
        <v>1407</v>
      </c>
      <c r="N40" t="s">
        <v>1408</v>
      </c>
      <c r="O40" t="s">
        <v>1409</v>
      </c>
      <c r="P40" t="s">
        <v>1395</v>
      </c>
      <c r="Q40" t="s">
        <v>1410</v>
      </c>
      <c r="R40" t="s">
        <v>1410</v>
      </c>
      <c r="S40" t="s">
        <v>1411</v>
      </c>
      <c r="T40" t="s">
        <v>968</v>
      </c>
      <c r="U40" t="s">
        <v>969</v>
      </c>
      <c r="V40" t="s">
        <v>1412</v>
      </c>
      <c r="X40" t="s">
        <v>1413</v>
      </c>
      <c r="Y40" t="s">
        <v>268</v>
      </c>
      <c r="AB40" t="s">
        <v>883</v>
      </c>
      <c r="AC40" t="s">
        <v>1414</v>
      </c>
      <c r="AD40" t="s">
        <v>1415</v>
      </c>
      <c r="AE40" t="str">
        <f t="shared" si="4"/>
        <v>New Leaf Arb Ltd</v>
      </c>
      <c r="AF40">
        <f t="shared" si="5"/>
        <v>46079</v>
      </c>
      <c r="AG40">
        <f t="shared" si="6"/>
        <v>0</v>
      </c>
      <c r="AH40">
        <f t="shared" si="7"/>
        <v>4</v>
      </c>
    </row>
    <row r="41" spans="1:34" x14ac:dyDescent="0.15">
      <c r="A41" t="s">
        <v>253</v>
      </c>
      <c r="B41" t="s">
        <v>998</v>
      </c>
      <c r="C41" t="s">
        <v>766</v>
      </c>
      <c r="D41" t="s">
        <v>902</v>
      </c>
      <c r="E41" t="s">
        <v>902</v>
      </c>
      <c r="F41" t="s">
        <v>785</v>
      </c>
      <c r="H41" t="s">
        <v>903</v>
      </c>
      <c r="I41" t="s">
        <v>1416</v>
      </c>
      <c r="J41" t="s">
        <v>1417</v>
      </c>
      <c r="K41" t="s">
        <v>1418</v>
      </c>
      <c r="L41" t="s">
        <v>1419</v>
      </c>
      <c r="M41" t="s">
        <v>1420</v>
      </c>
      <c r="N41" t="s">
        <v>1421</v>
      </c>
      <c r="O41" t="s">
        <v>1422</v>
      </c>
      <c r="P41" t="s">
        <v>1423</v>
      </c>
      <c r="Q41" t="s">
        <v>1424</v>
      </c>
      <c r="R41" t="s">
        <v>1425</v>
      </c>
      <c r="S41" t="s">
        <v>1151</v>
      </c>
      <c r="T41" t="s">
        <v>1426</v>
      </c>
      <c r="U41" t="s">
        <v>982</v>
      </c>
      <c r="V41" t="s">
        <v>1427</v>
      </c>
      <c r="W41" t="s">
        <v>1428</v>
      </c>
      <c r="X41" t="s">
        <v>1429</v>
      </c>
      <c r="Y41" t="s">
        <v>279</v>
      </c>
      <c r="Z41" t="s">
        <v>998</v>
      </c>
      <c r="AA41" t="s">
        <v>1430</v>
      </c>
      <c r="AB41" t="s">
        <v>883</v>
      </c>
      <c r="AC41" t="s">
        <v>1431</v>
      </c>
      <c r="AD41" t="s">
        <v>1432</v>
      </c>
      <c r="AE41" t="str">
        <f t="shared" si="4"/>
        <v>George Harris Tree Services</v>
      </c>
      <c r="AF41">
        <f t="shared" si="5"/>
        <v>46078</v>
      </c>
      <c r="AG41">
        <f t="shared" si="6"/>
        <v>2</v>
      </c>
      <c r="AH41">
        <f t="shared" si="7"/>
        <v>3</v>
      </c>
    </row>
    <row r="42" spans="1:34" x14ac:dyDescent="0.15">
      <c r="A42" t="s">
        <v>253</v>
      </c>
      <c r="B42" t="s">
        <v>998</v>
      </c>
      <c r="C42" t="s">
        <v>766</v>
      </c>
      <c r="D42" t="s">
        <v>902</v>
      </c>
      <c r="E42" t="s">
        <v>902</v>
      </c>
      <c r="F42" t="s">
        <v>785</v>
      </c>
      <c r="H42" t="s">
        <v>903</v>
      </c>
      <c r="I42" t="s">
        <v>1433</v>
      </c>
      <c r="J42" t="s">
        <v>1434</v>
      </c>
      <c r="K42" t="s">
        <v>1435</v>
      </c>
      <c r="L42" t="s">
        <v>1436</v>
      </c>
      <c r="M42" t="s">
        <v>1437</v>
      </c>
      <c r="N42" t="s">
        <v>1438</v>
      </c>
      <c r="O42" t="s">
        <v>1439</v>
      </c>
      <c r="P42" t="s">
        <v>1335</v>
      </c>
      <c r="Q42" t="s">
        <v>1440</v>
      </c>
      <c r="R42" t="s">
        <v>1440</v>
      </c>
      <c r="S42" t="s">
        <v>1441</v>
      </c>
      <c r="T42" t="s">
        <v>968</v>
      </c>
      <c r="U42" t="s">
        <v>982</v>
      </c>
      <c r="V42" t="s">
        <v>1442</v>
      </c>
      <c r="X42" t="s">
        <v>1443</v>
      </c>
      <c r="Y42" t="s">
        <v>268</v>
      </c>
      <c r="AB42" t="s">
        <v>883</v>
      </c>
      <c r="AC42" t="s">
        <v>1444</v>
      </c>
      <c r="AD42" t="s">
        <v>1445</v>
      </c>
      <c r="AE42" t="str">
        <f t="shared" si="4"/>
        <v>C G Tree Cutting Services</v>
      </c>
      <c r="AF42">
        <f t="shared" si="5"/>
        <v>46077</v>
      </c>
      <c r="AG42">
        <f t="shared" si="6"/>
        <v>0</v>
      </c>
      <c r="AH42">
        <f t="shared" si="7"/>
        <v>3</v>
      </c>
    </row>
    <row r="43" spans="1:34" x14ac:dyDescent="0.15">
      <c r="A43" t="s">
        <v>253</v>
      </c>
      <c r="B43" t="s">
        <v>973</v>
      </c>
      <c r="C43" t="s">
        <v>766</v>
      </c>
      <c r="D43" t="s">
        <v>902</v>
      </c>
      <c r="E43" t="s">
        <v>902</v>
      </c>
      <c r="F43" t="s">
        <v>785</v>
      </c>
      <c r="H43" t="s">
        <v>903</v>
      </c>
      <c r="I43" t="s">
        <v>1446</v>
      </c>
      <c r="K43" t="s">
        <v>1447</v>
      </c>
      <c r="L43" t="s">
        <v>1448</v>
      </c>
      <c r="M43" t="s">
        <v>1449</v>
      </c>
      <c r="N43" t="s">
        <v>1450</v>
      </c>
      <c r="O43" t="s">
        <v>1451</v>
      </c>
      <c r="P43" t="s">
        <v>1395</v>
      </c>
      <c r="Q43" t="s">
        <v>1452</v>
      </c>
      <c r="R43" t="s">
        <v>1452</v>
      </c>
      <c r="S43" t="s">
        <v>1453</v>
      </c>
      <c r="T43" t="s">
        <v>968</v>
      </c>
      <c r="U43" t="s">
        <v>969</v>
      </c>
      <c r="V43" t="s">
        <v>1454</v>
      </c>
      <c r="X43" t="s">
        <v>1455</v>
      </c>
      <c r="Y43" t="s">
        <v>268</v>
      </c>
      <c r="AB43" t="s">
        <v>883</v>
      </c>
      <c r="AC43" t="s">
        <v>1456</v>
      </c>
      <c r="AD43" t="s">
        <v>1457</v>
      </c>
      <c r="AE43" t="str">
        <f t="shared" si="4"/>
        <v>Down To Earth Tree Management</v>
      </c>
      <c r="AF43">
        <f t="shared" si="5"/>
        <v>46077</v>
      </c>
      <c r="AG43">
        <f t="shared" si="6"/>
        <v>0</v>
      </c>
      <c r="AH43">
        <f t="shared" si="7"/>
        <v>4</v>
      </c>
    </row>
    <row r="44" spans="1:34" x14ac:dyDescent="0.15">
      <c r="A44" t="s">
        <v>253</v>
      </c>
      <c r="B44" t="s">
        <v>1458</v>
      </c>
      <c r="C44" t="s">
        <v>766</v>
      </c>
      <c r="D44" t="s">
        <v>902</v>
      </c>
      <c r="E44" t="s">
        <v>902</v>
      </c>
      <c r="F44" t="s">
        <v>785</v>
      </c>
      <c r="H44" t="s">
        <v>903</v>
      </c>
      <c r="I44" t="s">
        <v>1459</v>
      </c>
      <c r="J44" t="s">
        <v>1460</v>
      </c>
      <c r="K44" t="s">
        <v>1447</v>
      </c>
      <c r="L44" t="s">
        <v>1461</v>
      </c>
      <c r="M44" t="s">
        <v>1462</v>
      </c>
      <c r="N44" t="s">
        <v>1450</v>
      </c>
      <c r="O44" t="s">
        <v>1463</v>
      </c>
      <c r="P44" t="s">
        <v>1057</v>
      </c>
      <c r="Q44" t="s">
        <v>1452</v>
      </c>
      <c r="R44" t="s">
        <v>1452</v>
      </c>
      <c r="S44" t="s">
        <v>1464</v>
      </c>
      <c r="T44" t="s">
        <v>968</v>
      </c>
      <c r="U44" t="s">
        <v>969</v>
      </c>
      <c r="V44" t="s">
        <v>1454</v>
      </c>
      <c r="X44" t="s">
        <v>1465</v>
      </c>
      <c r="Y44" t="s">
        <v>268</v>
      </c>
      <c r="AB44" t="s">
        <v>883</v>
      </c>
      <c r="AC44" t="s">
        <v>1466</v>
      </c>
      <c r="AD44" t="s">
        <v>1467</v>
      </c>
      <c r="AE44" t="str">
        <f t="shared" si="4"/>
        <v>Down To Earth Tree Management</v>
      </c>
      <c r="AF44">
        <f t="shared" si="5"/>
        <v>46077</v>
      </c>
      <c r="AG44">
        <f t="shared" si="6"/>
        <v>0</v>
      </c>
      <c r="AH44">
        <f t="shared" si="7"/>
        <v>4</v>
      </c>
    </row>
    <row r="45" spans="1:34" x14ac:dyDescent="0.15">
      <c r="A45" t="s">
        <v>253</v>
      </c>
      <c r="B45" t="s">
        <v>1468</v>
      </c>
      <c r="C45" t="s">
        <v>766</v>
      </c>
      <c r="D45" t="s">
        <v>767</v>
      </c>
      <c r="E45" t="s">
        <v>767</v>
      </c>
      <c r="F45" t="s">
        <v>785</v>
      </c>
      <c r="H45" t="s">
        <v>808</v>
      </c>
      <c r="I45" t="s">
        <v>1469</v>
      </c>
      <c r="J45" t="s">
        <v>1470</v>
      </c>
      <c r="K45" t="s">
        <v>1471</v>
      </c>
      <c r="L45" t="s">
        <v>1472</v>
      </c>
      <c r="M45" t="s">
        <v>1473</v>
      </c>
      <c r="N45" t="s">
        <v>1474</v>
      </c>
      <c r="O45" t="s">
        <v>1475</v>
      </c>
      <c r="P45" t="s">
        <v>1232</v>
      </c>
      <c r="Q45" t="s">
        <v>1254</v>
      </c>
      <c r="R45" t="s">
        <v>1019</v>
      </c>
      <c r="S45" t="s">
        <v>1245</v>
      </c>
      <c r="T45" t="s">
        <v>1476</v>
      </c>
      <c r="U45" t="s">
        <v>982</v>
      </c>
      <c r="V45" t="s">
        <v>1477</v>
      </c>
      <c r="W45" t="s">
        <v>1478</v>
      </c>
      <c r="X45" t="s">
        <v>1479</v>
      </c>
      <c r="Y45" t="s">
        <v>279</v>
      </c>
      <c r="Z45" t="s">
        <v>1046</v>
      </c>
      <c r="AA45" t="s">
        <v>1480</v>
      </c>
      <c r="AB45" t="s">
        <v>1481</v>
      </c>
      <c r="AC45" t="s">
        <v>1482</v>
      </c>
      <c r="AD45" t="s">
        <v>1483</v>
      </c>
      <c r="AE45" t="str">
        <f t="shared" si="4"/>
        <v>Optimum Tree Services Ltd</v>
      </c>
      <c r="AF45">
        <f t="shared" si="5"/>
        <v>46076</v>
      </c>
      <c r="AG45">
        <f t="shared" si="6"/>
        <v>1</v>
      </c>
      <c r="AH45">
        <f t="shared" si="7"/>
        <v>3</v>
      </c>
    </row>
    <row r="46" spans="1:34" x14ac:dyDescent="0.15">
      <c r="A46" t="s">
        <v>253</v>
      </c>
      <c r="B46" t="s">
        <v>1484</v>
      </c>
      <c r="C46" t="s">
        <v>766</v>
      </c>
      <c r="D46" t="s">
        <v>767</v>
      </c>
      <c r="E46" t="s">
        <v>767</v>
      </c>
      <c r="F46" t="s">
        <v>785</v>
      </c>
      <c r="H46" t="s">
        <v>808</v>
      </c>
      <c r="I46" t="s">
        <v>1485</v>
      </c>
      <c r="J46" t="s">
        <v>1486</v>
      </c>
      <c r="K46" t="s">
        <v>1471</v>
      </c>
      <c r="L46" t="s">
        <v>1487</v>
      </c>
      <c r="M46" t="s">
        <v>1488</v>
      </c>
      <c r="N46" t="s">
        <v>1489</v>
      </c>
      <c r="O46" t="s">
        <v>1490</v>
      </c>
      <c r="P46" t="s">
        <v>1233</v>
      </c>
      <c r="Q46" t="s">
        <v>1491</v>
      </c>
      <c r="R46" t="s">
        <v>1491</v>
      </c>
      <c r="S46" t="s">
        <v>1492</v>
      </c>
      <c r="T46" t="s">
        <v>968</v>
      </c>
      <c r="U46" t="s">
        <v>982</v>
      </c>
      <c r="V46" t="s">
        <v>1493</v>
      </c>
      <c r="X46" t="s">
        <v>1494</v>
      </c>
      <c r="Y46" t="s">
        <v>268</v>
      </c>
      <c r="AB46" t="s">
        <v>883</v>
      </c>
      <c r="AC46" t="s">
        <v>1495</v>
      </c>
      <c r="AD46" t="s">
        <v>1496</v>
      </c>
      <c r="AE46" t="str">
        <f t="shared" si="4"/>
        <v>Optimum Tree Services Ltd</v>
      </c>
      <c r="AF46">
        <f t="shared" si="5"/>
        <v>46076</v>
      </c>
      <c r="AG46">
        <f t="shared" si="6"/>
        <v>0</v>
      </c>
      <c r="AH46">
        <f t="shared" si="7"/>
        <v>3</v>
      </c>
    </row>
    <row r="47" spans="1:34" x14ac:dyDescent="0.15">
      <c r="A47" t="s">
        <v>253</v>
      </c>
      <c r="B47" t="s">
        <v>1035</v>
      </c>
      <c r="C47" t="s">
        <v>766</v>
      </c>
      <c r="D47" t="s">
        <v>767</v>
      </c>
      <c r="E47" t="s">
        <v>767</v>
      </c>
      <c r="F47" t="s">
        <v>785</v>
      </c>
      <c r="H47" t="s">
        <v>808</v>
      </c>
      <c r="I47" t="s">
        <v>1497</v>
      </c>
      <c r="J47" t="s">
        <v>1498</v>
      </c>
      <c r="K47" t="s">
        <v>1499</v>
      </c>
      <c r="L47" t="s">
        <v>1500</v>
      </c>
      <c r="M47" t="s">
        <v>1501</v>
      </c>
      <c r="N47" t="s">
        <v>1502</v>
      </c>
      <c r="O47" t="s">
        <v>1503</v>
      </c>
      <c r="P47" t="s">
        <v>1504</v>
      </c>
      <c r="Q47" t="s">
        <v>1505</v>
      </c>
      <c r="R47" t="s">
        <v>1505</v>
      </c>
      <c r="S47" t="s">
        <v>1396</v>
      </c>
      <c r="T47" t="s">
        <v>968</v>
      </c>
      <c r="U47" t="s">
        <v>969</v>
      </c>
      <c r="V47" t="s">
        <v>1506</v>
      </c>
      <c r="X47" t="s">
        <v>1507</v>
      </c>
      <c r="Y47" t="s">
        <v>268</v>
      </c>
      <c r="AB47" t="s">
        <v>883</v>
      </c>
      <c r="AC47" t="s">
        <v>1508</v>
      </c>
      <c r="AD47" t="s">
        <v>1509</v>
      </c>
      <c r="AE47" t="str">
        <f t="shared" si="4"/>
        <v>Tree Tech Suffolk Ltd</v>
      </c>
      <c r="AF47">
        <f t="shared" si="5"/>
        <v>46076</v>
      </c>
      <c r="AG47">
        <f t="shared" si="6"/>
        <v>0</v>
      </c>
      <c r="AH47">
        <f t="shared" si="7"/>
        <v>4</v>
      </c>
    </row>
    <row r="48" spans="1:34" x14ac:dyDescent="0.15">
      <c r="A48" t="s">
        <v>253</v>
      </c>
      <c r="B48" t="s">
        <v>1484</v>
      </c>
      <c r="C48" t="s">
        <v>766</v>
      </c>
      <c r="D48" t="s">
        <v>767</v>
      </c>
      <c r="E48" t="s">
        <v>767</v>
      </c>
      <c r="F48" t="s">
        <v>785</v>
      </c>
      <c r="H48" t="s">
        <v>808</v>
      </c>
      <c r="I48" t="s">
        <v>1510</v>
      </c>
      <c r="J48" t="s">
        <v>1486</v>
      </c>
      <c r="K48" t="s">
        <v>1471</v>
      </c>
      <c r="L48" t="s">
        <v>1511</v>
      </c>
      <c r="M48" t="s">
        <v>1512</v>
      </c>
      <c r="N48" t="s">
        <v>1513</v>
      </c>
      <c r="O48" t="s">
        <v>1514</v>
      </c>
      <c r="P48" t="s">
        <v>1515</v>
      </c>
      <c r="Q48" t="s">
        <v>1516</v>
      </c>
      <c r="R48" t="s">
        <v>1244</v>
      </c>
      <c r="S48" t="s">
        <v>1517</v>
      </c>
      <c r="T48" t="s">
        <v>1518</v>
      </c>
      <c r="U48" t="s">
        <v>982</v>
      </c>
      <c r="V48" t="s">
        <v>1519</v>
      </c>
      <c r="W48" t="s">
        <v>1520</v>
      </c>
      <c r="X48" t="s">
        <v>1521</v>
      </c>
      <c r="Y48" t="s">
        <v>279</v>
      </c>
      <c r="Z48" t="s">
        <v>1522</v>
      </c>
      <c r="AA48" t="s">
        <v>1523</v>
      </c>
      <c r="AB48" t="s">
        <v>1524</v>
      </c>
      <c r="AC48" t="s">
        <v>1525</v>
      </c>
      <c r="AD48" t="s">
        <v>1526</v>
      </c>
      <c r="AE48" t="str">
        <f t="shared" si="4"/>
        <v>Optimum Tree Services Ltd</v>
      </c>
      <c r="AF48">
        <f t="shared" si="5"/>
        <v>46076</v>
      </c>
      <c r="AG48">
        <f t="shared" si="6"/>
        <v>4</v>
      </c>
      <c r="AH48">
        <f t="shared" si="7"/>
        <v>3</v>
      </c>
    </row>
    <row r="49" spans="1:34" x14ac:dyDescent="0.15">
      <c r="A49" t="s">
        <v>253</v>
      </c>
      <c r="B49" t="s">
        <v>986</v>
      </c>
      <c r="C49" t="s">
        <v>766</v>
      </c>
      <c r="D49" t="s">
        <v>902</v>
      </c>
      <c r="E49" t="s">
        <v>902</v>
      </c>
      <c r="F49" t="s">
        <v>785</v>
      </c>
      <c r="H49" t="s">
        <v>903</v>
      </c>
      <c r="I49" t="s">
        <v>1527</v>
      </c>
      <c r="K49" t="s">
        <v>1528</v>
      </c>
      <c r="L49" t="s">
        <v>1529</v>
      </c>
      <c r="M49" t="s">
        <v>1530</v>
      </c>
      <c r="N49" t="s">
        <v>1531</v>
      </c>
      <c r="O49" t="s">
        <v>1532</v>
      </c>
      <c r="P49" t="s">
        <v>1335</v>
      </c>
      <c r="Q49" t="s">
        <v>1203</v>
      </c>
      <c r="R49" t="s">
        <v>1203</v>
      </c>
      <c r="S49" t="s">
        <v>1204</v>
      </c>
      <c r="T49" t="s">
        <v>968</v>
      </c>
      <c r="U49" t="s">
        <v>982</v>
      </c>
      <c r="V49" t="s">
        <v>1533</v>
      </c>
      <c r="X49" t="s">
        <v>994</v>
      </c>
      <c r="Y49" t="s">
        <v>268</v>
      </c>
      <c r="AB49" t="s">
        <v>883</v>
      </c>
      <c r="AC49" t="s">
        <v>1534</v>
      </c>
      <c r="AD49" t="s">
        <v>1535</v>
      </c>
      <c r="AE49" t="str">
        <f t="shared" si="4"/>
        <v>EWS Tree Services Ltd</v>
      </c>
      <c r="AF49">
        <f t="shared" si="5"/>
        <v>46086</v>
      </c>
      <c r="AG49">
        <f t="shared" si="6"/>
        <v>0</v>
      </c>
      <c r="AH49">
        <f t="shared" si="7"/>
        <v>3</v>
      </c>
    </row>
    <row r="50" spans="1:34" x14ac:dyDescent="0.15">
      <c r="A50" t="s">
        <v>253</v>
      </c>
      <c r="B50" t="s">
        <v>986</v>
      </c>
      <c r="C50" t="s">
        <v>766</v>
      </c>
      <c r="D50" t="s">
        <v>902</v>
      </c>
      <c r="E50" t="s">
        <v>902</v>
      </c>
      <c r="F50" t="s">
        <v>785</v>
      </c>
      <c r="H50" t="s">
        <v>903</v>
      </c>
      <c r="I50" t="s">
        <v>1536</v>
      </c>
      <c r="K50" t="s">
        <v>1528</v>
      </c>
      <c r="L50" t="s">
        <v>1537</v>
      </c>
      <c r="M50" t="s">
        <v>1538</v>
      </c>
      <c r="N50" t="s">
        <v>1539</v>
      </c>
      <c r="O50" t="s">
        <v>1540</v>
      </c>
      <c r="P50" t="s">
        <v>1541</v>
      </c>
      <c r="Q50" t="s">
        <v>1542</v>
      </c>
      <c r="R50" t="s">
        <v>1542</v>
      </c>
      <c r="S50" t="s">
        <v>1349</v>
      </c>
      <c r="T50" t="s">
        <v>968</v>
      </c>
      <c r="U50" t="s">
        <v>982</v>
      </c>
      <c r="V50" t="s">
        <v>1543</v>
      </c>
      <c r="X50" t="s">
        <v>994</v>
      </c>
      <c r="Y50" t="s">
        <v>268</v>
      </c>
      <c r="AB50" t="s">
        <v>883</v>
      </c>
      <c r="AC50" t="s">
        <v>1544</v>
      </c>
      <c r="AD50" t="s">
        <v>1545</v>
      </c>
      <c r="AE50" t="str">
        <f t="shared" si="4"/>
        <v>EWS Tree Services Ltd</v>
      </c>
      <c r="AF50">
        <f t="shared" si="5"/>
        <v>46086</v>
      </c>
      <c r="AG50">
        <f t="shared" si="6"/>
        <v>0</v>
      </c>
      <c r="AH50">
        <f t="shared" si="7"/>
        <v>3</v>
      </c>
    </row>
    <row r="51" spans="1:34" x14ac:dyDescent="0.15">
      <c r="A51" t="s">
        <v>253</v>
      </c>
      <c r="B51" t="s">
        <v>1129</v>
      </c>
      <c r="C51" t="s">
        <v>766</v>
      </c>
      <c r="D51" t="s">
        <v>902</v>
      </c>
      <c r="E51" t="s">
        <v>902</v>
      </c>
      <c r="F51" t="s">
        <v>785</v>
      </c>
      <c r="H51" t="s">
        <v>903</v>
      </c>
      <c r="I51" t="s">
        <v>1546</v>
      </c>
      <c r="J51" t="s">
        <v>1547</v>
      </c>
      <c r="K51" t="s">
        <v>1227</v>
      </c>
      <c r="L51" t="s">
        <v>1548</v>
      </c>
      <c r="M51" t="s">
        <v>1549</v>
      </c>
      <c r="N51" t="s">
        <v>1550</v>
      </c>
      <c r="O51" t="s">
        <v>1551</v>
      </c>
      <c r="P51" t="s">
        <v>1552</v>
      </c>
      <c r="Q51" t="s">
        <v>1150</v>
      </c>
      <c r="R51" t="s">
        <v>1552</v>
      </c>
      <c r="S51" t="s">
        <v>1553</v>
      </c>
      <c r="T51" t="s">
        <v>1554</v>
      </c>
      <c r="U51" t="s">
        <v>969</v>
      </c>
      <c r="W51" t="s">
        <v>1555</v>
      </c>
      <c r="X51" t="s">
        <v>1556</v>
      </c>
      <c r="Y51" t="s">
        <v>268</v>
      </c>
      <c r="AB51" t="s">
        <v>883</v>
      </c>
      <c r="AC51" t="s">
        <v>1557</v>
      </c>
      <c r="AD51" t="s">
        <v>1558</v>
      </c>
      <c r="AE51" t="str">
        <f t="shared" si="4"/>
        <v>Coxley Tree Care Ltd</v>
      </c>
      <c r="AF51">
        <f t="shared" si="5"/>
        <v>46086</v>
      </c>
      <c r="AG51">
        <f t="shared" si="6"/>
        <v>1</v>
      </c>
      <c r="AH51">
        <f t="shared" si="7"/>
        <v>4</v>
      </c>
    </row>
    <row r="52" spans="1:34" x14ac:dyDescent="0.15">
      <c r="A52" t="s">
        <v>253</v>
      </c>
      <c r="B52" t="s">
        <v>1129</v>
      </c>
      <c r="C52" t="s">
        <v>766</v>
      </c>
      <c r="D52" t="s">
        <v>902</v>
      </c>
      <c r="E52" t="s">
        <v>902</v>
      </c>
      <c r="F52" t="s">
        <v>785</v>
      </c>
      <c r="H52" t="s">
        <v>903</v>
      </c>
      <c r="I52" t="s">
        <v>1546</v>
      </c>
      <c r="J52" t="s">
        <v>1547</v>
      </c>
      <c r="K52" t="s">
        <v>1227</v>
      </c>
      <c r="L52" t="s">
        <v>1548</v>
      </c>
      <c r="M52" t="s">
        <v>1559</v>
      </c>
      <c r="N52" t="s">
        <v>1560</v>
      </c>
      <c r="O52" t="s">
        <v>1561</v>
      </c>
      <c r="P52" t="s">
        <v>1322</v>
      </c>
      <c r="Q52" t="s">
        <v>966</v>
      </c>
      <c r="R52" t="s">
        <v>966</v>
      </c>
      <c r="S52" t="s">
        <v>1272</v>
      </c>
      <c r="T52" t="s">
        <v>968</v>
      </c>
      <c r="U52" t="s">
        <v>982</v>
      </c>
      <c r="V52" t="s">
        <v>1397</v>
      </c>
      <c r="X52" t="s">
        <v>1562</v>
      </c>
      <c r="Y52" t="s">
        <v>268</v>
      </c>
      <c r="AB52" t="s">
        <v>883</v>
      </c>
      <c r="AC52" t="s">
        <v>1563</v>
      </c>
      <c r="AD52" t="s">
        <v>1564</v>
      </c>
      <c r="AE52" t="str">
        <f t="shared" si="4"/>
        <v>Coxley Tree Care Ltd</v>
      </c>
      <c r="AF52">
        <f t="shared" si="5"/>
        <v>46086</v>
      </c>
      <c r="AG52">
        <f t="shared" si="6"/>
        <v>0</v>
      </c>
      <c r="AH52">
        <f t="shared" si="7"/>
        <v>3</v>
      </c>
    </row>
    <row r="53" spans="1:34" x14ac:dyDescent="0.15">
      <c r="A53" t="s">
        <v>253</v>
      </c>
      <c r="B53" t="s">
        <v>1403</v>
      </c>
      <c r="C53" t="s">
        <v>766</v>
      </c>
      <c r="D53" t="s">
        <v>902</v>
      </c>
      <c r="E53" t="s">
        <v>902</v>
      </c>
      <c r="F53" t="s">
        <v>785</v>
      </c>
      <c r="H53" t="s">
        <v>903</v>
      </c>
      <c r="I53" t="s">
        <v>1565</v>
      </c>
      <c r="K53" t="s">
        <v>906</v>
      </c>
      <c r="L53" t="s">
        <v>1406</v>
      </c>
      <c r="M53" t="s">
        <v>1566</v>
      </c>
      <c r="N53" t="s">
        <v>1567</v>
      </c>
      <c r="O53" t="s">
        <v>1568</v>
      </c>
      <c r="P53" t="s">
        <v>1254</v>
      </c>
      <c r="Q53" t="s">
        <v>1569</v>
      </c>
      <c r="R53" t="s">
        <v>1569</v>
      </c>
      <c r="S53" t="s">
        <v>1570</v>
      </c>
      <c r="T53" t="s">
        <v>968</v>
      </c>
      <c r="U53" t="s">
        <v>969</v>
      </c>
      <c r="V53" t="s">
        <v>1571</v>
      </c>
      <c r="X53" t="s">
        <v>1572</v>
      </c>
      <c r="Y53" t="s">
        <v>268</v>
      </c>
      <c r="AB53" t="s">
        <v>883</v>
      </c>
      <c r="AC53" t="s">
        <v>1573</v>
      </c>
      <c r="AD53" t="s">
        <v>1574</v>
      </c>
      <c r="AE53" t="str">
        <f t="shared" si="4"/>
        <v>New Leaf Arb Ltd</v>
      </c>
      <c r="AF53">
        <f t="shared" si="5"/>
        <v>46086</v>
      </c>
      <c r="AG53">
        <f t="shared" si="6"/>
        <v>0</v>
      </c>
      <c r="AH53">
        <f t="shared" si="7"/>
        <v>4</v>
      </c>
    </row>
    <row r="54" spans="1:34" x14ac:dyDescent="0.15">
      <c r="A54" t="s">
        <v>253</v>
      </c>
      <c r="B54" t="s">
        <v>986</v>
      </c>
      <c r="C54" t="s">
        <v>766</v>
      </c>
      <c r="D54" t="s">
        <v>902</v>
      </c>
      <c r="E54" t="s">
        <v>902</v>
      </c>
      <c r="F54" t="s">
        <v>785</v>
      </c>
      <c r="H54" t="s">
        <v>903</v>
      </c>
      <c r="I54" t="s">
        <v>1365</v>
      </c>
      <c r="K54" t="s">
        <v>1366</v>
      </c>
      <c r="L54" t="s">
        <v>1367</v>
      </c>
      <c r="M54" t="s">
        <v>1368</v>
      </c>
      <c r="N54" t="s">
        <v>1369</v>
      </c>
      <c r="O54" t="s">
        <v>1370</v>
      </c>
      <c r="P54" t="s">
        <v>1371</v>
      </c>
      <c r="Q54" t="s">
        <v>1372</v>
      </c>
      <c r="R54" t="s">
        <v>1372</v>
      </c>
      <c r="S54" t="s">
        <v>1297</v>
      </c>
      <c r="T54" t="s">
        <v>968</v>
      </c>
      <c r="U54" t="s">
        <v>982</v>
      </c>
      <c r="V54" t="s">
        <v>1373</v>
      </c>
      <c r="X54" t="s">
        <v>994</v>
      </c>
      <c r="Y54" t="s">
        <v>268</v>
      </c>
      <c r="AB54" t="s">
        <v>883</v>
      </c>
      <c r="AC54" t="s">
        <v>1575</v>
      </c>
      <c r="AD54" t="s">
        <v>1576</v>
      </c>
      <c r="AE54" t="str">
        <f t="shared" si="4"/>
        <v>Booker Tree Care</v>
      </c>
      <c r="AF54">
        <f t="shared" si="5"/>
        <v>46080</v>
      </c>
      <c r="AG54">
        <f t="shared" si="6"/>
        <v>0</v>
      </c>
      <c r="AH54">
        <f t="shared" si="7"/>
        <v>3</v>
      </c>
    </row>
    <row r="55" spans="1:34" x14ac:dyDescent="0.15">
      <c r="A55" t="s">
        <v>253</v>
      </c>
      <c r="B55" t="s">
        <v>1577</v>
      </c>
      <c r="C55" t="s">
        <v>766</v>
      </c>
      <c r="D55" t="s">
        <v>902</v>
      </c>
      <c r="E55" t="s">
        <v>902</v>
      </c>
      <c r="F55" t="s">
        <v>785</v>
      </c>
      <c r="H55" t="s">
        <v>903</v>
      </c>
      <c r="I55" t="s">
        <v>1578</v>
      </c>
      <c r="J55" t="s">
        <v>1579</v>
      </c>
      <c r="K55" t="s">
        <v>1091</v>
      </c>
      <c r="L55" t="s">
        <v>1580</v>
      </c>
      <c r="M55" t="s">
        <v>1581</v>
      </c>
      <c r="N55" t="s">
        <v>1582</v>
      </c>
      <c r="O55" t="s">
        <v>1583</v>
      </c>
      <c r="P55" t="s">
        <v>1584</v>
      </c>
      <c r="Q55" t="s">
        <v>1585</v>
      </c>
      <c r="R55" t="s">
        <v>1585</v>
      </c>
      <c r="S55" t="s">
        <v>1204</v>
      </c>
      <c r="T55" t="s">
        <v>968</v>
      </c>
      <c r="U55" t="s">
        <v>969</v>
      </c>
      <c r="V55" t="s">
        <v>1586</v>
      </c>
      <c r="X55" t="s">
        <v>1587</v>
      </c>
      <c r="Y55" t="s">
        <v>268</v>
      </c>
      <c r="AB55" t="s">
        <v>883</v>
      </c>
      <c r="AC55" t="s">
        <v>1588</v>
      </c>
      <c r="AD55" t="s">
        <v>1589</v>
      </c>
      <c r="AE55" t="str">
        <f t="shared" si="4"/>
        <v>Lincolnshire Hardwoods Ltd</v>
      </c>
      <c r="AF55">
        <f t="shared" si="5"/>
        <v>46085</v>
      </c>
      <c r="AG55">
        <f t="shared" si="6"/>
        <v>0</v>
      </c>
      <c r="AH55">
        <f t="shared" si="7"/>
        <v>4</v>
      </c>
    </row>
    <row r="56" spans="1:34" x14ac:dyDescent="0.15">
      <c r="A56" t="s">
        <v>253</v>
      </c>
      <c r="B56" t="s">
        <v>1590</v>
      </c>
      <c r="C56" t="s">
        <v>766</v>
      </c>
      <c r="D56" t="s">
        <v>957</v>
      </c>
      <c r="E56" t="s">
        <v>957</v>
      </c>
      <c r="F56" t="s">
        <v>785</v>
      </c>
      <c r="H56" t="s">
        <v>958</v>
      </c>
      <c r="I56" t="s">
        <v>1591</v>
      </c>
      <c r="J56" t="s">
        <v>1592</v>
      </c>
      <c r="K56" t="s">
        <v>1291</v>
      </c>
      <c r="L56" t="s">
        <v>1593</v>
      </c>
      <c r="M56" t="s">
        <v>1594</v>
      </c>
      <c r="N56" t="s">
        <v>1595</v>
      </c>
      <c r="O56" t="s">
        <v>1596</v>
      </c>
      <c r="P56" t="s">
        <v>1244</v>
      </c>
      <c r="Q56" t="s">
        <v>1005</v>
      </c>
      <c r="R56" t="s">
        <v>1254</v>
      </c>
      <c r="S56" t="s">
        <v>1323</v>
      </c>
      <c r="T56" t="s">
        <v>1597</v>
      </c>
      <c r="U56" t="s">
        <v>982</v>
      </c>
      <c r="V56" t="s">
        <v>1598</v>
      </c>
      <c r="W56" t="s">
        <v>1141</v>
      </c>
      <c r="X56" t="s">
        <v>1599</v>
      </c>
      <c r="Y56" t="s">
        <v>268</v>
      </c>
      <c r="AB56" t="s">
        <v>1600</v>
      </c>
      <c r="AC56" t="s">
        <v>1601</v>
      </c>
      <c r="AD56" t="s">
        <v>1602</v>
      </c>
      <c r="AE56" t="str">
        <f t="shared" si="4"/>
        <v>HJ Tree Surgeons Limited</v>
      </c>
      <c r="AF56">
        <f t="shared" si="5"/>
        <v>46085</v>
      </c>
      <c r="AG56">
        <f t="shared" si="6"/>
        <v>1</v>
      </c>
      <c r="AH56">
        <f t="shared" si="7"/>
        <v>3</v>
      </c>
    </row>
    <row r="57" spans="1:34" x14ac:dyDescent="0.15">
      <c r="A57" t="s">
        <v>253</v>
      </c>
      <c r="B57" t="s">
        <v>1341</v>
      </c>
      <c r="C57" t="s">
        <v>766</v>
      </c>
      <c r="D57" t="s">
        <v>902</v>
      </c>
      <c r="E57" t="s">
        <v>902</v>
      </c>
      <c r="F57" t="s">
        <v>785</v>
      </c>
      <c r="H57" t="s">
        <v>903</v>
      </c>
      <c r="I57" t="s">
        <v>1603</v>
      </c>
      <c r="J57" t="s">
        <v>1604</v>
      </c>
      <c r="K57" t="s">
        <v>1091</v>
      </c>
      <c r="L57" t="s">
        <v>1605</v>
      </c>
      <c r="M57" t="s">
        <v>1606</v>
      </c>
      <c r="N57" t="s">
        <v>1607</v>
      </c>
      <c r="O57" t="s">
        <v>1608</v>
      </c>
      <c r="P57" t="s">
        <v>1609</v>
      </c>
      <c r="Q57" t="s">
        <v>1610</v>
      </c>
      <c r="R57" t="s">
        <v>1395</v>
      </c>
      <c r="S57" t="s">
        <v>1441</v>
      </c>
      <c r="T57" t="s">
        <v>1611</v>
      </c>
      <c r="U57" t="s">
        <v>969</v>
      </c>
      <c r="V57" t="s">
        <v>1612</v>
      </c>
      <c r="X57" t="s">
        <v>1613</v>
      </c>
      <c r="Y57" t="s">
        <v>268</v>
      </c>
      <c r="AB57" t="s">
        <v>883</v>
      </c>
      <c r="AC57" t="s">
        <v>1614</v>
      </c>
      <c r="AD57" t="s">
        <v>1615</v>
      </c>
      <c r="AE57" t="str">
        <f t="shared" si="4"/>
        <v>Lincolnshire Hardwoods Ltd</v>
      </c>
      <c r="AF57">
        <f t="shared" si="5"/>
        <v>46085</v>
      </c>
      <c r="AG57">
        <f t="shared" si="6"/>
        <v>0</v>
      </c>
      <c r="AH57">
        <f t="shared" si="7"/>
        <v>4</v>
      </c>
    </row>
    <row r="58" spans="1:34" x14ac:dyDescent="0.15">
      <c r="A58" t="s">
        <v>253</v>
      </c>
      <c r="B58" t="s">
        <v>1088</v>
      </c>
      <c r="C58" t="s">
        <v>766</v>
      </c>
      <c r="D58" t="s">
        <v>902</v>
      </c>
      <c r="E58" t="s">
        <v>902</v>
      </c>
      <c r="F58" t="s">
        <v>785</v>
      </c>
      <c r="H58" t="s">
        <v>903</v>
      </c>
      <c r="I58" t="s">
        <v>1616</v>
      </c>
      <c r="J58" t="s">
        <v>1617</v>
      </c>
      <c r="K58" t="s">
        <v>913</v>
      </c>
      <c r="L58" t="s">
        <v>1618</v>
      </c>
      <c r="M58" t="s">
        <v>1619</v>
      </c>
      <c r="N58" t="s">
        <v>1620</v>
      </c>
      <c r="O58" t="s">
        <v>1621</v>
      </c>
      <c r="P58" t="s">
        <v>1322</v>
      </c>
      <c r="Q58" t="s">
        <v>1244</v>
      </c>
      <c r="R58" t="s">
        <v>1622</v>
      </c>
      <c r="S58" t="s">
        <v>1623</v>
      </c>
      <c r="T58" t="s">
        <v>1624</v>
      </c>
      <c r="U58" t="s">
        <v>969</v>
      </c>
      <c r="X58" t="s">
        <v>1625</v>
      </c>
      <c r="Y58" t="s">
        <v>268</v>
      </c>
      <c r="AB58" t="s">
        <v>883</v>
      </c>
      <c r="AC58" t="s">
        <v>1626</v>
      </c>
      <c r="AD58" t="s">
        <v>1627</v>
      </c>
      <c r="AE58" t="str">
        <f t="shared" si="4"/>
        <v>DE UA Arb Neil Squires</v>
      </c>
      <c r="AF58">
        <f t="shared" si="5"/>
        <v>46084</v>
      </c>
      <c r="AG58">
        <f t="shared" si="6"/>
        <v>0</v>
      </c>
      <c r="AH58">
        <f t="shared" si="7"/>
        <v>4</v>
      </c>
    </row>
    <row r="59" spans="1:34" x14ac:dyDescent="0.15">
      <c r="A59" t="s">
        <v>253</v>
      </c>
      <c r="B59" t="s">
        <v>986</v>
      </c>
      <c r="C59" t="s">
        <v>766</v>
      </c>
      <c r="D59" t="s">
        <v>902</v>
      </c>
      <c r="E59" t="s">
        <v>902</v>
      </c>
      <c r="F59" t="s">
        <v>785</v>
      </c>
      <c r="H59" t="s">
        <v>903</v>
      </c>
      <c r="I59" t="s">
        <v>1628</v>
      </c>
      <c r="K59" t="s">
        <v>1528</v>
      </c>
      <c r="L59" t="s">
        <v>1629</v>
      </c>
      <c r="M59" t="s">
        <v>1630</v>
      </c>
      <c r="N59" t="s">
        <v>1631</v>
      </c>
      <c r="O59" t="s">
        <v>1632</v>
      </c>
      <c r="P59" t="s">
        <v>1171</v>
      </c>
      <c r="Q59" t="s">
        <v>1136</v>
      </c>
      <c r="R59" t="s">
        <v>1136</v>
      </c>
      <c r="S59" t="s">
        <v>1323</v>
      </c>
      <c r="T59" t="s">
        <v>968</v>
      </c>
      <c r="U59" t="s">
        <v>982</v>
      </c>
      <c r="V59" t="s">
        <v>1633</v>
      </c>
      <c r="X59" t="s">
        <v>1634</v>
      </c>
      <c r="Y59" t="s">
        <v>268</v>
      </c>
      <c r="AB59" t="s">
        <v>883</v>
      </c>
      <c r="AC59" t="s">
        <v>1635</v>
      </c>
      <c r="AD59" t="s">
        <v>1636</v>
      </c>
      <c r="AE59" t="str">
        <f t="shared" si="4"/>
        <v>EWS Tree Services Ltd</v>
      </c>
      <c r="AF59">
        <f t="shared" si="5"/>
        <v>46084</v>
      </c>
      <c r="AG59">
        <f t="shared" si="6"/>
        <v>0</v>
      </c>
      <c r="AH59">
        <f t="shared" si="7"/>
        <v>3</v>
      </c>
    </row>
    <row r="60" spans="1:34" x14ac:dyDescent="0.15">
      <c r="A60" t="s">
        <v>253</v>
      </c>
      <c r="B60" t="s">
        <v>1050</v>
      </c>
      <c r="C60" t="s">
        <v>766</v>
      </c>
      <c r="D60" t="s">
        <v>767</v>
      </c>
      <c r="E60" t="s">
        <v>767</v>
      </c>
      <c r="F60" t="s">
        <v>785</v>
      </c>
      <c r="H60" t="s">
        <v>808</v>
      </c>
      <c r="I60" t="s">
        <v>1637</v>
      </c>
      <c r="K60" t="s">
        <v>1052</v>
      </c>
      <c r="L60" t="s">
        <v>1212</v>
      </c>
      <c r="M60" t="s">
        <v>1638</v>
      </c>
      <c r="N60" t="s">
        <v>1639</v>
      </c>
      <c r="O60" t="s">
        <v>1640</v>
      </c>
      <c r="P60" t="s">
        <v>1641</v>
      </c>
      <c r="Q60" t="s">
        <v>1138</v>
      </c>
      <c r="R60" t="s">
        <v>1096</v>
      </c>
      <c r="S60" t="s">
        <v>1642</v>
      </c>
      <c r="T60" t="s">
        <v>1643</v>
      </c>
      <c r="U60" t="s">
        <v>1644</v>
      </c>
      <c r="V60" t="s">
        <v>1645</v>
      </c>
      <c r="W60" t="s">
        <v>1646</v>
      </c>
      <c r="X60" t="s">
        <v>1647</v>
      </c>
      <c r="Y60" t="s">
        <v>268</v>
      </c>
      <c r="AB60" t="s">
        <v>1648</v>
      </c>
      <c r="AC60" t="s">
        <v>1649</v>
      </c>
      <c r="AD60" t="s">
        <v>1650</v>
      </c>
      <c r="AE60" t="str">
        <f t="shared" si="4"/>
        <v>Ashdown Tree Limited</v>
      </c>
      <c r="AF60">
        <f t="shared" si="5"/>
        <v>46084</v>
      </c>
      <c r="AG60">
        <f t="shared" si="6"/>
        <v>3</v>
      </c>
      <c r="AH60">
        <f t="shared" si="7"/>
        <v>1</v>
      </c>
    </row>
    <row r="61" spans="1:34" x14ac:dyDescent="0.15">
      <c r="A61" t="s">
        <v>253</v>
      </c>
      <c r="B61" t="s">
        <v>1035</v>
      </c>
      <c r="C61" t="s">
        <v>766</v>
      </c>
      <c r="D61" t="s">
        <v>767</v>
      </c>
      <c r="E61" t="s">
        <v>767</v>
      </c>
      <c r="F61" t="s">
        <v>785</v>
      </c>
      <c r="H61" t="s">
        <v>808</v>
      </c>
      <c r="I61" t="s">
        <v>1651</v>
      </c>
      <c r="J61" t="s">
        <v>1652</v>
      </c>
      <c r="K61" t="s">
        <v>1037</v>
      </c>
      <c r="L61" t="s">
        <v>1653</v>
      </c>
      <c r="M61" t="s">
        <v>1654</v>
      </c>
      <c r="N61" t="s">
        <v>1655</v>
      </c>
      <c r="O61" t="s">
        <v>1656</v>
      </c>
      <c r="P61" t="s">
        <v>1371</v>
      </c>
      <c r="Q61" t="s">
        <v>1282</v>
      </c>
      <c r="R61" t="s">
        <v>1282</v>
      </c>
      <c r="S61" t="s">
        <v>1245</v>
      </c>
      <c r="T61" t="s">
        <v>968</v>
      </c>
      <c r="U61" t="s">
        <v>982</v>
      </c>
      <c r="V61" t="s">
        <v>1586</v>
      </c>
      <c r="X61" t="s">
        <v>1657</v>
      </c>
      <c r="Y61" t="s">
        <v>268</v>
      </c>
      <c r="AB61" t="s">
        <v>883</v>
      </c>
      <c r="AC61" t="s">
        <v>1658</v>
      </c>
      <c r="AD61" t="s">
        <v>1659</v>
      </c>
      <c r="AE61" t="str">
        <f t="shared" si="4"/>
        <v>D &amp; R Landscapes</v>
      </c>
      <c r="AF61">
        <f t="shared" si="5"/>
        <v>46084</v>
      </c>
      <c r="AG61">
        <f t="shared" si="6"/>
        <v>0</v>
      </c>
      <c r="AH61">
        <f t="shared" si="7"/>
        <v>3</v>
      </c>
    </row>
    <row r="62" spans="1:34" x14ac:dyDescent="0.15">
      <c r="A62" t="s">
        <v>253</v>
      </c>
      <c r="B62" t="s">
        <v>1101</v>
      </c>
      <c r="C62" t="s">
        <v>766</v>
      </c>
      <c r="D62" t="s">
        <v>902</v>
      </c>
      <c r="E62" t="s">
        <v>902</v>
      </c>
      <c r="F62" t="s">
        <v>785</v>
      </c>
      <c r="H62" t="s">
        <v>903</v>
      </c>
      <c r="I62" t="s">
        <v>1660</v>
      </c>
      <c r="K62" t="s">
        <v>1104</v>
      </c>
      <c r="L62" t="s">
        <v>1105</v>
      </c>
      <c r="M62" t="s">
        <v>1661</v>
      </c>
      <c r="N62" t="s">
        <v>1662</v>
      </c>
      <c r="O62" t="s">
        <v>1663</v>
      </c>
      <c r="P62" t="s">
        <v>1664</v>
      </c>
      <c r="Q62" t="s">
        <v>1322</v>
      </c>
      <c r="R62" t="s">
        <v>1322</v>
      </c>
      <c r="S62" t="s">
        <v>1396</v>
      </c>
      <c r="T62" t="s">
        <v>968</v>
      </c>
      <c r="U62" t="s">
        <v>982</v>
      </c>
      <c r="X62" t="s">
        <v>1665</v>
      </c>
      <c r="Y62" t="s">
        <v>268</v>
      </c>
      <c r="AB62" t="s">
        <v>883</v>
      </c>
      <c r="AC62" t="s">
        <v>1666</v>
      </c>
      <c r="AD62" t="s">
        <v>1667</v>
      </c>
      <c r="AE62" t="str">
        <f t="shared" si="4"/>
        <v>Belvoir Tree Care</v>
      </c>
      <c r="AF62">
        <f t="shared" si="5"/>
        <v>46084</v>
      </c>
      <c r="AG62">
        <f t="shared" si="6"/>
        <v>0</v>
      </c>
      <c r="AH62">
        <f t="shared" si="7"/>
        <v>3</v>
      </c>
    </row>
    <row r="63" spans="1:34" x14ac:dyDescent="0.15">
      <c r="A63" t="s">
        <v>253</v>
      </c>
      <c r="B63" t="s">
        <v>1668</v>
      </c>
      <c r="C63" t="s">
        <v>766</v>
      </c>
      <c r="D63" t="s">
        <v>767</v>
      </c>
      <c r="E63" t="s">
        <v>767</v>
      </c>
      <c r="F63" t="s">
        <v>785</v>
      </c>
      <c r="H63" t="s">
        <v>808</v>
      </c>
      <c r="I63" t="s">
        <v>1669</v>
      </c>
      <c r="J63" t="s">
        <v>1670</v>
      </c>
      <c r="K63" t="s">
        <v>1037</v>
      </c>
      <c r="L63" t="s">
        <v>1671</v>
      </c>
      <c r="M63" t="s">
        <v>1672</v>
      </c>
      <c r="N63" t="s">
        <v>1673</v>
      </c>
      <c r="O63" t="s">
        <v>1490</v>
      </c>
      <c r="P63" t="s">
        <v>981</v>
      </c>
      <c r="Q63" t="s">
        <v>1171</v>
      </c>
      <c r="R63" t="s">
        <v>1171</v>
      </c>
      <c r="S63" t="s">
        <v>1517</v>
      </c>
      <c r="T63" t="s">
        <v>968</v>
      </c>
      <c r="U63" t="s">
        <v>969</v>
      </c>
      <c r="V63" t="s">
        <v>1674</v>
      </c>
      <c r="X63" t="s">
        <v>1675</v>
      </c>
      <c r="Y63" t="s">
        <v>268</v>
      </c>
      <c r="AB63" t="s">
        <v>883</v>
      </c>
      <c r="AC63" t="s">
        <v>1676</v>
      </c>
      <c r="AD63" t="s">
        <v>1677</v>
      </c>
      <c r="AE63" t="str">
        <f t="shared" si="4"/>
        <v>D &amp; R Landscapes</v>
      </c>
      <c r="AF63">
        <f t="shared" si="5"/>
        <v>46084</v>
      </c>
      <c r="AG63">
        <f t="shared" si="6"/>
        <v>0</v>
      </c>
      <c r="AH63">
        <f t="shared" si="7"/>
        <v>4</v>
      </c>
    </row>
    <row r="64" spans="1:34" x14ac:dyDescent="0.15">
      <c r="A64" t="s">
        <v>253</v>
      </c>
      <c r="B64" t="s">
        <v>1668</v>
      </c>
      <c r="C64" t="s">
        <v>766</v>
      </c>
      <c r="D64" t="s">
        <v>767</v>
      </c>
      <c r="E64" t="s">
        <v>767</v>
      </c>
      <c r="F64" t="s">
        <v>785</v>
      </c>
      <c r="H64" t="s">
        <v>808</v>
      </c>
      <c r="I64" t="s">
        <v>1669</v>
      </c>
      <c r="J64" t="s">
        <v>1670</v>
      </c>
      <c r="K64" t="s">
        <v>1037</v>
      </c>
      <c r="L64" t="s">
        <v>1671</v>
      </c>
      <c r="M64" t="s">
        <v>1678</v>
      </c>
      <c r="N64" t="s">
        <v>1679</v>
      </c>
      <c r="O64" t="s">
        <v>1370</v>
      </c>
      <c r="P64" t="s">
        <v>1372</v>
      </c>
      <c r="Q64" t="s">
        <v>1372</v>
      </c>
      <c r="R64" t="s">
        <v>1372</v>
      </c>
      <c r="S64" t="s">
        <v>1204</v>
      </c>
      <c r="T64" t="s">
        <v>968</v>
      </c>
      <c r="U64" t="s">
        <v>982</v>
      </c>
      <c r="V64" t="s">
        <v>1680</v>
      </c>
      <c r="X64" t="s">
        <v>1681</v>
      </c>
      <c r="Y64" t="s">
        <v>268</v>
      </c>
      <c r="AB64" t="s">
        <v>883</v>
      </c>
      <c r="AC64" t="s">
        <v>1682</v>
      </c>
      <c r="AD64" t="s">
        <v>1683</v>
      </c>
      <c r="AE64" t="str">
        <f t="shared" si="4"/>
        <v>D &amp; R Landscapes</v>
      </c>
      <c r="AF64">
        <f t="shared" si="5"/>
        <v>46084</v>
      </c>
      <c r="AG64">
        <f t="shared" si="6"/>
        <v>0</v>
      </c>
      <c r="AH64">
        <f t="shared" si="7"/>
        <v>3</v>
      </c>
    </row>
    <row r="65" spans="1:34" x14ac:dyDescent="0.15">
      <c r="A65" t="s">
        <v>253</v>
      </c>
      <c r="B65" t="s">
        <v>986</v>
      </c>
      <c r="C65" t="s">
        <v>766</v>
      </c>
      <c r="D65" t="s">
        <v>902</v>
      </c>
      <c r="E65" t="s">
        <v>902</v>
      </c>
      <c r="F65" t="s">
        <v>785</v>
      </c>
      <c r="G65" t="s">
        <v>1684</v>
      </c>
      <c r="H65" t="s">
        <v>903</v>
      </c>
      <c r="I65" t="s">
        <v>1536</v>
      </c>
      <c r="K65" t="s">
        <v>1528</v>
      </c>
      <c r="L65" t="s">
        <v>1537</v>
      </c>
      <c r="M65" t="s">
        <v>1538</v>
      </c>
      <c r="N65" t="s">
        <v>1539</v>
      </c>
      <c r="O65" t="s">
        <v>1540</v>
      </c>
      <c r="P65" t="s">
        <v>1685</v>
      </c>
      <c r="Q65" t="s">
        <v>1542</v>
      </c>
      <c r="R65" t="s">
        <v>1542</v>
      </c>
      <c r="S65" t="s">
        <v>1323</v>
      </c>
      <c r="T65" t="s">
        <v>968</v>
      </c>
      <c r="U65" t="s">
        <v>982</v>
      </c>
      <c r="V65" t="s">
        <v>1543</v>
      </c>
      <c r="X65" t="s">
        <v>994</v>
      </c>
      <c r="Y65" t="s">
        <v>268</v>
      </c>
      <c r="AB65" t="s">
        <v>883</v>
      </c>
      <c r="AC65" t="s">
        <v>1686</v>
      </c>
      <c r="AD65" t="s">
        <v>1687</v>
      </c>
      <c r="AE65" t="str">
        <f t="shared" si="4"/>
        <v>EWS Tree Services Ltd</v>
      </c>
      <c r="AF65">
        <f t="shared" si="5"/>
        <v>46086</v>
      </c>
      <c r="AG65">
        <f t="shared" si="6"/>
        <v>0</v>
      </c>
      <c r="AH65">
        <f t="shared" si="7"/>
        <v>3</v>
      </c>
    </row>
    <row r="66" spans="1:34" x14ac:dyDescent="0.15">
      <c r="A66" t="s">
        <v>253</v>
      </c>
      <c r="B66" t="s">
        <v>888</v>
      </c>
      <c r="C66" t="s">
        <v>766</v>
      </c>
      <c r="D66" t="s">
        <v>767</v>
      </c>
      <c r="E66" t="s">
        <v>767</v>
      </c>
      <c r="F66" t="s">
        <v>785</v>
      </c>
      <c r="G66" t="s">
        <v>1688</v>
      </c>
      <c r="H66" t="s">
        <v>808</v>
      </c>
      <c r="I66" t="s">
        <v>1689</v>
      </c>
      <c r="K66" t="s">
        <v>891</v>
      </c>
      <c r="L66" t="s">
        <v>1690</v>
      </c>
      <c r="M66" t="s">
        <v>1691</v>
      </c>
      <c r="N66" t="s">
        <v>1692</v>
      </c>
      <c r="O66" t="s">
        <v>1693</v>
      </c>
      <c r="P66" t="s">
        <v>1150</v>
      </c>
      <c r="Q66" t="s">
        <v>1005</v>
      </c>
      <c r="R66" t="s">
        <v>1254</v>
      </c>
      <c r="S66" t="s">
        <v>1464</v>
      </c>
      <c r="T66" t="s">
        <v>1597</v>
      </c>
      <c r="U66" t="s">
        <v>1644</v>
      </c>
      <c r="W66" t="s">
        <v>1072</v>
      </c>
      <c r="X66" t="s">
        <v>1694</v>
      </c>
      <c r="Y66" t="s">
        <v>268</v>
      </c>
      <c r="AB66" t="s">
        <v>1695</v>
      </c>
      <c r="AC66" t="s">
        <v>1696</v>
      </c>
      <c r="AD66" t="s">
        <v>1697</v>
      </c>
      <c r="AE66" t="str">
        <f t="shared" si="4"/>
        <v>Green Net Eco Ltd</v>
      </c>
      <c r="AF66">
        <f t="shared" si="5"/>
        <v>46093</v>
      </c>
      <c r="AG66">
        <f t="shared" si="6"/>
        <v>1</v>
      </c>
      <c r="AH66">
        <f t="shared" si="7"/>
        <v>2</v>
      </c>
    </row>
    <row r="67" spans="1:34" x14ac:dyDescent="0.15">
      <c r="A67" t="s">
        <v>253</v>
      </c>
      <c r="B67" t="s">
        <v>876</v>
      </c>
      <c r="C67" t="s">
        <v>766</v>
      </c>
      <c r="D67" t="s">
        <v>767</v>
      </c>
      <c r="E67" t="s">
        <v>767</v>
      </c>
      <c r="F67" t="s">
        <v>785</v>
      </c>
      <c r="G67" t="s">
        <v>1688</v>
      </c>
      <c r="H67" t="s">
        <v>808</v>
      </c>
      <c r="I67" t="s">
        <v>1698</v>
      </c>
      <c r="K67" t="s">
        <v>829</v>
      </c>
      <c r="L67" t="s">
        <v>1699</v>
      </c>
      <c r="M67" t="s">
        <v>1700</v>
      </c>
      <c r="N67" t="s">
        <v>1701</v>
      </c>
      <c r="O67" t="s">
        <v>1702</v>
      </c>
      <c r="P67" t="s">
        <v>1159</v>
      </c>
      <c r="Q67" t="s">
        <v>1150</v>
      </c>
      <c r="R67" t="s">
        <v>1150</v>
      </c>
      <c r="S67" t="s">
        <v>1160</v>
      </c>
      <c r="T67" t="s">
        <v>968</v>
      </c>
      <c r="U67" t="s">
        <v>982</v>
      </c>
      <c r="X67" t="s">
        <v>1703</v>
      </c>
      <c r="Y67" t="s">
        <v>268</v>
      </c>
      <c r="AB67" t="s">
        <v>883</v>
      </c>
      <c r="AC67" t="s">
        <v>1704</v>
      </c>
      <c r="AD67" t="s">
        <v>1705</v>
      </c>
      <c r="AE67" t="str">
        <f t="shared" si="4"/>
        <v>S6 Tree specialists Ltd</v>
      </c>
      <c r="AF67">
        <f t="shared" si="5"/>
        <v>46093</v>
      </c>
      <c r="AG67">
        <f t="shared" si="6"/>
        <v>0</v>
      </c>
      <c r="AH67">
        <f t="shared" si="7"/>
        <v>3</v>
      </c>
    </row>
    <row r="68" spans="1:34" x14ac:dyDescent="0.15">
      <c r="A68" t="s">
        <v>253</v>
      </c>
      <c r="B68" t="s">
        <v>876</v>
      </c>
      <c r="C68" t="s">
        <v>766</v>
      </c>
      <c r="D68" t="s">
        <v>767</v>
      </c>
      <c r="E68" t="s">
        <v>767</v>
      </c>
      <c r="F68" t="s">
        <v>785</v>
      </c>
      <c r="G68" t="s">
        <v>1688</v>
      </c>
      <c r="H68" t="s">
        <v>808</v>
      </c>
      <c r="I68" t="s">
        <v>1706</v>
      </c>
      <c r="J68" t="s">
        <v>1486</v>
      </c>
      <c r="K68" t="s">
        <v>829</v>
      </c>
      <c r="L68" t="s">
        <v>1699</v>
      </c>
      <c r="M68" t="s">
        <v>1707</v>
      </c>
      <c r="N68" t="s">
        <v>1700</v>
      </c>
      <c r="O68" t="s">
        <v>1708</v>
      </c>
      <c r="P68" t="s">
        <v>1136</v>
      </c>
      <c r="Q68" t="s">
        <v>1709</v>
      </c>
      <c r="R68" t="s">
        <v>1709</v>
      </c>
      <c r="S68" t="s">
        <v>1349</v>
      </c>
      <c r="T68" t="s">
        <v>968</v>
      </c>
      <c r="U68" t="s">
        <v>982</v>
      </c>
      <c r="X68" t="s">
        <v>1710</v>
      </c>
      <c r="Y68" t="s">
        <v>268</v>
      </c>
      <c r="AB68" t="s">
        <v>883</v>
      </c>
      <c r="AC68" t="s">
        <v>1711</v>
      </c>
      <c r="AD68" t="s">
        <v>1712</v>
      </c>
      <c r="AE68" t="str">
        <f t="shared" si="4"/>
        <v>S6 Tree specialists Ltd</v>
      </c>
      <c r="AF68">
        <f t="shared" si="5"/>
        <v>46093</v>
      </c>
      <c r="AG68">
        <f t="shared" si="6"/>
        <v>0</v>
      </c>
      <c r="AH68">
        <f t="shared" si="7"/>
        <v>3</v>
      </c>
    </row>
    <row r="69" spans="1:34" x14ac:dyDescent="0.15">
      <c r="A69" t="s">
        <v>253</v>
      </c>
      <c r="B69" t="s">
        <v>1046</v>
      </c>
      <c r="C69" t="s">
        <v>766</v>
      </c>
      <c r="D69" t="s">
        <v>767</v>
      </c>
      <c r="E69" t="s">
        <v>767</v>
      </c>
      <c r="F69" t="s">
        <v>785</v>
      </c>
      <c r="G69" t="s">
        <v>1688</v>
      </c>
      <c r="H69" t="s">
        <v>808</v>
      </c>
      <c r="I69" t="s">
        <v>1713</v>
      </c>
      <c r="K69" t="s">
        <v>891</v>
      </c>
      <c r="L69" t="s">
        <v>1714</v>
      </c>
      <c r="M69" t="s">
        <v>1715</v>
      </c>
      <c r="N69" t="s">
        <v>1716</v>
      </c>
      <c r="O69" t="s">
        <v>1717</v>
      </c>
      <c r="P69" t="s">
        <v>1718</v>
      </c>
      <c r="Q69" t="s">
        <v>1516</v>
      </c>
      <c r="R69" t="s">
        <v>1123</v>
      </c>
      <c r="S69" t="s">
        <v>1245</v>
      </c>
      <c r="T69" t="s">
        <v>1719</v>
      </c>
      <c r="U69" t="s">
        <v>982</v>
      </c>
      <c r="V69" t="s">
        <v>1720</v>
      </c>
      <c r="W69" t="s">
        <v>1721</v>
      </c>
      <c r="X69" t="s">
        <v>1722</v>
      </c>
      <c r="Y69" t="s">
        <v>268</v>
      </c>
      <c r="AB69" t="s">
        <v>1723</v>
      </c>
      <c r="AC69" t="s">
        <v>1724</v>
      </c>
      <c r="AD69" t="s">
        <v>1725</v>
      </c>
      <c r="AE69" t="str">
        <f t="shared" si="4"/>
        <v>Green Net Eco Ltd</v>
      </c>
      <c r="AF69">
        <f t="shared" si="5"/>
        <v>46092</v>
      </c>
      <c r="AG69">
        <f t="shared" si="6"/>
        <v>3</v>
      </c>
      <c r="AH69">
        <f t="shared" si="7"/>
        <v>3</v>
      </c>
    </row>
    <row r="70" spans="1:34" x14ac:dyDescent="0.15">
      <c r="A70" t="s">
        <v>253</v>
      </c>
      <c r="B70" t="s">
        <v>1050</v>
      </c>
      <c r="C70" t="s">
        <v>766</v>
      </c>
      <c r="D70" t="s">
        <v>767</v>
      </c>
      <c r="E70" t="s">
        <v>767</v>
      </c>
      <c r="F70" t="s">
        <v>785</v>
      </c>
      <c r="G70" t="s">
        <v>1726</v>
      </c>
      <c r="H70" t="s">
        <v>808</v>
      </c>
      <c r="I70" t="s">
        <v>1211</v>
      </c>
      <c r="K70" t="s">
        <v>1052</v>
      </c>
      <c r="L70" t="s">
        <v>1053</v>
      </c>
      <c r="M70" t="s">
        <v>1727</v>
      </c>
      <c r="N70" t="s">
        <v>1728</v>
      </c>
      <c r="O70" t="s">
        <v>1729</v>
      </c>
      <c r="P70" t="s">
        <v>1395</v>
      </c>
      <c r="Q70" t="s">
        <v>1111</v>
      </c>
      <c r="R70" t="s">
        <v>1137</v>
      </c>
      <c r="S70" t="s">
        <v>1323</v>
      </c>
      <c r="T70" t="s">
        <v>1730</v>
      </c>
      <c r="U70" t="s">
        <v>1644</v>
      </c>
      <c r="V70" t="s">
        <v>1731</v>
      </c>
      <c r="W70" t="s">
        <v>1732</v>
      </c>
      <c r="X70" t="s">
        <v>1733</v>
      </c>
      <c r="Y70" t="s">
        <v>268</v>
      </c>
      <c r="AB70" t="s">
        <v>1734</v>
      </c>
      <c r="AC70" t="s">
        <v>1735</v>
      </c>
      <c r="AD70" t="s">
        <v>1736</v>
      </c>
      <c r="AE70" t="str">
        <f t="shared" ref="AE70:AE101" si="8">IF(K70="","",TRIM(MID(K70,IF(ISNUMBER(VALUE(LEFT(K70,4))),6,1),200)))</f>
        <v>Ashdown Tree Limited</v>
      </c>
      <c r="AF70">
        <f t="shared" ref="AF70:AF101" si="9">IF(N70="","",IFERROR(DATEVALUE(LEFT(N70,10)),N70))</f>
        <v>46092</v>
      </c>
      <c r="AG70">
        <f t="shared" ref="AG70:AG101" si="10">IF(W70="",0,LEN(TRIM(W70))-LEN(SUBSTITUTE(TRIM(W70),",",""))+1)</f>
        <v>4</v>
      </c>
      <c r="AH70">
        <f t="shared" ref="AH70:AH101" si="11">IF(OR(N70="",K70=""),"",IF(U70="High Standards",4,IF(U70="Compliant",3,IF(U70="Minor Nonconformity",IF(AG70&gt;=2,1,2),""))))</f>
        <v>1</v>
      </c>
    </row>
    <row r="71" spans="1:34" x14ac:dyDescent="0.15">
      <c r="A71" t="s">
        <v>253</v>
      </c>
      <c r="B71" t="s">
        <v>876</v>
      </c>
      <c r="C71" t="s">
        <v>766</v>
      </c>
      <c r="D71" t="s">
        <v>767</v>
      </c>
      <c r="E71" t="s">
        <v>767</v>
      </c>
      <c r="F71" t="s">
        <v>785</v>
      </c>
      <c r="G71" t="s">
        <v>1688</v>
      </c>
      <c r="H71" t="s">
        <v>808</v>
      </c>
      <c r="I71" t="s">
        <v>1737</v>
      </c>
      <c r="J71" t="s">
        <v>1738</v>
      </c>
      <c r="K71" t="s">
        <v>1025</v>
      </c>
      <c r="L71" t="s">
        <v>1026</v>
      </c>
      <c r="M71" t="s">
        <v>1739</v>
      </c>
      <c r="N71" t="s">
        <v>1740</v>
      </c>
      <c r="O71" t="s">
        <v>1741</v>
      </c>
      <c r="P71" t="s">
        <v>1136</v>
      </c>
      <c r="Q71" t="s">
        <v>1742</v>
      </c>
      <c r="R71" t="s">
        <v>1742</v>
      </c>
      <c r="S71" t="s">
        <v>1245</v>
      </c>
      <c r="T71" t="s">
        <v>968</v>
      </c>
      <c r="U71" t="s">
        <v>969</v>
      </c>
      <c r="V71" t="s">
        <v>1743</v>
      </c>
      <c r="X71" t="s">
        <v>1744</v>
      </c>
      <c r="Y71" t="s">
        <v>279</v>
      </c>
      <c r="Z71" t="s">
        <v>1745</v>
      </c>
      <c r="AA71" t="s">
        <v>1746</v>
      </c>
      <c r="AB71" t="s">
        <v>883</v>
      </c>
      <c r="AC71" t="s">
        <v>1747</v>
      </c>
      <c r="AD71" t="s">
        <v>1748</v>
      </c>
      <c r="AE71" t="str">
        <f t="shared" si="8"/>
        <v>MAC Tree Surgery and Fencing Ltd</v>
      </c>
      <c r="AF71">
        <f t="shared" si="9"/>
        <v>46092</v>
      </c>
      <c r="AG71">
        <f t="shared" si="10"/>
        <v>0</v>
      </c>
      <c r="AH71">
        <f t="shared" si="11"/>
        <v>4</v>
      </c>
    </row>
    <row r="72" spans="1:34" x14ac:dyDescent="0.15">
      <c r="A72" t="s">
        <v>253</v>
      </c>
      <c r="B72" t="s">
        <v>876</v>
      </c>
      <c r="C72" t="s">
        <v>766</v>
      </c>
      <c r="D72" t="s">
        <v>767</v>
      </c>
      <c r="E72" t="s">
        <v>767</v>
      </c>
      <c r="F72" t="s">
        <v>785</v>
      </c>
      <c r="G72" t="s">
        <v>1688</v>
      </c>
      <c r="H72" t="s">
        <v>808</v>
      </c>
      <c r="I72" t="s">
        <v>1749</v>
      </c>
      <c r="J72" t="s">
        <v>1750</v>
      </c>
      <c r="K72" t="s">
        <v>1025</v>
      </c>
      <c r="L72" t="s">
        <v>1026</v>
      </c>
      <c r="M72" t="s">
        <v>1751</v>
      </c>
      <c r="N72" t="s">
        <v>1752</v>
      </c>
      <c r="O72" t="s">
        <v>1753</v>
      </c>
      <c r="P72" t="s">
        <v>1552</v>
      </c>
      <c r="Q72" t="s">
        <v>1552</v>
      </c>
      <c r="R72" t="s">
        <v>1552</v>
      </c>
      <c r="S72" t="s">
        <v>1204</v>
      </c>
      <c r="T72" t="s">
        <v>968</v>
      </c>
      <c r="U72" t="s">
        <v>982</v>
      </c>
      <c r="V72" t="s">
        <v>1754</v>
      </c>
      <c r="X72" t="s">
        <v>1755</v>
      </c>
      <c r="Y72" t="s">
        <v>279</v>
      </c>
      <c r="Z72" t="s">
        <v>1745</v>
      </c>
      <c r="AA72" t="s">
        <v>1756</v>
      </c>
      <c r="AB72" t="s">
        <v>883</v>
      </c>
      <c r="AC72" t="s">
        <v>1757</v>
      </c>
      <c r="AD72" t="s">
        <v>1758</v>
      </c>
      <c r="AE72" t="str">
        <f t="shared" si="8"/>
        <v>MAC Tree Surgery and Fencing Ltd</v>
      </c>
      <c r="AF72">
        <f t="shared" si="9"/>
        <v>46092</v>
      </c>
      <c r="AG72">
        <f t="shared" si="10"/>
        <v>0</v>
      </c>
      <c r="AH72">
        <f t="shared" si="11"/>
        <v>3</v>
      </c>
    </row>
    <row r="73" spans="1:34" x14ac:dyDescent="0.15">
      <c r="A73" t="s">
        <v>253</v>
      </c>
      <c r="B73" t="s">
        <v>1046</v>
      </c>
      <c r="C73" t="s">
        <v>766</v>
      </c>
      <c r="D73" t="s">
        <v>767</v>
      </c>
      <c r="E73" t="s">
        <v>767</v>
      </c>
      <c r="F73" t="s">
        <v>785</v>
      </c>
      <c r="G73" t="s">
        <v>1688</v>
      </c>
      <c r="H73" t="s">
        <v>808</v>
      </c>
      <c r="I73" t="s">
        <v>1759</v>
      </c>
      <c r="K73" t="s">
        <v>829</v>
      </c>
      <c r="L73" t="s">
        <v>1699</v>
      </c>
      <c r="M73" t="s">
        <v>1760</v>
      </c>
      <c r="N73" t="s">
        <v>1761</v>
      </c>
      <c r="O73" t="s">
        <v>1717</v>
      </c>
      <c r="P73" t="s">
        <v>1762</v>
      </c>
      <c r="Q73" t="s">
        <v>1516</v>
      </c>
      <c r="R73" t="s">
        <v>1244</v>
      </c>
      <c r="S73" t="s">
        <v>1492</v>
      </c>
      <c r="T73" t="s">
        <v>1518</v>
      </c>
      <c r="U73" t="s">
        <v>1644</v>
      </c>
      <c r="V73" t="s">
        <v>1720</v>
      </c>
      <c r="W73" t="s">
        <v>1763</v>
      </c>
      <c r="X73" t="s">
        <v>1764</v>
      </c>
      <c r="Y73" t="s">
        <v>268</v>
      </c>
      <c r="AB73" t="s">
        <v>1765</v>
      </c>
      <c r="AC73" t="s">
        <v>1766</v>
      </c>
      <c r="AD73" t="s">
        <v>1767</v>
      </c>
      <c r="AE73" t="str">
        <f t="shared" si="8"/>
        <v>S6 Tree specialists Ltd</v>
      </c>
      <c r="AF73">
        <f t="shared" si="9"/>
        <v>46092</v>
      </c>
      <c r="AG73">
        <f t="shared" si="10"/>
        <v>4</v>
      </c>
      <c r="AH73">
        <f t="shared" si="11"/>
        <v>1</v>
      </c>
    </row>
    <row r="74" spans="1:34" x14ac:dyDescent="0.15">
      <c r="A74" t="s">
        <v>253</v>
      </c>
      <c r="B74" t="s">
        <v>1484</v>
      </c>
      <c r="C74" t="s">
        <v>766</v>
      </c>
      <c r="D74" t="s">
        <v>767</v>
      </c>
      <c r="E74" t="s">
        <v>767</v>
      </c>
      <c r="F74" t="s">
        <v>785</v>
      </c>
      <c r="G74" t="s">
        <v>1688</v>
      </c>
      <c r="H74" t="s">
        <v>808</v>
      </c>
      <c r="I74" t="s">
        <v>1768</v>
      </c>
      <c r="J74" t="s">
        <v>1769</v>
      </c>
      <c r="K74" t="s">
        <v>1471</v>
      </c>
      <c r="L74" t="s">
        <v>1770</v>
      </c>
      <c r="M74" t="s">
        <v>1771</v>
      </c>
      <c r="N74" t="s">
        <v>1772</v>
      </c>
      <c r="O74" t="s">
        <v>1773</v>
      </c>
      <c r="P74" t="s">
        <v>1452</v>
      </c>
      <c r="Q74" t="s">
        <v>1184</v>
      </c>
      <c r="R74" t="s">
        <v>1184</v>
      </c>
      <c r="S74" t="s">
        <v>1774</v>
      </c>
      <c r="T74" t="s">
        <v>968</v>
      </c>
      <c r="U74" t="s">
        <v>982</v>
      </c>
      <c r="V74" t="s">
        <v>1775</v>
      </c>
      <c r="X74" t="s">
        <v>1776</v>
      </c>
      <c r="Y74" t="s">
        <v>268</v>
      </c>
      <c r="AB74" t="s">
        <v>1777</v>
      </c>
      <c r="AC74" t="s">
        <v>1778</v>
      </c>
      <c r="AD74" t="s">
        <v>1779</v>
      </c>
      <c r="AE74" t="str">
        <f t="shared" si="8"/>
        <v>Optimum Tree Services Ltd</v>
      </c>
      <c r="AF74">
        <f t="shared" si="9"/>
        <v>46091</v>
      </c>
      <c r="AG74">
        <f t="shared" si="10"/>
        <v>0</v>
      </c>
      <c r="AH74">
        <f t="shared" si="11"/>
        <v>3</v>
      </c>
    </row>
    <row r="75" spans="1:34" x14ac:dyDescent="0.15">
      <c r="A75" t="s">
        <v>253</v>
      </c>
      <c r="B75" t="s">
        <v>956</v>
      </c>
      <c r="C75" t="s">
        <v>766</v>
      </c>
      <c r="D75" t="s">
        <v>957</v>
      </c>
      <c r="E75" t="s">
        <v>957</v>
      </c>
      <c r="F75" t="s">
        <v>785</v>
      </c>
      <c r="G75" t="s">
        <v>1780</v>
      </c>
      <c r="H75" t="s">
        <v>958</v>
      </c>
      <c r="I75" t="s">
        <v>1781</v>
      </c>
      <c r="J75" t="s">
        <v>1782</v>
      </c>
      <c r="K75" t="s">
        <v>1000</v>
      </c>
      <c r="L75" t="s">
        <v>1783</v>
      </c>
      <c r="M75" t="s">
        <v>1784</v>
      </c>
      <c r="N75" t="s">
        <v>1785</v>
      </c>
      <c r="O75" t="s">
        <v>1786</v>
      </c>
      <c r="P75" t="s">
        <v>1244</v>
      </c>
      <c r="Q75" t="s">
        <v>1254</v>
      </c>
      <c r="R75" t="s">
        <v>1254</v>
      </c>
      <c r="S75" t="s">
        <v>1323</v>
      </c>
      <c r="T75" t="s">
        <v>968</v>
      </c>
      <c r="U75" t="s">
        <v>969</v>
      </c>
      <c r="X75" t="s">
        <v>1787</v>
      </c>
      <c r="Y75" t="s">
        <v>268</v>
      </c>
      <c r="AB75" t="s">
        <v>883</v>
      </c>
      <c r="AC75" t="s">
        <v>1788</v>
      </c>
      <c r="AD75" t="s">
        <v>1789</v>
      </c>
      <c r="AE75" t="str">
        <f t="shared" si="8"/>
        <v>Brinksworth Tree Services Ltd</v>
      </c>
      <c r="AF75">
        <f t="shared" si="9"/>
        <v>46091</v>
      </c>
      <c r="AG75">
        <f t="shared" si="10"/>
        <v>0</v>
      </c>
      <c r="AH75">
        <f t="shared" si="11"/>
        <v>4</v>
      </c>
    </row>
    <row r="76" spans="1:34" x14ac:dyDescent="0.15">
      <c r="A76" t="s">
        <v>253</v>
      </c>
      <c r="B76" t="s">
        <v>956</v>
      </c>
      <c r="C76" t="s">
        <v>766</v>
      </c>
      <c r="D76" t="s">
        <v>957</v>
      </c>
      <c r="E76" t="s">
        <v>957</v>
      </c>
      <c r="F76" t="s">
        <v>785</v>
      </c>
      <c r="G76" t="s">
        <v>1790</v>
      </c>
      <c r="H76" t="s">
        <v>958</v>
      </c>
      <c r="I76" t="s">
        <v>1791</v>
      </c>
      <c r="J76" t="s">
        <v>1792</v>
      </c>
      <c r="K76" t="s">
        <v>1014</v>
      </c>
      <c r="L76" t="s">
        <v>1015</v>
      </c>
      <c r="M76" t="s">
        <v>1793</v>
      </c>
      <c r="N76" t="s">
        <v>1794</v>
      </c>
      <c r="O76" t="s">
        <v>1795</v>
      </c>
      <c r="P76" t="s">
        <v>1138</v>
      </c>
      <c r="Q76" t="s">
        <v>1110</v>
      </c>
      <c r="R76" t="s">
        <v>1110</v>
      </c>
      <c r="S76" t="s">
        <v>1219</v>
      </c>
      <c r="T76" t="s">
        <v>968</v>
      </c>
      <c r="U76" t="s">
        <v>982</v>
      </c>
      <c r="V76" t="s">
        <v>1796</v>
      </c>
      <c r="X76" t="s">
        <v>1787</v>
      </c>
      <c r="Y76" t="s">
        <v>268</v>
      </c>
      <c r="AB76" t="s">
        <v>883</v>
      </c>
      <c r="AC76" t="s">
        <v>1797</v>
      </c>
      <c r="AD76" t="s">
        <v>1798</v>
      </c>
      <c r="AE76" t="str">
        <f t="shared" si="8"/>
        <v>Treerebral Ltd</v>
      </c>
      <c r="AF76">
        <f t="shared" si="9"/>
        <v>46091</v>
      </c>
      <c r="AG76">
        <f t="shared" si="10"/>
        <v>0</v>
      </c>
      <c r="AH76">
        <f t="shared" si="11"/>
        <v>3</v>
      </c>
    </row>
    <row r="77" spans="1:34" x14ac:dyDescent="0.15">
      <c r="A77" t="s">
        <v>253</v>
      </c>
      <c r="B77" t="s">
        <v>973</v>
      </c>
      <c r="C77" t="s">
        <v>766</v>
      </c>
      <c r="D77" t="s">
        <v>902</v>
      </c>
      <c r="E77" t="s">
        <v>902</v>
      </c>
      <c r="F77" t="s">
        <v>785</v>
      </c>
      <c r="G77" t="s">
        <v>1799</v>
      </c>
      <c r="H77" t="s">
        <v>903</v>
      </c>
      <c r="I77" t="s">
        <v>1800</v>
      </c>
      <c r="K77" t="s">
        <v>1801</v>
      </c>
      <c r="L77" t="s">
        <v>1802</v>
      </c>
      <c r="M77" t="s">
        <v>1803</v>
      </c>
      <c r="N77" t="s">
        <v>1804</v>
      </c>
      <c r="O77" t="s">
        <v>1805</v>
      </c>
      <c r="P77" t="s">
        <v>1806</v>
      </c>
      <c r="Q77" t="s">
        <v>1271</v>
      </c>
      <c r="R77" t="s">
        <v>1271</v>
      </c>
      <c r="S77" t="s">
        <v>1187</v>
      </c>
      <c r="T77" t="s">
        <v>968</v>
      </c>
      <c r="U77" t="s">
        <v>982</v>
      </c>
      <c r="V77" t="s">
        <v>1807</v>
      </c>
      <c r="X77" t="s">
        <v>1808</v>
      </c>
      <c r="Y77" t="s">
        <v>268</v>
      </c>
      <c r="AB77" t="s">
        <v>883</v>
      </c>
      <c r="AC77" t="s">
        <v>1809</v>
      </c>
      <c r="AD77" t="s">
        <v>1810</v>
      </c>
      <c r="AE77" t="str">
        <f t="shared" si="8"/>
        <v>Two Counties Tree Care Ltd</v>
      </c>
      <c r="AF77">
        <f t="shared" si="9"/>
        <v>46101</v>
      </c>
      <c r="AG77">
        <f t="shared" si="10"/>
        <v>0</v>
      </c>
      <c r="AH77">
        <f t="shared" si="11"/>
        <v>3</v>
      </c>
    </row>
    <row r="78" spans="1:34" x14ac:dyDescent="0.15">
      <c r="A78" t="s">
        <v>253</v>
      </c>
      <c r="B78" t="s">
        <v>1354</v>
      </c>
      <c r="C78" t="s">
        <v>766</v>
      </c>
      <c r="D78" t="s">
        <v>902</v>
      </c>
      <c r="E78" t="s">
        <v>902</v>
      </c>
      <c r="F78" t="s">
        <v>785</v>
      </c>
      <c r="G78" t="s">
        <v>1811</v>
      </c>
      <c r="H78" t="s">
        <v>903</v>
      </c>
      <c r="I78" t="s">
        <v>1812</v>
      </c>
      <c r="M78" t="s">
        <v>1813</v>
      </c>
      <c r="N78" t="s">
        <v>1814</v>
      </c>
      <c r="O78" t="s">
        <v>1815</v>
      </c>
      <c r="P78" t="s">
        <v>1552</v>
      </c>
      <c r="Q78" t="s">
        <v>1348</v>
      </c>
      <c r="R78" t="s">
        <v>1816</v>
      </c>
      <c r="S78" t="s">
        <v>1817</v>
      </c>
      <c r="T78" t="s">
        <v>1818</v>
      </c>
      <c r="U78" t="s">
        <v>969</v>
      </c>
      <c r="V78" t="s">
        <v>1819</v>
      </c>
      <c r="X78" t="s">
        <v>1820</v>
      </c>
      <c r="Y78" t="s">
        <v>268</v>
      </c>
      <c r="AB78" t="s">
        <v>883</v>
      </c>
      <c r="AC78" t="s">
        <v>1821</v>
      </c>
      <c r="AD78" t="s">
        <v>1822</v>
      </c>
      <c r="AE78" t="str">
        <f t="shared" si="8"/>
        <v/>
      </c>
      <c r="AF78">
        <f t="shared" si="9"/>
        <v>46101</v>
      </c>
      <c r="AG78">
        <f t="shared" si="10"/>
        <v>0</v>
      </c>
      <c r="AH78" t="str">
        <f t="shared" si="11"/>
        <v/>
      </c>
    </row>
    <row r="79" spans="1:34" x14ac:dyDescent="0.15">
      <c r="A79" t="s">
        <v>253</v>
      </c>
      <c r="B79" t="s">
        <v>823</v>
      </c>
      <c r="C79" t="s">
        <v>766</v>
      </c>
      <c r="D79" t="s">
        <v>767</v>
      </c>
      <c r="E79" t="s">
        <v>767</v>
      </c>
      <c r="F79" t="s">
        <v>785</v>
      </c>
      <c r="G79" t="s">
        <v>1823</v>
      </c>
      <c r="H79" t="s">
        <v>808</v>
      </c>
      <c r="I79" t="s">
        <v>1824</v>
      </c>
      <c r="K79" t="s">
        <v>788</v>
      </c>
      <c r="L79" t="s">
        <v>1119</v>
      </c>
      <c r="M79" t="s">
        <v>1825</v>
      </c>
      <c r="N79" t="s">
        <v>1826</v>
      </c>
      <c r="O79" t="s">
        <v>1827</v>
      </c>
      <c r="P79" t="s">
        <v>1096</v>
      </c>
      <c r="Q79" t="s">
        <v>1243</v>
      </c>
      <c r="R79" t="s">
        <v>1243</v>
      </c>
      <c r="S79" t="s">
        <v>1828</v>
      </c>
      <c r="T79" t="s">
        <v>968</v>
      </c>
      <c r="U79" t="s">
        <v>982</v>
      </c>
      <c r="V79" t="s">
        <v>1829</v>
      </c>
      <c r="X79" t="s">
        <v>1830</v>
      </c>
      <c r="Y79" t="s">
        <v>268</v>
      </c>
      <c r="AB79" t="s">
        <v>883</v>
      </c>
      <c r="AC79" t="s">
        <v>1831</v>
      </c>
      <c r="AD79" t="s">
        <v>1832</v>
      </c>
      <c r="AE79" t="str">
        <f t="shared" si="8"/>
        <v>Austin Tree Care LTD</v>
      </c>
      <c r="AF79">
        <f t="shared" si="9"/>
        <v>46100</v>
      </c>
      <c r="AG79">
        <f t="shared" si="10"/>
        <v>0</v>
      </c>
      <c r="AH79">
        <f t="shared" si="11"/>
        <v>3</v>
      </c>
    </row>
    <row r="80" spans="1:34" x14ac:dyDescent="0.15">
      <c r="A80" t="s">
        <v>253</v>
      </c>
      <c r="B80" t="s">
        <v>823</v>
      </c>
      <c r="C80" t="s">
        <v>766</v>
      </c>
      <c r="D80" t="s">
        <v>767</v>
      </c>
      <c r="E80" t="s">
        <v>767</v>
      </c>
      <c r="F80" t="s">
        <v>785</v>
      </c>
      <c r="G80" t="s">
        <v>1823</v>
      </c>
      <c r="H80" t="s">
        <v>808</v>
      </c>
      <c r="I80" t="s">
        <v>1833</v>
      </c>
      <c r="J80" t="s">
        <v>1834</v>
      </c>
      <c r="K80" t="s">
        <v>818</v>
      </c>
      <c r="L80" t="s">
        <v>1835</v>
      </c>
      <c r="M80" t="s">
        <v>1836</v>
      </c>
      <c r="N80" t="s">
        <v>1825</v>
      </c>
      <c r="O80" t="s">
        <v>1837</v>
      </c>
      <c r="P80" t="s">
        <v>1150</v>
      </c>
      <c r="Q80" t="s">
        <v>1271</v>
      </c>
      <c r="R80" t="s">
        <v>1271</v>
      </c>
      <c r="S80" t="s">
        <v>1838</v>
      </c>
      <c r="T80" t="s">
        <v>968</v>
      </c>
      <c r="U80" t="s">
        <v>982</v>
      </c>
      <c r="V80" t="s">
        <v>1839</v>
      </c>
      <c r="X80" t="s">
        <v>1840</v>
      </c>
      <c r="Y80" t="s">
        <v>268</v>
      </c>
      <c r="AB80" t="s">
        <v>883</v>
      </c>
      <c r="AC80" t="s">
        <v>1841</v>
      </c>
      <c r="AD80" t="s">
        <v>1842</v>
      </c>
      <c r="AE80" t="str">
        <f t="shared" si="8"/>
        <v>M G Tree Surgery Ltd</v>
      </c>
      <c r="AF80">
        <f t="shared" si="9"/>
        <v>46100</v>
      </c>
      <c r="AG80">
        <f t="shared" si="10"/>
        <v>0</v>
      </c>
      <c r="AH80">
        <f t="shared" si="11"/>
        <v>3</v>
      </c>
    </row>
    <row r="81" spans="1:34" x14ac:dyDescent="0.15">
      <c r="A81" t="s">
        <v>253</v>
      </c>
      <c r="B81" t="s">
        <v>1843</v>
      </c>
      <c r="C81" t="s">
        <v>766</v>
      </c>
      <c r="D81" t="s">
        <v>902</v>
      </c>
      <c r="E81" t="s">
        <v>902</v>
      </c>
      <c r="F81" t="s">
        <v>785</v>
      </c>
      <c r="G81" t="s">
        <v>1844</v>
      </c>
      <c r="H81" t="s">
        <v>903</v>
      </c>
      <c r="I81" t="s">
        <v>1845</v>
      </c>
      <c r="J81" t="s">
        <v>1846</v>
      </c>
      <c r="K81" t="s">
        <v>1447</v>
      </c>
      <c r="L81" t="s">
        <v>1847</v>
      </c>
      <c r="M81" t="s">
        <v>1848</v>
      </c>
      <c r="N81" t="s">
        <v>1849</v>
      </c>
      <c r="O81" t="s">
        <v>1490</v>
      </c>
      <c r="P81" t="s">
        <v>1136</v>
      </c>
      <c r="Q81" t="s">
        <v>1171</v>
      </c>
      <c r="R81" t="s">
        <v>1171</v>
      </c>
      <c r="S81" t="s">
        <v>1124</v>
      </c>
      <c r="T81" t="s">
        <v>968</v>
      </c>
      <c r="U81" t="s">
        <v>982</v>
      </c>
      <c r="V81" t="s">
        <v>1850</v>
      </c>
      <c r="X81" t="s">
        <v>1851</v>
      </c>
      <c r="Y81" t="s">
        <v>268</v>
      </c>
      <c r="AB81" t="s">
        <v>883</v>
      </c>
      <c r="AC81" t="s">
        <v>1852</v>
      </c>
      <c r="AD81" t="s">
        <v>1853</v>
      </c>
      <c r="AE81" t="str">
        <f t="shared" si="8"/>
        <v>Down To Earth Tree Management</v>
      </c>
      <c r="AF81">
        <f t="shared" si="9"/>
        <v>46099</v>
      </c>
      <c r="AG81">
        <f t="shared" si="10"/>
        <v>0</v>
      </c>
      <c r="AH81">
        <f t="shared" si="11"/>
        <v>3</v>
      </c>
    </row>
    <row r="82" spans="1:34" x14ac:dyDescent="0.15">
      <c r="A82" t="s">
        <v>253</v>
      </c>
      <c r="B82" t="s">
        <v>1101</v>
      </c>
      <c r="C82" t="s">
        <v>766</v>
      </c>
      <c r="D82" t="s">
        <v>902</v>
      </c>
      <c r="E82" t="s">
        <v>902</v>
      </c>
      <c r="F82" t="s">
        <v>785</v>
      </c>
      <c r="G82" t="s">
        <v>1799</v>
      </c>
      <c r="H82" t="s">
        <v>903</v>
      </c>
      <c r="I82" t="s">
        <v>1854</v>
      </c>
      <c r="K82" t="s">
        <v>1197</v>
      </c>
      <c r="L82" t="s">
        <v>1855</v>
      </c>
      <c r="M82" t="s">
        <v>1856</v>
      </c>
      <c r="N82" t="s">
        <v>1857</v>
      </c>
      <c r="O82" t="s">
        <v>1858</v>
      </c>
      <c r="P82" t="s">
        <v>1585</v>
      </c>
      <c r="Q82" t="s">
        <v>1137</v>
      </c>
      <c r="R82" t="s">
        <v>1138</v>
      </c>
      <c r="S82" t="s">
        <v>1245</v>
      </c>
      <c r="T82" t="s">
        <v>1140</v>
      </c>
      <c r="U82" t="s">
        <v>1644</v>
      </c>
      <c r="W82" t="s">
        <v>1859</v>
      </c>
      <c r="X82" t="s">
        <v>1860</v>
      </c>
      <c r="Y82" t="s">
        <v>268</v>
      </c>
      <c r="AB82" t="s">
        <v>1861</v>
      </c>
      <c r="AC82" t="s">
        <v>1862</v>
      </c>
      <c r="AD82" t="s">
        <v>1863</v>
      </c>
      <c r="AE82" t="str">
        <f t="shared" si="8"/>
        <v>Astbury Tree Care</v>
      </c>
      <c r="AF82">
        <f t="shared" si="9"/>
        <v>46098</v>
      </c>
      <c r="AG82">
        <f t="shared" si="10"/>
        <v>1</v>
      </c>
      <c r="AH82">
        <f t="shared" si="11"/>
        <v>2</v>
      </c>
    </row>
    <row r="83" spans="1:34" x14ac:dyDescent="0.15">
      <c r="A83" t="s">
        <v>253</v>
      </c>
      <c r="B83" t="s">
        <v>1843</v>
      </c>
      <c r="C83" t="s">
        <v>766</v>
      </c>
      <c r="D83" t="s">
        <v>902</v>
      </c>
      <c r="E83" t="s">
        <v>902</v>
      </c>
      <c r="F83" t="s">
        <v>785</v>
      </c>
      <c r="G83" t="s">
        <v>1844</v>
      </c>
      <c r="H83" t="s">
        <v>903</v>
      </c>
      <c r="I83" t="s">
        <v>1845</v>
      </c>
      <c r="J83" t="s">
        <v>1846</v>
      </c>
      <c r="K83" t="s">
        <v>1447</v>
      </c>
      <c r="L83" t="s">
        <v>1448</v>
      </c>
      <c r="M83" t="s">
        <v>1864</v>
      </c>
      <c r="N83" t="s">
        <v>1865</v>
      </c>
      <c r="O83" t="s">
        <v>1866</v>
      </c>
      <c r="P83" t="s">
        <v>1491</v>
      </c>
      <c r="Q83" t="s">
        <v>1137</v>
      </c>
      <c r="R83" t="s">
        <v>1137</v>
      </c>
      <c r="S83" t="s">
        <v>1838</v>
      </c>
      <c r="T83" t="s">
        <v>968</v>
      </c>
      <c r="U83" t="s">
        <v>982</v>
      </c>
      <c r="V83" t="s">
        <v>1850</v>
      </c>
      <c r="X83" t="s">
        <v>1867</v>
      </c>
      <c r="Y83" t="s">
        <v>268</v>
      </c>
      <c r="AB83" t="s">
        <v>883</v>
      </c>
      <c r="AC83" t="s">
        <v>1868</v>
      </c>
      <c r="AD83" t="s">
        <v>1869</v>
      </c>
      <c r="AE83" t="str">
        <f t="shared" si="8"/>
        <v>Down To Earth Tree Management</v>
      </c>
      <c r="AF83">
        <f t="shared" si="9"/>
        <v>46098</v>
      </c>
      <c r="AG83">
        <f t="shared" si="10"/>
        <v>0</v>
      </c>
      <c r="AH83">
        <f t="shared" si="11"/>
        <v>3</v>
      </c>
    </row>
    <row r="84" spans="1:34" x14ac:dyDescent="0.15">
      <c r="A84" t="s">
        <v>253</v>
      </c>
      <c r="B84" t="s">
        <v>1668</v>
      </c>
      <c r="C84" t="s">
        <v>766</v>
      </c>
      <c r="D84" t="s">
        <v>767</v>
      </c>
      <c r="E84" t="s">
        <v>767</v>
      </c>
      <c r="F84" t="s">
        <v>785</v>
      </c>
      <c r="G84" t="s">
        <v>1726</v>
      </c>
      <c r="H84" t="s">
        <v>808</v>
      </c>
      <c r="I84" t="s">
        <v>1870</v>
      </c>
      <c r="K84" t="s">
        <v>1499</v>
      </c>
      <c r="L84" t="s">
        <v>1871</v>
      </c>
      <c r="M84" t="s">
        <v>1872</v>
      </c>
      <c r="N84" t="s">
        <v>1873</v>
      </c>
      <c r="O84" t="s">
        <v>1874</v>
      </c>
      <c r="P84" t="s">
        <v>1516</v>
      </c>
      <c r="Q84" t="s">
        <v>1610</v>
      </c>
      <c r="R84" t="s">
        <v>1875</v>
      </c>
      <c r="S84" t="s">
        <v>1838</v>
      </c>
      <c r="T84" t="s">
        <v>1876</v>
      </c>
      <c r="U84" t="s">
        <v>969</v>
      </c>
      <c r="V84" t="s">
        <v>1877</v>
      </c>
      <c r="W84" t="s">
        <v>1878</v>
      </c>
      <c r="X84" t="s">
        <v>1879</v>
      </c>
      <c r="Y84" t="s">
        <v>268</v>
      </c>
      <c r="AB84" t="s">
        <v>1880</v>
      </c>
      <c r="AC84" t="s">
        <v>1881</v>
      </c>
      <c r="AD84" t="s">
        <v>1882</v>
      </c>
      <c r="AE84" t="str">
        <f t="shared" si="8"/>
        <v>Tree Tech Suffolk Ltd</v>
      </c>
      <c r="AF84">
        <f t="shared" si="9"/>
        <v>46098</v>
      </c>
      <c r="AG84">
        <f t="shared" si="10"/>
        <v>4</v>
      </c>
      <c r="AH84">
        <f t="shared" si="11"/>
        <v>4</v>
      </c>
    </row>
    <row r="85" spans="1:34" x14ac:dyDescent="0.15">
      <c r="A85" t="s">
        <v>253</v>
      </c>
      <c r="B85" t="s">
        <v>888</v>
      </c>
      <c r="C85" t="s">
        <v>766</v>
      </c>
      <c r="D85" t="s">
        <v>767</v>
      </c>
      <c r="E85" t="s">
        <v>767</v>
      </c>
      <c r="F85" t="s">
        <v>785</v>
      </c>
      <c r="G85" t="s">
        <v>1823</v>
      </c>
      <c r="H85" t="s">
        <v>808</v>
      </c>
      <c r="I85" t="s">
        <v>1883</v>
      </c>
      <c r="J85" t="s">
        <v>1883</v>
      </c>
      <c r="K85" t="s">
        <v>891</v>
      </c>
      <c r="L85" t="s">
        <v>1690</v>
      </c>
      <c r="M85" t="s">
        <v>1884</v>
      </c>
      <c r="N85" t="s">
        <v>1885</v>
      </c>
      <c r="O85" t="s">
        <v>1886</v>
      </c>
      <c r="P85" t="s">
        <v>1664</v>
      </c>
      <c r="Q85" t="s">
        <v>1395</v>
      </c>
      <c r="R85" t="s">
        <v>1395</v>
      </c>
      <c r="S85" t="s">
        <v>1187</v>
      </c>
      <c r="T85" t="s">
        <v>968</v>
      </c>
      <c r="U85" t="s">
        <v>982</v>
      </c>
      <c r="V85" t="s">
        <v>1887</v>
      </c>
      <c r="X85" t="s">
        <v>1888</v>
      </c>
      <c r="Y85" t="s">
        <v>268</v>
      </c>
      <c r="AB85" t="s">
        <v>883</v>
      </c>
      <c r="AC85" t="s">
        <v>1889</v>
      </c>
      <c r="AD85" t="s">
        <v>1890</v>
      </c>
      <c r="AE85" t="str">
        <f t="shared" si="8"/>
        <v>Green Net Eco Ltd</v>
      </c>
      <c r="AF85">
        <f t="shared" si="9"/>
        <v>46108</v>
      </c>
      <c r="AG85">
        <f t="shared" si="10"/>
        <v>0</v>
      </c>
      <c r="AH85">
        <f t="shared" si="11"/>
        <v>3</v>
      </c>
    </row>
    <row r="86" spans="1:34" x14ac:dyDescent="0.15">
      <c r="A86" t="s">
        <v>253</v>
      </c>
      <c r="B86" t="s">
        <v>1891</v>
      </c>
      <c r="C86" t="s">
        <v>1892</v>
      </c>
      <c r="D86" t="s">
        <v>1893</v>
      </c>
      <c r="E86" t="s">
        <v>767</v>
      </c>
      <c r="F86" t="s">
        <v>785</v>
      </c>
      <c r="G86" t="s">
        <v>1894</v>
      </c>
      <c r="H86" t="s">
        <v>1895</v>
      </c>
      <c r="I86" t="s">
        <v>1896</v>
      </c>
      <c r="J86" t="s">
        <v>1896</v>
      </c>
      <c r="K86" t="s">
        <v>1897</v>
      </c>
      <c r="L86" t="s">
        <v>1898</v>
      </c>
      <c r="M86" t="s">
        <v>1899</v>
      </c>
      <c r="N86" t="s">
        <v>1900</v>
      </c>
      <c r="O86" t="s">
        <v>1901</v>
      </c>
      <c r="P86" t="s">
        <v>1244</v>
      </c>
      <c r="Q86" t="s">
        <v>1505</v>
      </c>
      <c r="R86" t="s">
        <v>1806</v>
      </c>
      <c r="S86" t="s">
        <v>1349</v>
      </c>
      <c r="T86" t="s">
        <v>1902</v>
      </c>
      <c r="U86" t="s">
        <v>1644</v>
      </c>
      <c r="V86" t="s">
        <v>1903</v>
      </c>
      <c r="W86" t="s">
        <v>1904</v>
      </c>
      <c r="X86" t="s">
        <v>1905</v>
      </c>
      <c r="Y86" t="s">
        <v>268</v>
      </c>
      <c r="AB86" t="s">
        <v>1906</v>
      </c>
      <c r="AC86" t="s">
        <v>1907</v>
      </c>
      <c r="AD86" t="s">
        <v>1908</v>
      </c>
      <c r="AE86" t="str">
        <f t="shared" si="8"/>
        <v>Thornacre Ltd</v>
      </c>
      <c r="AF86">
        <f t="shared" si="9"/>
        <v>46108</v>
      </c>
      <c r="AG86">
        <f t="shared" si="10"/>
        <v>2</v>
      </c>
      <c r="AH86">
        <f t="shared" si="11"/>
        <v>1</v>
      </c>
    </row>
    <row r="87" spans="1:34" x14ac:dyDescent="0.15">
      <c r="A87" t="s">
        <v>253</v>
      </c>
      <c r="B87" t="s">
        <v>888</v>
      </c>
      <c r="C87" t="s">
        <v>766</v>
      </c>
      <c r="D87" t="s">
        <v>767</v>
      </c>
      <c r="E87" t="s">
        <v>767</v>
      </c>
      <c r="F87" t="s">
        <v>785</v>
      </c>
      <c r="G87" t="s">
        <v>1823</v>
      </c>
      <c r="H87" t="s">
        <v>808</v>
      </c>
      <c r="I87" t="s">
        <v>1909</v>
      </c>
      <c r="K87" t="s">
        <v>1910</v>
      </c>
      <c r="L87" t="s">
        <v>1911</v>
      </c>
      <c r="M87" t="s">
        <v>1912</v>
      </c>
      <c r="N87" t="s">
        <v>1913</v>
      </c>
      <c r="O87" t="s">
        <v>1914</v>
      </c>
      <c r="P87" t="s">
        <v>1609</v>
      </c>
      <c r="Q87" t="s">
        <v>1255</v>
      </c>
      <c r="R87" t="s">
        <v>1203</v>
      </c>
      <c r="S87" t="s">
        <v>1151</v>
      </c>
      <c r="T87" t="s">
        <v>1030</v>
      </c>
      <c r="U87" t="s">
        <v>1644</v>
      </c>
      <c r="V87" t="s">
        <v>1915</v>
      </c>
      <c r="W87" t="s">
        <v>1072</v>
      </c>
      <c r="X87" t="s">
        <v>1916</v>
      </c>
      <c r="Y87" t="s">
        <v>268</v>
      </c>
      <c r="AB87" t="s">
        <v>1917</v>
      </c>
      <c r="AC87" t="s">
        <v>1918</v>
      </c>
      <c r="AD87" t="s">
        <v>1919</v>
      </c>
      <c r="AE87" t="str">
        <f t="shared" si="8"/>
        <v>Hope Ground and Tree Care</v>
      </c>
      <c r="AF87">
        <f t="shared" si="9"/>
        <v>46107</v>
      </c>
      <c r="AG87">
        <f t="shared" si="10"/>
        <v>1</v>
      </c>
      <c r="AH87">
        <f t="shared" si="11"/>
        <v>2</v>
      </c>
    </row>
    <row r="88" spans="1:34" x14ac:dyDescent="0.15">
      <c r="A88" t="s">
        <v>253</v>
      </c>
      <c r="B88" t="s">
        <v>1484</v>
      </c>
      <c r="C88" t="s">
        <v>766</v>
      </c>
      <c r="D88" t="s">
        <v>767</v>
      </c>
      <c r="E88" t="s">
        <v>767</v>
      </c>
      <c r="F88" t="s">
        <v>785</v>
      </c>
      <c r="G88" t="s">
        <v>1688</v>
      </c>
      <c r="H88" t="s">
        <v>808</v>
      </c>
      <c r="I88" t="s">
        <v>1920</v>
      </c>
      <c r="J88" t="s">
        <v>1921</v>
      </c>
      <c r="K88" t="s">
        <v>1471</v>
      </c>
      <c r="L88" t="s">
        <v>1770</v>
      </c>
      <c r="M88" t="s">
        <v>1922</v>
      </c>
      <c r="N88" t="s">
        <v>1923</v>
      </c>
      <c r="O88" t="s">
        <v>1924</v>
      </c>
      <c r="P88" t="s">
        <v>1096</v>
      </c>
      <c r="Q88" t="s">
        <v>1111</v>
      </c>
      <c r="R88" t="s">
        <v>1005</v>
      </c>
      <c r="S88" t="s">
        <v>1283</v>
      </c>
      <c r="T88" t="s">
        <v>1925</v>
      </c>
      <c r="U88" t="s">
        <v>969</v>
      </c>
      <c r="V88" t="s">
        <v>1926</v>
      </c>
      <c r="W88" t="s">
        <v>1927</v>
      </c>
      <c r="X88" t="s">
        <v>1928</v>
      </c>
      <c r="Y88" t="s">
        <v>268</v>
      </c>
      <c r="AB88" t="s">
        <v>1929</v>
      </c>
      <c r="AC88" t="s">
        <v>1930</v>
      </c>
      <c r="AD88" t="s">
        <v>1931</v>
      </c>
      <c r="AE88" t="str">
        <f t="shared" si="8"/>
        <v>Optimum Tree Services Ltd</v>
      </c>
      <c r="AF88">
        <f t="shared" si="9"/>
        <v>46106</v>
      </c>
      <c r="AG88">
        <f t="shared" si="10"/>
        <v>1</v>
      </c>
      <c r="AH88">
        <f t="shared" si="11"/>
        <v>4</v>
      </c>
    </row>
    <row r="89" spans="1:34" x14ac:dyDescent="0.15">
      <c r="A89" t="s">
        <v>253</v>
      </c>
      <c r="B89" t="s">
        <v>1050</v>
      </c>
      <c r="C89" t="s">
        <v>766</v>
      </c>
      <c r="D89" t="s">
        <v>767</v>
      </c>
      <c r="E89" t="s">
        <v>767</v>
      </c>
      <c r="F89" t="s">
        <v>785</v>
      </c>
      <c r="G89" t="s">
        <v>1726</v>
      </c>
      <c r="H89" t="s">
        <v>808</v>
      </c>
      <c r="I89" t="s">
        <v>1932</v>
      </c>
      <c r="K89" t="s">
        <v>1052</v>
      </c>
      <c r="L89" t="s">
        <v>1053</v>
      </c>
      <c r="M89" t="s">
        <v>1933</v>
      </c>
      <c r="N89" t="s">
        <v>1934</v>
      </c>
      <c r="O89" t="s">
        <v>1935</v>
      </c>
      <c r="P89" t="s">
        <v>1806</v>
      </c>
      <c r="Q89" t="s">
        <v>1244</v>
      </c>
      <c r="R89" t="s">
        <v>1244</v>
      </c>
      <c r="S89" t="s">
        <v>1272</v>
      </c>
      <c r="T89" t="s">
        <v>968</v>
      </c>
      <c r="U89" t="s">
        <v>982</v>
      </c>
      <c r="V89" t="s">
        <v>1936</v>
      </c>
      <c r="X89" t="s">
        <v>1937</v>
      </c>
      <c r="Y89" t="s">
        <v>268</v>
      </c>
      <c r="AB89" t="s">
        <v>883</v>
      </c>
      <c r="AC89" t="s">
        <v>1938</v>
      </c>
      <c r="AD89" t="s">
        <v>1939</v>
      </c>
      <c r="AE89" t="str">
        <f t="shared" si="8"/>
        <v>Ashdown Tree Limited</v>
      </c>
      <c r="AF89">
        <f t="shared" si="9"/>
        <v>46105</v>
      </c>
      <c r="AG89">
        <f t="shared" si="10"/>
        <v>0</v>
      </c>
      <c r="AH89">
        <f t="shared" si="11"/>
        <v>3</v>
      </c>
    </row>
    <row r="90" spans="1:34" x14ac:dyDescent="0.15">
      <c r="A90" t="s">
        <v>253</v>
      </c>
      <c r="B90" t="s">
        <v>1940</v>
      </c>
      <c r="C90" t="s">
        <v>766</v>
      </c>
      <c r="D90" t="s">
        <v>957</v>
      </c>
      <c r="E90" t="s">
        <v>957</v>
      </c>
      <c r="F90" t="s">
        <v>785</v>
      </c>
      <c r="G90" t="s">
        <v>1790</v>
      </c>
      <c r="H90" t="s">
        <v>958</v>
      </c>
      <c r="I90" t="s">
        <v>1941</v>
      </c>
      <c r="J90" t="s">
        <v>1942</v>
      </c>
      <c r="K90" t="s">
        <v>1014</v>
      </c>
      <c r="L90" t="s">
        <v>1015</v>
      </c>
      <c r="M90" t="s">
        <v>1943</v>
      </c>
      <c r="N90" t="s">
        <v>1944</v>
      </c>
      <c r="O90" t="s">
        <v>1945</v>
      </c>
      <c r="P90" t="s">
        <v>1371</v>
      </c>
      <c r="Q90" t="s">
        <v>1946</v>
      </c>
      <c r="R90" t="s">
        <v>1946</v>
      </c>
      <c r="S90" t="s">
        <v>1283</v>
      </c>
      <c r="T90" t="s">
        <v>968</v>
      </c>
      <c r="U90" t="s">
        <v>982</v>
      </c>
      <c r="V90" t="s">
        <v>1947</v>
      </c>
      <c r="X90" t="s">
        <v>1948</v>
      </c>
      <c r="Y90" t="s">
        <v>268</v>
      </c>
      <c r="AB90" t="s">
        <v>883</v>
      </c>
      <c r="AC90" t="s">
        <v>1949</v>
      </c>
      <c r="AD90" t="s">
        <v>1950</v>
      </c>
      <c r="AE90" t="str">
        <f t="shared" si="8"/>
        <v>Treerebral Ltd</v>
      </c>
      <c r="AF90">
        <f t="shared" si="9"/>
        <v>46104</v>
      </c>
      <c r="AG90">
        <f t="shared" si="10"/>
        <v>0</v>
      </c>
      <c r="AH90">
        <f t="shared" si="11"/>
        <v>3</v>
      </c>
    </row>
    <row r="91" spans="1:34" x14ac:dyDescent="0.15">
      <c r="A91" t="s">
        <v>253</v>
      </c>
      <c r="B91" t="s">
        <v>876</v>
      </c>
      <c r="C91" t="s">
        <v>785</v>
      </c>
      <c r="D91" t="s">
        <v>767</v>
      </c>
      <c r="E91" t="s">
        <v>767</v>
      </c>
      <c r="F91" t="s">
        <v>785</v>
      </c>
      <c r="G91" t="s">
        <v>1688</v>
      </c>
      <c r="H91" t="s">
        <v>808</v>
      </c>
      <c r="I91" t="s">
        <v>877</v>
      </c>
      <c r="K91" t="s">
        <v>1025</v>
      </c>
      <c r="L91" t="s">
        <v>1026</v>
      </c>
      <c r="M91" t="s">
        <v>1951</v>
      </c>
      <c r="N91" t="s">
        <v>1952</v>
      </c>
      <c r="O91" t="s">
        <v>1953</v>
      </c>
      <c r="P91" t="s">
        <v>981</v>
      </c>
      <c r="Q91" t="s">
        <v>1609</v>
      </c>
      <c r="R91" t="s">
        <v>1609</v>
      </c>
      <c r="S91" t="s">
        <v>1954</v>
      </c>
      <c r="T91" t="s">
        <v>968</v>
      </c>
      <c r="U91" t="s">
        <v>982</v>
      </c>
      <c r="V91" t="s">
        <v>1955</v>
      </c>
      <c r="X91" t="s">
        <v>1956</v>
      </c>
      <c r="Y91" t="s">
        <v>268</v>
      </c>
      <c r="AB91" t="s">
        <v>883</v>
      </c>
      <c r="AC91" t="s">
        <v>1957</v>
      </c>
      <c r="AD91" t="s">
        <v>1958</v>
      </c>
      <c r="AE91" t="str">
        <f t="shared" si="8"/>
        <v>MAC Tree Surgery and Fencing Ltd</v>
      </c>
      <c r="AF91">
        <f t="shared" si="9"/>
        <v>46112</v>
      </c>
      <c r="AG91">
        <f t="shared" si="10"/>
        <v>0</v>
      </c>
      <c r="AH91">
        <f t="shared" si="11"/>
        <v>3</v>
      </c>
    </row>
    <row r="92" spans="1:34" x14ac:dyDescent="0.15">
      <c r="A92" t="s">
        <v>253</v>
      </c>
      <c r="B92" t="s">
        <v>1668</v>
      </c>
      <c r="C92" t="s">
        <v>785</v>
      </c>
      <c r="D92" t="s">
        <v>767</v>
      </c>
      <c r="E92" t="s">
        <v>767</v>
      </c>
      <c r="F92" t="s">
        <v>785</v>
      </c>
      <c r="G92" t="s">
        <v>1823</v>
      </c>
      <c r="H92" t="s">
        <v>808</v>
      </c>
      <c r="I92" t="s">
        <v>1959</v>
      </c>
      <c r="K92" t="s">
        <v>1037</v>
      </c>
      <c r="L92" t="s">
        <v>1960</v>
      </c>
      <c r="M92" t="s">
        <v>1961</v>
      </c>
      <c r="N92" t="s">
        <v>1962</v>
      </c>
      <c r="O92" t="s">
        <v>1702</v>
      </c>
      <c r="P92" t="s">
        <v>1382</v>
      </c>
      <c r="Q92" t="s">
        <v>1150</v>
      </c>
      <c r="R92" t="s">
        <v>1150</v>
      </c>
      <c r="S92" t="s">
        <v>1187</v>
      </c>
      <c r="T92" t="s">
        <v>968</v>
      </c>
      <c r="U92" t="s">
        <v>969</v>
      </c>
      <c r="V92" t="s">
        <v>1963</v>
      </c>
      <c r="X92" t="s">
        <v>1964</v>
      </c>
      <c r="Y92" t="s">
        <v>268</v>
      </c>
      <c r="AB92" t="s">
        <v>883</v>
      </c>
      <c r="AC92" t="s">
        <v>1965</v>
      </c>
      <c r="AD92" t="s">
        <v>1966</v>
      </c>
      <c r="AE92" t="str">
        <f t="shared" si="8"/>
        <v>D &amp; R Landscapes</v>
      </c>
      <c r="AF92">
        <f t="shared" si="9"/>
        <v>46112</v>
      </c>
      <c r="AG92">
        <f t="shared" si="10"/>
        <v>0</v>
      </c>
      <c r="AH92">
        <f t="shared" si="11"/>
        <v>4</v>
      </c>
    </row>
    <row r="93" spans="1:34" x14ac:dyDescent="0.15">
      <c r="A93" t="s">
        <v>253</v>
      </c>
      <c r="B93" t="s">
        <v>1967</v>
      </c>
      <c r="C93" t="s">
        <v>785</v>
      </c>
      <c r="D93" t="s">
        <v>957</v>
      </c>
      <c r="E93" t="s">
        <v>957</v>
      </c>
      <c r="F93" t="s">
        <v>785</v>
      </c>
      <c r="G93" t="s">
        <v>1968</v>
      </c>
      <c r="H93" t="s">
        <v>958</v>
      </c>
      <c r="I93" t="s">
        <v>1969</v>
      </c>
      <c r="J93" t="s">
        <v>1970</v>
      </c>
      <c r="K93" t="s">
        <v>1291</v>
      </c>
      <c r="L93" t="s">
        <v>1292</v>
      </c>
      <c r="M93" t="s">
        <v>1971</v>
      </c>
      <c r="N93" t="s">
        <v>1972</v>
      </c>
      <c r="O93" t="s">
        <v>1973</v>
      </c>
      <c r="P93" t="s">
        <v>1289</v>
      </c>
      <c r="Q93" t="s">
        <v>1243</v>
      </c>
      <c r="R93" t="s">
        <v>1243</v>
      </c>
      <c r="S93" t="s">
        <v>1219</v>
      </c>
      <c r="T93" t="s">
        <v>968</v>
      </c>
      <c r="U93" t="s">
        <v>982</v>
      </c>
      <c r="V93" t="s">
        <v>1974</v>
      </c>
      <c r="X93" t="s">
        <v>1975</v>
      </c>
      <c r="Y93" t="s">
        <v>268</v>
      </c>
      <c r="AB93" t="s">
        <v>1976</v>
      </c>
      <c r="AC93" t="s">
        <v>1977</v>
      </c>
      <c r="AD93" t="s">
        <v>1978</v>
      </c>
      <c r="AE93" t="str">
        <f t="shared" si="8"/>
        <v>HJ Tree Surgeons Limited</v>
      </c>
      <c r="AF93">
        <f t="shared" si="9"/>
        <v>46121</v>
      </c>
      <c r="AG93">
        <f t="shared" si="10"/>
        <v>0</v>
      </c>
      <c r="AH93">
        <f t="shared" si="11"/>
        <v>3</v>
      </c>
    </row>
    <row r="94" spans="1:34" x14ac:dyDescent="0.15">
      <c r="A94" t="s">
        <v>253</v>
      </c>
      <c r="B94" t="s">
        <v>1967</v>
      </c>
      <c r="C94" t="s">
        <v>785</v>
      </c>
      <c r="D94" t="s">
        <v>957</v>
      </c>
      <c r="E94" t="s">
        <v>957</v>
      </c>
      <c r="F94" t="s">
        <v>785</v>
      </c>
      <c r="G94" t="s">
        <v>1968</v>
      </c>
      <c r="H94" t="s">
        <v>958</v>
      </c>
      <c r="I94" t="s">
        <v>1410</v>
      </c>
      <c r="J94" t="s">
        <v>1979</v>
      </c>
      <c r="K94" t="s">
        <v>1980</v>
      </c>
      <c r="L94" t="s">
        <v>1981</v>
      </c>
      <c r="M94" t="s">
        <v>1982</v>
      </c>
      <c r="N94" t="s">
        <v>1983</v>
      </c>
      <c r="O94" t="s">
        <v>1984</v>
      </c>
      <c r="P94" t="s">
        <v>1816</v>
      </c>
      <c r="Q94" t="s">
        <v>1985</v>
      </c>
      <c r="R94" t="s">
        <v>1348</v>
      </c>
      <c r="S94" t="s">
        <v>1553</v>
      </c>
      <c r="T94" t="s">
        <v>1986</v>
      </c>
      <c r="U94" t="s">
        <v>1644</v>
      </c>
      <c r="V94" t="s">
        <v>1987</v>
      </c>
      <c r="W94" t="s">
        <v>1988</v>
      </c>
      <c r="X94" t="s">
        <v>1989</v>
      </c>
      <c r="Y94" t="s">
        <v>268</v>
      </c>
      <c r="AB94" t="s">
        <v>1990</v>
      </c>
      <c r="AC94" t="s">
        <v>1991</v>
      </c>
      <c r="AD94" t="s">
        <v>1992</v>
      </c>
      <c r="AE94" t="str">
        <f t="shared" si="8"/>
        <v>Flint Tree Surgeons Ltd</v>
      </c>
      <c r="AF94">
        <f t="shared" si="9"/>
        <v>46121</v>
      </c>
      <c r="AG94">
        <f t="shared" si="10"/>
        <v>1</v>
      </c>
      <c r="AH94">
        <f t="shared" si="11"/>
        <v>2</v>
      </c>
    </row>
    <row r="95" spans="1:34" x14ac:dyDescent="0.15">
      <c r="A95" t="s">
        <v>253</v>
      </c>
      <c r="B95" t="s">
        <v>876</v>
      </c>
      <c r="C95" t="s">
        <v>785</v>
      </c>
      <c r="D95" t="s">
        <v>767</v>
      </c>
      <c r="E95" t="s">
        <v>767</v>
      </c>
      <c r="F95" t="s">
        <v>785</v>
      </c>
      <c r="G95" t="s">
        <v>1688</v>
      </c>
      <c r="H95" t="s">
        <v>808</v>
      </c>
      <c r="I95" t="s">
        <v>1706</v>
      </c>
      <c r="K95" t="s">
        <v>829</v>
      </c>
      <c r="L95" t="s">
        <v>1699</v>
      </c>
      <c r="M95" t="s">
        <v>1993</v>
      </c>
      <c r="N95" t="s">
        <v>886</v>
      </c>
      <c r="O95" t="s">
        <v>1994</v>
      </c>
      <c r="P95" t="s">
        <v>1159</v>
      </c>
      <c r="Q95" t="s">
        <v>1019</v>
      </c>
      <c r="R95" t="s">
        <v>1019</v>
      </c>
      <c r="S95" t="s">
        <v>1995</v>
      </c>
      <c r="T95" t="s">
        <v>968</v>
      </c>
      <c r="U95" t="s">
        <v>982</v>
      </c>
      <c r="V95" t="s">
        <v>1955</v>
      </c>
      <c r="X95" t="s">
        <v>1996</v>
      </c>
      <c r="Y95" t="s">
        <v>268</v>
      </c>
      <c r="AB95" t="s">
        <v>883</v>
      </c>
      <c r="AC95" t="s">
        <v>1997</v>
      </c>
      <c r="AD95" t="s">
        <v>1998</v>
      </c>
      <c r="AE95" t="str">
        <f t="shared" si="8"/>
        <v>S6 Tree specialists Ltd</v>
      </c>
      <c r="AF95">
        <f t="shared" si="9"/>
        <v>46121</v>
      </c>
      <c r="AG95">
        <f t="shared" si="10"/>
        <v>0</v>
      </c>
      <c r="AH95">
        <f t="shared" si="11"/>
        <v>3</v>
      </c>
    </row>
    <row r="96" spans="1:34" x14ac:dyDescent="0.15">
      <c r="A96" t="s">
        <v>253</v>
      </c>
      <c r="B96" t="s">
        <v>1967</v>
      </c>
      <c r="C96" t="s">
        <v>785</v>
      </c>
      <c r="D96" t="s">
        <v>957</v>
      </c>
      <c r="E96" t="s">
        <v>957</v>
      </c>
      <c r="F96" t="s">
        <v>785</v>
      </c>
      <c r="G96" t="s">
        <v>1999</v>
      </c>
      <c r="H96" t="s">
        <v>958</v>
      </c>
      <c r="I96" t="s">
        <v>2000</v>
      </c>
      <c r="J96" t="s">
        <v>2001</v>
      </c>
      <c r="K96" t="s">
        <v>1014</v>
      </c>
      <c r="L96" t="s">
        <v>2002</v>
      </c>
      <c r="M96" t="s">
        <v>2003</v>
      </c>
      <c r="N96" t="s">
        <v>2004</v>
      </c>
      <c r="O96" t="s">
        <v>2005</v>
      </c>
      <c r="P96" t="s">
        <v>2006</v>
      </c>
      <c r="Q96" t="s">
        <v>2007</v>
      </c>
      <c r="R96" t="s">
        <v>1452</v>
      </c>
      <c r="S96" t="s">
        <v>1642</v>
      </c>
      <c r="T96" t="s">
        <v>2008</v>
      </c>
      <c r="U96" t="s">
        <v>1644</v>
      </c>
      <c r="V96" t="s">
        <v>2009</v>
      </c>
      <c r="W96" t="s">
        <v>2010</v>
      </c>
      <c r="X96" t="s">
        <v>2011</v>
      </c>
      <c r="Y96" t="s">
        <v>268</v>
      </c>
      <c r="AB96" t="s">
        <v>2012</v>
      </c>
      <c r="AC96" t="s">
        <v>2013</v>
      </c>
      <c r="AD96" t="s">
        <v>2014</v>
      </c>
      <c r="AE96" t="str">
        <f t="shared" si="8"/>
        <v>Treerebral Ltd</v>
      </c>
      <c r="AF96">
        <f t="shared" si="9"/>
        <v>46129</v>
      </c>
      <c r="AG96">
        <f t="shared" si="10"/>
        <v>2</v>
      </c>
      <c r="AH96">
        <f t="shared" si="11"/>
        <v>1</v>
      </c>
    </row>
    <row r="97" spans="1:34" x14ac:dyDescent="0.15">
      <c r="A97" t="s">
        <v>253</v>
      </c>
      <c r="B97" t="s">
        <v>1967</v>
      </c>
      <c r="C97" t="s">
        <v>785</v>
      </c>
      <c r="D97" t="s">
        <v>957</v>
      </c>
      <c r="E97" t="s">
        <v>957</v>
      </c>
      <c r="F97" t="s">
        <v>785</v>
      </c>
      <c r="G97" t="s">
        <v>1999</v>
      </c>
      <c r="H97" t="s">
        <v>958</v>
      </c>
      <c r="I97" t="s">
        <v>2015</v>
      </c>
      <c r="J97" t="s">
        <v>2016</v>
      </c>
      <c r="K97" t="s">
        <v>1390</v>
      </c>
      <c r="L97" t="s">
        <v>2017</v>
      </c>
      <c r="M97" t="s">
        <v>2018</v>
      </c>
      <c r="N97" t="s">
        <v>2019</v>
      </c>
      <c r="O97" t="s">
        <v>2020</v>
      </c>
      <c r="P97" t="s">
        <v>2021</v>
      </c>
      <c r="Q97" t="s">
        <v>2022</v>
      </c>
      <c r="R97" t="s">
        <v>2023</v>
      </c>
      <c r="S97" t="s">
        <v>1323</v>
      </c>
      <c r="T97" t="s">
        <v>2024</v>
      </c>
      <c r="U97" t="s">
        <v>1644</v>
      </c>
      <c r="V97" t="s">
        <v>2025</v>
      </c>
      <c r="W97" t="s">
        <v>2026</v>
      </c>
      <c r="X97" t="s">
        <v>2027</v>
      </c>
      <c r="Y97" t="s">
        <v>268</v>
      </c>
      <c r="AB97" t="s">
        <v>2028</v>
      </c>
      <c r="AC97" t="s">
        <v>2029</v>
      </c>
      <c r="AD97" t="s">
        <v>2030</v>
      </c>
      <c r="AE97" t="str">
        <f t="shared" si="8"/>
        <v>Vale Tree Surgeons</v>
      </c>
      <c r="AF97">
        <f t="shared" si="9"/>
        <v>46129</v>
      </c>
      <c r="AG97">
        <f t="shared" si="10"/>
        <v>4</v>
      </c>
      <c r="AH97">
        <f t="shared" si="11"/>
        <v>1</v>
      </c>
    </row>
    <row r="98" spans="1:34" x14ac:dyDescent="0.15">
      <c r="A98" t="s">
        <v>253</v>
      </c>
      <c r="B98" t="s">
        <v>1967</v>
      </c>
      <c r="C98" t="s">
        <v>785</v>
      </c>
      <c r="D98" t="s">
        <v>957</v>
      </c>
      <c r="E98" t="s">
        <v>957</v>
      </c>
      <c r="F98" t="s">
        <v>785</v>
      </c>
      <c r="G98" t="s">
        <v>1999</v>
      </c>
      <c r="H98" t="s">
        <v>958</v>
      </c>
      <c r="I98" t="s">
        <v>2031</v>
      </c>
      <c r="J98" t="s">
        <v>2032</v>
      </c>
      <c r="K98" t="s">
        <v>1390</v>
      </c>
      <c r="L98" t="s">
        <v>2033</v>
      </c>
      <c r="M98" t="s">
        <v>2034</v>
      </c>
      <c r="N98" t="s">
        <v>2035</v>
      </c>
      <c r="O98" t="s">
        <v>2036</v>
      </c>
      <c r="P98" t="s">
        <v>2037</v>
      </c>
      <c r="Q98" t="s">
        <v>2022</v>
      </c>
      <c r="R98" t="s">
        <v>1172</v>
      </c>
      <c r="S98" t="s">
        <v>1396</v>
      </c>
      <c r="T98" t="s">
        <v>2038</v>
      </c>
      <c r="U98" t="s">
        <v>1644</v>
      </c>
      <c r="V98" t="s">
        <v>2039</v>
      </c>
      <c r="W98" t="s">
        <v>2040</v>
      </c>
      <c r="X98" t="s">
        <v>2041</v>
      </c>
      <c r="Y98" t="s">
        <v>268</v>
      </c>
      <c r="AB98" t="s">
        <v>883</v>
      </c>
      <c r="AC98" t="s">
        <v>2042</v>
      </c>
      <c r="AD98" t="s">
        <v>2043</v>
      </c>
      <c r="AE98" t="str">
        <f t="shared" si="8"/>
        <v>Vale Tree Surgeons</v>
      </c>
      <c r="AF98">
        <f t="shared" si="9"/>
        <v>46129</v>
      </c>
      <c r="AG98">
        <f t="shared" si="10"/>
        <v>1</v>
      </c>
      <c r="AH98">
        <f t="shared" si="11"/>
        <v>2</v>
      </c>
    </row>
    <row r="99" spans="1:34" x14ac:dyDescent="0.15">
      <c r="A99" t="s">
        <v>253</v>
      </c>
      <c r="B99" t="s">
        <v>1967</v>
      </c>
      <c r="C99" t="s">
        <v>785</v>
      </c>
      <c r="D99" t="s">
        <v>957</v>
      </c>
      <c r="E99" t="s">
        <v>957</v>
      </c>
      <c r="F99" t="s">
        <v>785</v>
      </c>
      <c r="G99" t="s">
        <v>1999</v>
      </c>
      <c r="H99" t="s">
        <v>958</v>
      </c>
      <c r="I99" t="s">
        <v>2044</v>
      </c>
      <c r="J99" t="s">
        <v>2045</v>
      </c>
      <c r="K99" t="s">
        <v>2046</v>
      </c>
      <c r="L99" t="s">
        <v>2047</v>
      </c>
      <c r="M99" t="s">
        <v>2048</v>
      </c>
      <c r="N99" t="s">
        <v>2049</v>
      </c>
      <c r="O99" t="s">
        <v>2050</v>
      </c>
      <c r="P99" t="s">
        <v>1546</v>
      </c>
      <c r="Q99" t="s">
        <v>1584</v>
      </c>
      <c r="R99" t="s">
        <v>1609</v>
      </c>
      <c r="S99" t="s">
        <v>1517</v>
      </c>
      <c r="T99" t="s">
        <v>2051</v>
      </c>
      <c r="U99" t="s">
        <v>1644</v>
      </c>
      <c r="V99" t="s">
        <v>2052</v>
      </c>
      <c r="W99" t="s">
        <v>2040</v>
      </c>
      <c r="X99" t="s">
        <v>2053</v>
      </c>
      <c r="Y99" t="s">
        <v>268</v>
      </c>
      <c r="AB99" t="s">
        <v>2054</v>
      </c>
      <c r="AC99" t="s">
        <v>2055</v>
      </c>
      <c r="AD99" t="s">
        <v>2056</v>
      </c>
      <c r="AE99" t="str">
        <f t="shared" si="8"/>
        <v>Bourne VP</v>
      </c>
      <c r="AF99">
        <f t="shared" si="9"/>
        <v>46129</v>
      </c>
      <c r="AG99">
        <f t="shared" si="10"/>
        <v>1</v>
      </c>
      <c r="AH99">
        <f t="shared" si="11"/>
        <v>2</v>
      </c>
    </row>
    <row r="100" spans="1:34" x14ac:dyDescent="0.15">
      <c r="A100" t="s">
        <v>253</v>
      </c>
      <c r="B100" t="s">
        <v>1967</v>
      </c>
      <c r="C100" t="s">
        <v>785</v>
      </c>
      <c r="D100" t="s">
        <v>957</v>
      </c>
      <c r="E100" t="s">
        <v>957</v>
      </c>
      <c r="F100" t="s">
        <v>785</v>
      </c>
      <c r="G100" t="s">
        <v>1999</v>
      </c>
      <c r="H100" t="s">
        <v>958</v>
      </c>
      <c r="I100" t="s">
        <v>2057</v>
      </c>
      <c r="J100" t="s">
        <v>2045</v>
      </c>
      <c r="K100" t="s">
        <v>2046</v>
      </c>
      <c r="L100" t="s">
        <v>2058</v>
      </c>
      <c r="M100" t="s">
        <v>2059</v>
      </c>
      <c r="N100" t="s">
        <v>2060</v>
      </c>
      <c r="O100" t="s">
        <v>2061</v>
      </c>
      <c r="P100" t="s">
        <v>2062</v>
      </c>
      <c r="Q100" t="s">
        <v>1985</v>
      </c>
      <c r="R100" t="s">
        <v>1203</v>
      </c>
      <c r="S100" t="s">
        <v>1323</v>
      </c>
      <c r="T100" t="s">
        <v>2063</v>
      </c>
      <c r="U100" t="s">
        <v>1644</v>
      </c>
      <c r="V100" t="s">
        <v>2064</v>
      </c>
      <c r="W100" t="s">
        <v>2065</v>
      </c>
      <c r="X100" t="s">
        <v>2066</v>
      </c>
      <c r="Y100" t="s">
        <v>268</v>
      </c>
      <c r="AB100" t="s">
        <v>2067</v>
      </c>
      <c r="AC100" t="s">
        <v>2068</v>
      </c>
      <c r="AD100" t="s">
        <v>2069</v>
      </c>
      <c r="AE100" t="str">
        <f t="shared" si="8"/>
        <v>Bourne VP</v>
      </c>
      <c r="AF100">
        <f t="shared" si="9"/>
        <v>46129</v>
      </c>
      <c r="AG100">
        <f t="shared" si="10"/>
        <v>7</v>
      </c>
      <c r="AH100">
        <f t="shared" si="11"/>
        <v>1</v>
      </c>
    </row>
    <row r="101" spans="1:34" x14ac:dyDescent="0.15">
      <c r="A101" t="s">
        <v>253</v>
      </c>
      <c r="B101" t="s">
        <v>1967</v>
      </c>
      <c r="C101" t="s">
        <v>785</v>
      </c>
      <c r="D101" t="s">
        <v>957</v>
      </c>
      <c r="E101" t="s">
        <v>957</v>
      </c>
      <c r="F101" t="s">
        <v>785</v>
      </c>
      <c r="G101" t="s">
        <v>1999</v>
      </c>
      <c r="H101" t="s">
        <v>958</v>
      </c>
      <c r="I101" t="s">
        <v>2070</v>
      </c>
      <c r="J101" t="s">
        <v>2071</v>
      </c>
      <c r="K101" t="s">
        <v>2072</v>
      </c>
      <c r="L101" t="s">
        <v>2073</v>
      </c>
      <c r="M101" t="s">
        <v>2074</v>
      </c>
      <c r="N101" t="s">
        <v>2075</v>
      </c>
      <c r="O101" t="s">
        <v>2076</v>
      </c>
      <c r="P101" t="s">
        <v>2077</v>
      </c>
      <c r="Q101" t="s">
        <v>1585</v>
      </c>
      <c r="R101" t="s">
        <v>1057</v>
      </c>
      <c r="S101" t="s">
        <v>1396</v>
      </c>
      <c r="T101" t="s">
        <v>2078</v>
      </c>
      <c r="U101" t="s">
        <v>1644</v>
      </c>
      <c r="V101" t="s">
        <v>2079</v>
      </c>
      <c r="W101" t="s">
        <v>1988</v>
      </c>
      <c r="X101" t="s">
        <v>2080</v>
      </c>
      <c r="Y101" t="s">
        <v>268</v>
      </c>
      <c r="AB101" t="s">
        <v>2081</v>
      </c>
      <c r="AC101" t="s">
        <v>2082</v>
      </c>
      <c r="AD101" t="s">
        <v>2083</v>
      </c>
      <c r="AE101" t="str">
        <f t="shared" si="8"/>
        <v>RFP Tree and Landscape Services Ltd</v>
      </c>
      <c r="AF101">
        <f t="shared" si="9"/>
        <v>46129</v>
      </c>
      <c r="AG101">
        <f t="shared" si="10"/>
        <v>1</v>
      </c>
      <c r="AH101">
        <f t="shared" si="11"/>
        <v>2</v>
      </c>
    </row>
    <row r="102" spans="1:34" x14ac:dyDescent="0.15">
      <c r="A102" t="s">
        <v>253</v>
      </c>
      <c r="B102" t="s">
        <v>1088</v>
      </c>
      <c r="C102" t="s">
        <v>785</v>
      </c>
      <c r="D102" t="s">
        <v>902</v>
      </c>
      <c r="E102" t="s">
        <v>902</v>
      </c>
      <c r="F102" t="s">
        <v>785</v>
      </c>
      <c r="G102" t="s">
        <v>2084</v>
      </c>
      <c r="H102" t="s">
        <v>903</v>
      </c>
      <c r="I102" t="s">
        <v>905</v>
      </c>
      <c r="K102" t="s">
        <v>906</v>
      </c>
      <c r="L102" t="s">
        <v>2085</v>
      </c>
      <c r="M102" t="s">
        <v>2086</v>
      </c>
      <c r="N102" t="s">
        <v>2087</v>
      </c>
      <c r="O102" t="s">
        <v>2088</v>
      </c>
      <c r="P102" t="s">
        <v>1096</v>
      </c>
      <c r="Q102" t="s">
        <v>1005</v>
      </c>
      <c r="R102" t="s">
        <v>1005</v>
      </c>
      <c r="S102" t="s">
        <v>2089</v>
      </c>
      <c r="T102" t="s">
        <v>968</v>
      </c>
      <c r="U102" t="s">
        <v>969</v>
      </c>
      <c r="X102" t="s">
        <v>2090</v>
      </c>
      <c r="Y102" t="s">
        <v>268</v>
      </c>
      <c r="AB102" t="s">
        <v>883</v>
      </c>
      <c r="AC102" t="s">
        <v>2091</v>
      </c>
      <c r="AD102" t="s">
        <v>2092</v>
      </c>
      <c r="AE102" t="str">
        <f t="shared" ref="AE102:AE127" si="12">IF(K102="","",TRIM(MID(K102,IF(ISNUMBER(VALUE(LEFT(K102,4))),6,1),200)))</f>
        <v>New Leaf Arb Ltd</v>
      </c>
      <c r="AF102">
        <f t="shared" ref="AF102:AF127" si="13">IF(N102="","",IFERROR(DATEVALUE(LEFT(N102,10)),N102))</f>
        <v>46127</v>
      </c>
      <c r="AG102">
        <f t="shared" ref="AG102:AG127" si="14">IF(W102="",0,LEN(TRIM(W102))-LEN(SUBSTITUTE(TRIM(W102),",",""))+1)</f>
        <v>0</v>
      </c>
      <c r="AH102">
        <f t="shared" ref="AH102:AH133" si="15">IF(OR(N102="",K102=""),"",IF(U102="High Standards",4,IF(U102="Compliant",3,IF(U102="Minor Nonconformity",IF(AG102&gt;=2,1,2),""))))</f>
        <v>4</v>
      </c>
    </row>
    <row r="103" spans="1:34" x14ac:dyDescent="0.15">
      <c r="A103" t="s">
        <v>253</v>
      </c>
      <c r="B103" t="s">
        <v>956</v>
      </c>
      <c r="C103" t="s">
        <v>785</v>
      </c>
      <c r="D103" t="s">
        <v>957</v>
      </c>
      <c r="E103" t="s">
        <v>957</v>
      </c>
      <c r="F103" t="s">
        <v>785</v>
      </c>
      <c r="G103" t="s">
        <v>1780</v>
      </c>
      <c r="H103" t="s">
        <v>958</v>
      </c>
      <c r="I103" t="s">
        <v>2093</v>
      </c>
      <c r="J103" t="s">
        <v>2094</v>
      </c>
      <c r="K103" t="s">
        <v>1000</v>
      </c>
      <c r="L103" t="s">
        <v>2095</v>
      </c>
      <c r="M103" t="s">
        <v>2096</v>
      </c>
      <c r="N103" t="s">
        <v>2097</v>
      </c>
      <c r="O103" t="s">
        <v>2098</v>
      </c>
      <c r="P103" t="s">
        <v>1111</v>
      </c>
      <c r="Q103" t="s">
        <v>1584</v>
      </c>
      <c r="R103" t="s">
        <v>1584</v>
      </c>
      <c r="S103" t="s">
        <v>1774</v>
      </c>
      <c r="T103" t="s">
        <v>968</v>
      </c>
      <c r="U103" t="s">
        <v>982</v>
      </c>
      <c r="V103" t="s">
        <v>2099</v>
      </c>
      <c r="X103" t="s">
        <v>2100</v>
      </c>
      <c r="Y103" t="s">
        <v>268</v>
      </c>
      <c r="AB103" t="s">
        <v>883</v>
      </c>
      <c r="AC103" t="s">
        <v>2101</v>
      </c>
      <c r="AD103" t="s">
        <v>2102</v>
      </c>
      <c r="AE103" t="str">
        <f t="shared" si="12"/>
        <v>Brinksworth Tree Services Ltd</v>
      </c>
      <c r="AF103">
        <f t="shared" si="13"/>
        <v>46127</v>
      </c>
      <c r="AG103">
        <f t="shared" si="14"/>
        <v>0</v>
      </c>
      <c r="AH103">
        <f t="shared" si="15"/>
        <v>3</v>
      </c>
    </row>
    <row r="104" spans="1:34" x14ac:dyDescent="0.15">
      <c r="A104" t="s">
        <v>253</v>
      </c>
      <c r="B104" t="s">
        <v>1050</v>
      </c>
      <c r="C104" t="s">
        <v>785</v>
      </c>
      <c r="D104" t="s">
        <v>767</v>
      </c>
      <c r="E104" t="s">
        <v>767</v>
      </c>
      <c r="F104" t="s">
        <v>785</v>
      </c>
      <c r="G104" t="s">
        <v>1726</v>
      </c>
      <c r="H104" t="s">
        <v>808</v>
      </c>
      <c r="I104" t="s">
        <v>1211</v>
      </c>
      <c r="K104" t="s">
        <v>1052</v>
      </c>
      <c r="L104" t="s">
        <v>2103</v>
      </c>
      <c r="M104" t="s">
        <v>2104</v>
      </c>
      <c r="N104" t="s">
        <v>2105</v>
      </c>
      <c r="O104" t="s">
        <v>2106</v>
      </c>
      <c r="P104" t="s">
        <v>966</v>
      </c>
      <c r="Q104" t="s">
        <v>1005</v>
      </c>
      <c r="R104" t="s">
        <v>966</v>
      </c>
      <c r="S104" t="s">
        <v>1187</v>
      </c>
      <c r="T104" t="s">
        <v>2107</v>
      </c>
      <c r="U104" t="s">
        <v>982</v>
      </c>
      <c r="V104" t="s">
        <v>2108</v>
      </c>
      <c r="X104" t="s">
        <v>2109</v>
      </c>
      <c r="Y104" t="s">
        <v>268</v>
      </c>
      <c r="AB104" t="s">
        <v>883</v>
      </c>
      <c r="AC104" t="s">
        <v>2110</v>
      </c>
      <c r="AD104" t="s">
        <v>2111</v>
      </c>
      <c r="AE104" t="str">
        <f t="shared" si="12"/>
        <v>Ashdown Tree Limited</v>
      </c>
      <c r="AF104">
        <f t="shared" si="13"/>
        <v>46125</v>
      </c>
      <c r="AG104">
        <f t="shared" si="14"/>
        <v>0</v>
      </c>
      <c r="AH104">
        <f t="shared" si="15"/>
        <v>3</v>
      </c>
    </row>
    <row r="105" spans="1:34" x14ac:dyDescent="0.15">
      <c r="A105" t="s">
        <v>253</v>
      </c>
      <c r="B105" t="s">
        <v>1050</v>
      </c>
      <c r="C105" t="s">
        <v>785</v>
      </c>
      <c r="D105" t="s">
        <v>767</v>
      </c>
      <c r="E105" t="s">
        <v>767</v>
      </c>
      <c r="F105" t="s">
        <v>785</v>
      </c>
      <c r="G105" t="s">
        <v>1726</v>
      </c>
      <c r="H105" t="s">
        <v>808</v>
      </c>
      <c r="I105" t="s">
        <v>1211</v>
      </c>
      <c r="K105" t="s">
        <v>1052</v>
      </c>
      <c r="L105" t="s">
        <v>1053</v>
      </c>
      <c r="M105" t="s">
        <v>2112</v>
      </c>
      <c r="N105" t="s">
        <v>2113</v>
      </c>
      <c r="O105" t="s">
        <v>2114</v>
      </c>
      <c r="P105" t="s">
        <v>2023</v>
      </c>
      <c r="Q105" t="s">
        <v>966</v>
      </c>
      <c r="R105" t="s">
        <v>966</v>
      </c>
      <c r="S105" t="s">
        <v>1245</v>
      </c>
      <c r="T105" t="s">
        <v>968</v>
      </c>
      <c r="U105" t="s">
        <v>982</v>
      </c>
      <c r="V105" t="s">
        <v>2115</v>
      </c>
      <c r="X105" t="s">
        <v>2109</v>
      </c>
      <c r="Y105" t="s">
        <v>268</v>
      </c>
      <c r="AB105" t="s">
        <v>883</v>
      </c>
      <c r="AC105" t="s">
        <v>2116</v>
      </c>
      <c r="AD105" t="s">
        <v>2117</v>
      </c>
      <c r="AE105" t="str">
        <f t="shared" si="12"/>
        <v>Ashdown Tree Limited</v>
      </c>
      <c r="AF105">
        <f t="shared" si="13"/>
        <v>46125</v>
      </c>
      <c r="AG105">
        <f t="shared" si="14"/>
        <v>0</v>
      </c>
      <c r="AH105">
        <f t="shared" si="15"/>
        <v>3</v>
      </c>
    </row>
    <row r="106" spans="1:34" x14ac:dyDescent="0.15">
      <c r="A106" t="s">
        <v>253</v>
      </c>
      <c r="B106" t="s">
        <v>1967</v>
      </c>
      <c r="C106" t="s">
        <v>785</v>
      </c>
      <c r="D106" t="s">
        <v>957</v>
      </c>
      <c r="E106" t="s">
        <v>957</v>
      </c>
      <c r="F106" t="s">
        <v>785</v>
      </c>
      <c r="G106" t="s">
        <v>1999</v>
      </c>
      <c r="H106" t="s">
        <v>958</v>
      </c>
      <c r="I106" t="s">
        <v>2118</v>
      </c>
      <c r="K106" t="s">
        <v>1330</v>
      </c>
      <c r="L106" t="s">
        <v>2119</v>
      </c>
      <c r="M106" t="s">
        <v>2120</v>
      </c>
      <c r="N106" t="s">
        <v>2121</v>
      </c>
      <c r="O106" t="s">
        <v>2122</v>
      </c>
      <c r="P106" t="s">
        <v>1504</v>
      </c>
      <c r="Q106" t="s">
        <v>2022</v>
      </c>
      <c r="R106" t="s">
        <v>1172</v>
      </c>
      <c r="S106" t="s">
        <v>1349</v>
      </c>
      <c r="T106" t="s">
        <v>2038</v>
      </c>
      <c r="U106" t="s">
        <v>1644</v>
      </c>
      <c r="V106" t="s">
        <v>2123</v>
      </c>
      <c r="W106" t="s">
        <v>2124</v>
      </c>
      <c r="X106" t="s">
        <v>2125</v>
      </c>
      <c r="Y106" t="s">
        <v>268</v>
      </c>
      <c r="AB106" t="s">
        <v>883</v>
      </c>
      <c r="AC106" t="s">
        <v>2126</v>
      </c>
      <c r="AD106" t="s">
        <v>2127</v>
      </c>
      <c r="AE106" t="str">
        <f t="shared" si="12"/>
        <v>Kingfisher Tree Services Ltd</v>
      </c>
      <c r="AF106">
        <f t="shared" si="13"/>
        <v>46124</v>
      </c>
      <c r="AG106">
        <f t="shared" si="14"/>
        <v>1</v>
      </c>
      <c r="AH106">
        <f t="shared" si="15"/>
        <v>2</v>
      </c>
    </row>
    <row r="107" spans="1:34" x14ac:dyDescent="0.15">
      <c r="A107" t="s">
        <v>253</v>
      </c>
      <c r="B107" t="s">
        <v>1967</v>
      </c>
      <c r="C107" t="s">
        <v>785</v>
      </c>
      <c r="D107" t="s">
        <v>957</v>
      </c>
      <c r="E107" t="s">
        <v>957</v>
      </c>
      <c r="F107" t="s">
        <v>785</v>
      </c>
      <c r="G107" t="s">
        <v>1968</v>
      </c>
      <c r="H107" t="s">
        <v>958</v>
      </c>
      <c r="I107" t="s">
        <v>2128</v>
      </c>
      <c r="J107" t="s">
        <v>2129</v>
      </c>
      <c r="K107" t="s">
        <v>2130</v>
      </c>
      <c r="L107" t="s">
        <v>2131</v>
      </c>
      <c r="M107" t="s">
        <v>2132</v>
      </c>
      <c r="N107" t="s">
        <v>2133</v>
      </c>
      <c r="O107" t="s">
        <v>2134</v>
      </c>
      <c r="P107" t="s">
        <v>2007</v>
      </c>
      <c r="Q107" t="s">
        <v>1110</v>
      </c>
      <c r="R107" t="s">
        <v>1321</v>
      </c>
      <c r="S107" t="s">
        <v>2135</v>
      </c>
      <c r="T107" t="s">
        <v>2136</v>
      </c>
      <c r="U107" t="s">
        <v>1644</v>
      </c>
      <c r="V107" t="s">
        <v>2137</v>
      </c>
      <c r="W107" t="s">
        <v>2138</v>
      </c>
      <c r="X107" t="s">
        <v>2139</v>
      </c>
      <c r="Y107" t="s">
        <v>268</v>
      </c>
      <c r="AB107" t="s">
        <v>883</v>
      </c>
      <c r="AC107" t="s">
        <v>2140</v>
      </c>
      <c r="AD107" t="s">
        <v>2141</v>
      </c>
      <c r="AE107" t="str">
        <f t="shared" si="12"/>
        <v>High Branch</v>
      </c>
      <c r="AF107">
        <f t="shared" si="13"/>
        <v>46124</v>
      </c>
      <c r="AG107">
        <f t="shared" si="14"/>
        <v>2</v>
      </c>
      <c r="AH107">
        <f t="shared" si="15"/>
        <v>1</v>
      </c>
    </row>
    <row r="108" spans="1:34" x14ac:dyDescent="0.15">
      <c r="A108" t="s">
        <v>253</v>
      </c>
      <c r="B108" t="s">
        <v>1967</v>
      </c>
      <c r="C108" t="s">
        <v>785</v>
      </c>
      <c r="D108" t="s">
        <v>957</v>
      </c>
      <c r="E108" t="s">
        <v>957</v>
      </c>
      <c r="F108" t="s">
        <v>785</v>
      </c>
      <c r="G108" t="s">
        <v>1968</v>
      </c>
      <c r="H108" t="s">
        <v>958</v>
      </c>
      <c r="I108" t="s">
        <v>2142</v>
      </c>
      <c r="J108" t="s">
        <v>2143</v>
      </c>
      <c r="K108" t="s">
        <v>2144</v>
      </c>
      <c r="L108" t="s">
        <v>2145</v>
      </c>
      <c r="M108" t="s">
        <v>2146</v>
      </c>
      <c r="N108" t="s">
        <v>2147</v>
      </c>
      <c r="O108" t="s">
        <v>2148</v>
      </c>
      <c r="P108" t="s">
        <v>2149</v>
      </c>
      <c r="Q108" t="s">
        <v>2150</v>
      </c>
      <c r="R108" t="s">
        <v>1504</v>
      </c>
      <c r="S108" t="s">
        <v>1204</v>
      </c>
      <c r="T108" t="s">
        <v>1476</v>
      </c>
      <c r="U108" t="s">
        <v>1644</v>
      </c>
      <c r="V108" t="s">
        <v>2151</v>
      </c>
      <c r="W108" t="s">
        <v>2152</v>
      </c>
      <c r="X108" t="s">
        <v>2153</v>
      </c>
      <c r="Y108" t="s">
        <v>268</v>
      </c>
      <c r="AB108" t="s">
        <v>2154</v>
      </c>
      <c r="AC108" t="s">
        <v>2155</v>
      </c>
      <c r="AD108" t="s">
        <v>2156</v>
      </c>
      <c r="AE108" t="str">
        <f t="shared" si="12"/>
        <v>MJR Tree Works</v>
      </c>
      <c r="AF108">
        <f t="shared" si="13"/>
        <v>46124</v>
      </c>
      <c r="AG108">
        <f t="shared" si="14"/>
        <v>3</v>
      </c>
      <c r="AH108">
        <f t="shared" si="15"/>
        <v>1</v>
      </c>
    </row>
    <row r="109" spans="1:34" x14ac:dyDescent="0.15">
      <c r="A109" t="s">
        <v>253</v>
      </c>
      <c r="B109" t="s">
        <v>1967</v>
      </c>
      <c r="C109" t="s">
        <v>785</v>
      </c>
      <c r="D109" t="s">
        <v>957</v>
      </c>
      <c r="E109" t="s">
        <v>957</v>
      </c>
      <c r="F109" t="s">
        <v>785</v>
      </c>
      <c r="G109" t="s">
        <v>1999</v>
      </c>
      <c r="H109" t="s">
        <v>958</v>
      </c>
      <c r="I109" t="s">
        <v>2000</v>
      </c>
      <c r="J109" t="s">
        <v>2001</v>
      </c>
      <c r="K109" t="s">
        <v>1014</v>
      </c>
      <c r="L109" t="s">
        <v>2002</v>
      </c>
      <c r="M109" t="s">
        <v>2003</v>
      </c>
      <c r="N109" t="s">
        <v>2004</v>
      </c>
      <c r="O109" t="s">
        <v>2005</v>
      </c>
      <c r="P109" t="s">
        <v>2006</v>
      </c>
      <c r="Q109" t="s">
        <v>2007</v>
      </c>
      <c r="R109" t="s">
        <v>1452</v>
      </c>
      <c r="S109" t="s">
        <v>1642</v>
      </c>
      <c r="T109" t="s">
        <v>2008</v>
      </c>
      <c r="U109" t="s">
        <v>1644</v>
      </c>
      <c r="V109" t="s">
        <v>2009</v>
      </c>
      <c r="W109" t="s">
        <v>2010</v>
      </c>
      <c r="X109" t="s">
        <v>2011</v>
      </c>
      <c r="Y109" t="s">
        <v>268</v>
      </c>
      <c r="AB109" t="s">
        <v>2157</v>
      </c>
      <c r="AC109" t="s">
        <v>2158</v>
      </c>
      <c r="AD109" t="s">
        <v>2159</v>
      </c>
      <c r="AE109" t="str">
        <f t="shared" si="12"/>
        <v>Treerebral Ltd</v>
      </c>
      <c r="AF109">
        <f t="shared" si="13"/>
        <v>46129</v>
      </c>
      <c r="AG109">
        <f t="shared" si="14"/>
        <v>2</v>
      </c>
      <c r="AH109">
        <f t="shared" si="15"/>
        <v>1</v>
      </c>
    </row>
    <row r="110" spans="1:34" x14ac:dyDescent="0.15">
      <c r="A110" t="s">
        <v>253</v>
      </c>
      <c r="B110" t="s">
        <v>1967</v>
      </c>
      <c r="C110" t="s">
        <v>785</v>
      </c>
      <c r="D110" t="s">
        <v>957</v>
      </c>
      <c r="E110" t="s">
        <v>957</v>
      </c>
      <c r="F110" t="s">
        <v>785</v>
      </c>
      <c r="G110" t="s">
        <v>1999</v>
      </c>
      <c r="H110" t="s">
        <v>958</v>
      </c>
      <c r="I110" t="s">
        <v>2015</v>
      </c>
      <c r="J110" t="s">
        <v>2016</v>
      </c>
      <c r="K110" t="s">
        <v>1390</v>
      </c>
      <c r="L110" t="s">
        <v>2017</v>
      </c>
      <c r="M110" t="s">
        <v>2018</v>
      </c>
      <c r="N110" t="s">
        <v>2019</v>
      </c>
      <c r="O110" t="s">
        <v>2020</v>
      </c>
      <c r="P110" t="s">
        <v>2021</v>
      </c>
      <c r="Q110" t="s">
        <v>2022</v>
      </c>
      <c r="R110" t="s">
        <v>2023</v>
      </c>
      <c r="S110" t="s">
        <v>1323</v>
      </c>
      <c r="T110" t="s">
        <v>2024</v>
      </c>
      <c r="U110" t="s">
        <v>1644</v>
      </c>
      <c r="V110" t="s">
        <v>2025</v>
      </c>
      <c r="W110" t="s">
        <v>2026</v>
      </c>
      <c r="X110" t="s">
        <v>2027</v>
      </c>
      <c r="Y110" t="s">
        <v>268</v>
      </c>
      <c r="AB110" t="s">
        <v>2160</v>
      </c>
      <c r="AC110" t="s">
        <v>2161</v>
      </c>
      <c r="AD110" t="s">
        <v>2162</v>
      </c>
      <c r="AE110" t="str">
        <f t="shared" si="12"/>
        <v>Vale Tree Surgeons</v>
      </c>
      <c r="AF110">
        <f t="shared" si="13"/>
        <v>46129</v>
      </c>
      <c r="AG110">
        <f t="shared" si="14"/>
        <v>4</v>
      </c>
      <c r="AH110">
        <f t="shared" si="15"/>
        <v>1</v>
      </c>
    </row>
    <row r="111" spans="1:34" x14ac:dyDescent="0.15">
      <c r="A111" t="s">
        <v>253</v>
      </c>
      <c r="B111" t="s">
        <v>1967</v>
      </c>
      <c r="C111" t="s">
        <v>785</v>
      </c>
      <c r="D111" t="s">
        <v>957</v>
      </c>
      <c r="E111" t="s">
        <v>957</v>
      </c>
      <c r="F111" t="s">
        <v>785</v>
      </c>
      <c r="G111" t="s">
        <v>1999</v>
      </c>
      <c r="H111" t="s">
        <v>958</v>
      </c>
      <c r="I111" t="s">
        <v>2031</v>
      </c>
      <c r="J111" t="s">
        <v>2032</v>
      </c>
      <c r="K111" t="s">
        <v>1390</v>
      </c>
      <c r="L111" t="s">
        <v>2033</v>
      </c>
      <c r="M111" t="s">
        <v>2034</v>
      </c>
      <c r="N111" t="s">
        <v>2035</v>
      </c>
      <c r="O111" t="s">
        <v>2036</v>
      </c>
      <c r="P111" t="s">
        <v>2037</v>
      </c>
      <c r="Q111" t="s">
        <v>2022</v>
      </c>
      <c r="R111" t="s">
        <v>1172</v>
      </c>
      <c r="S111" t="s">
        <v>1396</v>
      </c>
      <c r="T111" t="s">
        <v>2038</v>
      </c>
      <c r="U111" t="s">
        <v>1644</v>
      </c>
      <c r="V111" t="s">
        <v>2039</v>
      </c>
      <c r="W111" t="s">
        <v>2040</v>
      </c>
      <c r="X111" t="s">
        <v>2041</v>
      </c>
      <c r="Y111" t="s">
        <v>268</v>
      </c>
      <c r="AB111" t="s">
        <v>883</v>
      </c>
      <c r="AC111" t="s">
        <v>2163</v>
      </c>
      <c r="AD111" t="s">
        <v>2164</v>
      </c>
      <c r="AE111" t="str">
        <f t="shared" si="12"/>
        <v>Vale Tree Surgeons</v>
      </c>
      <c r="AF111">
        <f t="shared" si="13"/>
        <v>46129</v>
      </c>
      <c r="AG111">
        <f t="shared" si="14"/>
        <v>1</v>
      </c>
      <c r="AH111">
        <f t="shared" si="15"/>
        <v>2</v>
      </c>
    </row>
    <row r="112" spans="1:34" x14ac:dyDescent="0.15">
      <c r="A112" t="s">
        <v>253</v>
      </c>
      <c r="B112" t="s">
        <v>1967</v>
      </c>
      <c r="C112" t="s">
        <v>785</v>
      </c>
      <c r="D112" t="s">
        <v>957</v>
      </c>
      <c r="E112" t="s">
        <v>957</v>
      </c>
      <c r="F112" t="s">
        <v>785</v>
      </c>
      <c r="G112" t="s">
        <v>1999</v>
      </c>
      <c r="H112" t="s">
        <v>958</v>
      </c>
      <c r="I112" t="s">
        <v>2044</v>
      </c>
      <c r="J112" t="s">
        <v>2045</v>
      </c>
      <c r="K112" t="s">
        <v>2046</v>
      </c>
      <c r="L112" t="s">
        <v>2047</v>
      </c>
      <c r="M112" t="s">
        <v>2048</v>
      </c>
      <c r="N112" t="s">
        <v>2049</v>
      </c>
      <c r="O112" t="s">
        <v>2050</v>
      </c>
      <c r="P112" t="s">
        <v>1546</v>
      </c>
      <c r="Q112" t="s">
        <v>1584</v>
      </c>
      <c r="R112" t="s">
        <v>1609</v>
      </c>
      <c r="S112" t="s">
        <v>1517</v>
      </c>
      <c r="T112" t="s">
        <v>2051</v>
      </c>
      <c r="U112" t="s">
        <v>1644</v>
      </c>
      <c r="V112" t="s">
        <v>2052</v>
      </c>
      <c r="W112" t="s">
        <v>2040</v>
      </c>
      <c r="X112" t="s">
        <v>2053</v>
      </c>
      <c r="Y112" t="s">
        <v>268</v>
      </c>
      <c r="AB112" t="s">
        <v>2165</v>
      </c>
      <c r="AC112" t="s">
        <v>2166</v>
      </c>
      <c r="AD112" t="s">
        <v>2167</v>
      </c>
      <c r="AE112" t="str">
        <f t="shared" si="12"/>
        <v>Bourne VP</v>
      </c>
      <c r="AF112">
        <f t="shared" si="13"/>
        <v>46129</v>
      </c>
      <c r="AG112">
        <f t="shared" si="14"/>
        <v>1</v>
      </c>
      <c r="AH112">
        <f t="shared" si="15"/>
        <v>2</v>
      </c>
    </row>
    <row r="113" spans="1:34" x14ac:dyDescent="0.15">
      <c r="A113" t="s">
        <v>253</v>
      </c>
      <c r="B113" t="s">
        <v>1967</v>
      </c>
      <c r="C113" t="s">
        <v>785</v>
      </c>
      <c r="D113" t="s">
        <v>957</v>
      </c>
      <c r="E113" t="s">
        <v>957</v>
      </c>
      <c r="F113" t="s">
        <v>785</v>
      </c>
      <c r="G113" t="s">
        <v>1999</v>
      </c>
      <c r="H113" t="s">
        <v>958</v>
      </c>
      <c r="I113" t="s">
        <v>2057</v>
      </c>
      <c r="J113" t="s">
        <v>2045</v>
      </c>
      <c r="K113" t="s">
        <v>2046</v>
      </c>
      <c r="L113" t="s">
        <v>2058</v>
      </c>
      <c r="M113" t="s">
        <v>2059</v>
      </c>
      <c r="N113" t="s">
        <v>2060</v>
      </c>
      <c r="O113" t="s">
        <v>2061</v>
      </c>
      <c r="P113" t="s">
        <v>2062</v>
      </c>
      <c r="Q113" t="s">
        <v>1985</v>
      </c>
      <c r="R113" t="s">
        <v>1203</v>
      </c>
      <c r="S113" t="s">
        <v>1323</v>
      </c>
      <c r="T113" t="s">
        <v>2063</v>
      </c>
      <c r="U113" t="s">
        <v>1644</v>
      </c>
      <c r="V113" t="s">
        <v>2064</v>
      </c>
      <c r="W113" t="s">
        <v>2065</v>
      </c>
      <c r="X113" t="s">
        <v>2066</v>
      </c>
      <c r="Y113" t="s">
        <v>268</v>
      </c>
      <c r="AB113" t="s">
        <v>2168</v>
      </c>
      <c r="AC113" t="s">
        <v>2169</v>
      </c>
      <c r="AD113" t="s">
        <v>2170</v>
      </c>
      <c r="AE113" t="str">
        <f t="shared" si="12"/>
        <v>Bourne VP</v>
      </c>
      <c r="AF113">
        <f t="shared" si="13"/>
        <v>46129</v>
      </c>
      <c r="AG113">
        <f t="shared" si="14"/>
        <v>7</v>
      </c>
      <c r="AH113">
        <f t="shared" si="15"/>
        <v>1</v>
      </c>
    </row>
    <row r="114" spans="1:34" x14ac:dyDescent="0.15">
      <c r="A114" t="s">
        <v>253</v>
      </c>
      <c r="B114" t="s">
        <v>1967</v>
      </c>
      <c r="C114" t="s">
        <v>785</v>
      </c>
      <c r="D114" t="s">
        <v>957</v>
      </c>
      <c r="E114" t="s">
        <v>957</v>
      </c>
      <c r="F114" t="s">
        <v>785</v>
      </c>
      <c r="G114" t="s">
        <v>1999</v>
      </c>
      <c r="H114" t="s">
        <v>958</v>
      </c>
      <c r="I114" t="s">
        <v>2070</v>
      </c>
      <c r="J114" t="s">
        <v>2071</v>
      </c>
      <c r="K114" t="s">
        <v>2072</v>
      </c>
      <c r="L114" t="s">
        <v>2073</v>
      </c>
      <c r="M114" t="s">
        <v>2074</v>
      </c>
      <c r="N114" t="s">
        <v>2075</v>
      </c>
      <c r="O114" t="s">
        <v>2076</v>
      </c>
      <c r="P114" t="s">
        <v>2077</v>
      </c>
      <c r="Q114" t="s">
        <v>1585</v>
      </c>
      <c r="R114" t="s">
        <v>1057</v>
      </c>
      <c r="S114" t="s">
        <v>1396</v>
      </c>
      <c r="T114" t="s">
        <v>2078</v>
      </c>
      <c r="U114" t="s">
        <v>1644</v>
      </c>
      <c r="V114" t="s">
        <v>2079</v>
      </c>
      <c r="W114" t="s">
        <v>1988</v>
      </c>
      <c r="X114" t="s">
        <v>2080</v>
      </c>
      <c r="Y114" t="s">
        <v>268</v>
      </c>
      <c r="AB114" t="s">
        <v>2171</v>
      </c>
      <c r="AC114" t="s">
        <v>2172</v>
      </c>
      <c r="AD114" t="s">
        <v>2173</v>
      </c>
      <c r="AE114" t="str">
        <f t="shared" si="12"/>
        <v>RFP Tree and Landscape Services Ltd</v>
      </c>
      <c r="AF114">
        <f t="shared" si="13"/>
        <v>46129</v>
      </c>
      <c r="AG114">
        <f t="shared" si="14"/>
        <v>1</v>
      </c>
      <c r="AH114">
        <f t="shared" si="15"/>
        <v>2</v>
      </c>
    </row>
    <row r="115" spans="1:34" x14ac:dyDescent="0.15">
      <c r="A115" t="s">
        <v>253</v>
      </c>
      <c r="B115" t="s">
        <v>2174</v>
      </c>
      <c r="C115" t="s">
        <v>785</v>
      </c>
      <c r="D115" t="s">
        <v>767</v>
      </c>
      <c r="E115" t="s">
        <v>767</v>
      </c>
      <c r="F115" t="s">
        <v>785</v>
      </c>
      <c r="G115" t="s">
        <v>1688</v>
      </c>
      <c r="H115" t="s">
        <v>808</v>
      </c>
      <c r="I115" t="s">
        <v>2175</v>
      </c>
      <c r="K115" t="s">
        <v>765</v>
      </c>
      <c r="L115" t="s">
        <v>2176</v>
      </c>
      <c r="M115" t="s">
        <v>2177</v>
      </c>
      <c r="N115" t="s">
        <v>2178</v>
      </c>
      <c r="O115" t="s">
        <v>2179</v>
      </c>
      <c r="P115" t="s">
        <v>2180</v>
      </c>
      <c r="Q115" t="s">
        <v>1232</v>
      </c>
      <c r="R115" t="s">
        <v>1233</v>
      </c>
      <c r="S115" t="s">
        <v>1245</v>
      </c>
      <c r="T115" t="s">
        <v>1235</v>
      </c>
      <c r="U115" t="s">
        <v>982</v>
      </c>
      <c r="V115" t="s">
        <v>2181</v>
      </c>
      <c r="W115" t="s">
        <v>2182</v>
      </c>
      <c r="X115" t="s">
        <v>2183</v>
      </c>
      <c r="Y115" t="s">
        <v>279</v>
      </c>
      <c r="Z115" t="s">
        <v>1522</v>
      </c>
      <c r="AA115" t="s">
        <v>2184</v>
      </c>
      <c r="AB115" t="s">
        <v>2185</v>
      </c>
      <c r="AC115" t="s">
        <v>2186</v>
      </c>
      <c r="AD115" t="s">
        <v>2187</v>
      </c>
      <c r="AE115" t="str">
        <f t="shared" si="12"/>
        <v>Eastwoodbury Tree Services Ltd</v>
      </c>
      <c r="AF115">
        <f t="shared" si="13"/>
        <v>46134</v>
      </c>
      <c r="AG115">
        <f t="shared" si="14"/>
        <v>2</v>
      </c>
      <c r="AH115">
        <f t="shared" si="15"/>
        <v>3</v>
      </c>
    </row>
    <row r="116" spans="1:34" x14ac:dyDescent="0.15">
      <c r="A116" t="s">
        <v>253</v>
      </c>
      <c r="B116" t="s">
        <v>1940</v>
      </c>
      <c r="C116" t="s">
        <v>785</v>
      </c>
      <c r="D116" t="s">
        <v>957</v>
      </c>
      <c r="E116" t="s">
        <v>957</v>
      </c>
      <c r="F116" t="s">
        <v>785</v>
      </c>
      <c r="G116" t="s">
        <v>1790</v>
      </c>
      <c r="H116" t="s">
        <v>958</v>
      </c>
      <c r="I116" t="s">
        <v>1709</v>
      </c>
      <c r="J116" t="s">
        <v>2188</v>
      </c>
      <c r="K116" t="s">
        <v>2072</v>
      </c>
      <c r="L116" t="s">
        <v>2189</v>
      </c>
      <c r="M116" t="s">
        <v>2190</v>
      </c>
      <c r="N116" t="s">
        <v>2191</v>
      </c>
      <c r="O116" t="s">
        <v>2192</v>
      </c>
      <c r="P116" t="s">
        <v>1491</v>
      </c>
      <c r="Q116" t="s">
        <v>1552</v>
      </c>
      <c r="R116" t="s">
        <v>1552</v>
      </c>
      <c r="S116" t="s">
        <v>1774</v>
      </c>
      <c r="T116" t="s">
        <v>968</v>
      </c>
      <c r="U116" t="s">
        <v>982</v>
      </c>
      <c r="V116" t="s">
        <v>1246</v>
      </c>
      <c r="X116" t="s">
        <v>2193</v>
      </c>
      <c r="Y116" t="s">
        <v>268</v>
      </c>
      <c r="AB116" t="s">
        <v>883</v>
      </c>
      <c r="AC116" t="s">
        <v>2194</v>
      </c>
      <c r="AD116" t="s">
        <v>2195</v>
      </c>
      <c r="AE116" t="str">
        <f t="shared" si="12"/>
        <v>RFP Tree and Landscape Services Ltd</v>
      </c>
      <c r="AF116">
        <f t="shared" si="13"/>
        <v>46136</v>
      </c>
      <c r="AG116">
        <f t="shared" si="14"/>
        <v>0</v>
      </c>
      <c r="AH116">
        <f t="shared" si="15"/>
        <v>3</v>
      </c>
    </row>
    <row r="117" spans="1:34" x14ac:dyDescent="0.15">
      <c r="A117" t="s">
        <v>253</v>
      </c>
      <c r="B117" t="s">
        <v>1940</v>
      </c>
      <c r="C117" t="s">
        <v>785</v>
      </c>
      <c r="D117" t="s">
        <v>957</v>
      </c>
      <c r="E117" t="s">
        <v>957</v>
      </c>
      <c r="F117" t="s">
        <v>785</v>
      </c>
      <c r="G117" t="s">
        <v>1790</v>
      </c>
      <c r="H117" t="s">
        <v>958</v>
      </c>
      <c r="I117" t="s">
        <v>2196</v>
      </c>
      <c r="J117" t="s">
        <v>2188</v>
      </c>
      <c r="K117" t="s">
        <v>1390</v>
      </c>
      <c r="L117" t="s">
        <v>2197</v>
      </c>
      <c r="M117" t="s">
        <v>2198</v>
      </c>
      <c r="N117" t="s">
        <v>2199</v>
      </c>
      <c r="O117" t="s">
        <v>2200</v>
      </c>
      <c r="P117" t="s">
        <v>1070</v>
      </c>
      <c r="Q117" t="s">
        <v>2201</v>
      </c>
      <c r="R117" t="s">
        <v>2201</v>
      </c>
      <c r="S117" t="s">
        <v>1297</v>
      </c>
      <c r="T117" t="s">
        <v>968</v>
      </c>
      <c r="U117" t="s">
        <v>982</v>
      </c>
      <c r="V117" t="s">
        <v>2202</v>
      </c>
      <c r="X117" t="s">
        <v>2203</v>
      </c>
      <c r="Y117" t="s">
        <v>268</v>
      </c>
      <c r="AB117" t="s">
        <v>883</v>
      </c>
      <c r="AC117" t="s">
        <v>2204</v>
      </c>
      <c r="AD117" t="s">
        <v>2205</v>
      </c>
      <c r="AE117" t="str">
        <f t="shared" si="12"/>
        <v>Vale Tree Surgeons</v>
      </c>
      <c r="AF117">
        <f t="shared" si="13"/>
        <v>46136</v>
      </c>
      <c r="AG117">
        <f t="shared" si="14"/>
        <v>0</v>
      </c>
      <c r="AH117">
        <f t="shared" si="15"/>
        <v>3</v>
      </c>
    </row>
    <row r="118" spans="1:34" x14ac:dyDescent="0.15">
      <c r="A118" t="s">
        <v>253</v>
      </c>
      <c r="B118" t="s">
        <v>1288</v>
      </c>
      <c r="C118" t="s">
        <v>785</v>
      </c>
      <c r="D118" t="s">
        <v>957</v>
      </c>
      <c r="E118" t="s">
        <v>957</v>
      </c>
      <c r="F118" t="s">
        <v>785</v>
      </c>
      <c r="G118" t="s">
        <v>1968</v>
      </c>
      <c r="H118" t="s">
        <v>958</v>
      </c>
      <c r="I118" t="s">
        <v>1096</v>
      </c>
      <c r="J118" t="s">
        <v>2206</v>
      </c>
      <c r="K118" t="s">
        <v>2130</v>
      </c>
      <c r="L118" t="s">
        <v>2207</v>
      </c>
      <c r="M118" t="s">
        <v>2208</v>
      </c>
      <c r="N118" t="s">
        <v>2209</v>
      </c>
      <c r="O118" t="s">
        <v>2210</v>
      </c>
      <c r="P118" t="s">
        <v>1709</v>
      </c>
      <c r="Q118" t="s">
        <v>1138</v>
      </c>
      <c r="R118" t="s">
        <v>1138</v>
      </c>
      <c r="S118" t="s">
        <v>2211</v>
      </c>
      <c r="T118" t="s">
        <v>968</v>
      </c>
      <c r="U118" t="s">
        <v>969</v>
      </c>
      <c r="V118" t="s">
        <v>2212</v>
      </c>
      <c r="X118" t="s">
        <v>2213</v>
      </c>
      <c r="Y118" t="s">
        <v>268</v>
      </c>
      <c r="AB118" t="s">
        <v>883</v>
      </c>
      <c r="AC118" t="s">
        <v>2214</v>
      </c>
      <c r="AD118" t="s">
        <v>2215</v>
      </c>
      <c r="AE118" t="str">
        <f t="shared" si="12"/>
        <v>High Branch</v>
      </c>
      <c r="AF118">
        <f t="shared" si="13"/>
        <v>46139</v>
      </c>
      <c r="AG118">
        <f t="shared" si="14"/>
        <v>0</v>
      </c>
      <c r="AH118">
        <f t="shared" si="15"/>
        <v>4</v>
      </c>
    </row>
    <row r="119" spans="1:34" x14ac:dyDescent="0.15">
      <c r="A119" t="s">
        <v>253</v>
      </c>
      <c r="B119" t="s">
        <v>901</v>
      </c>
      <c r="C119" t="s">
        <v>785</v>
      </c>
      <c r="D119" t="s">
        <v>902</v>
      </c>
      <c r="E119" t="s">
        <v>902</v>
      </c>
      <c r="F119" t="s">
        <v>785</v>
      </c>
      <c r="G119" t="s">
        <v>2216</v>
      </c>
      <c r="H119" t="s">
        <v>903</v>
      </c>
      <c r="I119" t="s">
        <v>2217</v>
      </c>
      <c r="J119" t="s">
        <v>902</v>
      </c>
      <c r="K119" t="s">
        <v>2218</v>
      </c>
      <c r="L119" t="s">
        <v>2219</v>
      </c>
      <c r="M119" t="s">
        <v>2220</v>
      </c>
      <c r="N119" t="s">
        <v>2221</v>
      </c>
      <c r="O119" t="s">
        <v>2222</v>
      </c>
      <c r="P119" t="s">
        <v>1515</v>
      </c>
      <c r="Q119" t="s">
        <v>2223</v>
      </c>
      <c r="R119" t="s">
        <v>968</v>
      </c>
      <c r="S119" t="s">
        <v>1838</v>
      </c>
      <c r="T119" t="s">
        <v>2224</v>
      </c>
      <c r="U119" t="s">
        <v>982</v>
      </c>
      <c r="V119" t="s">
        <v>2225</v>
      </c>
      <c r="W119" t="s">
        <v>2226</v>
      </c>
      <c r="X119" t="s">
        <v>2227</v>
      </c>
      <c r="Y119" t="s">
        <v>268</v>
      </c>
      <c r="AB119" t="s">
        <v>883</v>
      </c>
      <c r="AC119" t="s">
        <v>2228</v>
      </c>
      <c r="AD119" t="s">
        <v>2229</v>
      </c>
      <c r="AE119" t="str">
        <f t="shared" si="12"/>
        <v>WRS Tree Services Ltd</v>
      </c>
      <c r="AF119">
        <f t="shared" si="13"/>
        <v>46140</v>
      </c>
      <c r="AG119">
        <f t="shared" si="14"/>
        <v>6</v>
      </c>
      <c r="AH119">
        <f t="shared" si="15"/>
        <v>3</v>
      </c>
    </row>
    <row r="120" spans="1:34" x14ac:dyDescent="0.15">
      <c r="A120" t="s">
        <v>253</v>
      </c>
      <c r="B120" t="s">
        <v>901</v>
      </c>
      <c r="C120" t="s">
        <v>785</v>
      </c>
      <c r="D120" t="s">
        <v>902</v>
      </c>
      <c r="E120" t="s">
        <v>902</v>
      </c>
      <c r="F120" t="s">
        <v>785</v>
      </c>
      <c r="G120" t="s">
        <v>1811</v>
      </c>
      <c r="H120" t="s">
        <v>903</v>
      </c>
      <c r="I120" t="s">
        <v>2230</v>
      </c>
      <c r="J120" t="s">
        <v>902</v>
      </c>
      <c r="K120" t="s">
        <v>2231</v>
      </c>
      <c r="L120" t="s">
        <v>2232</v>
      </c>
      <c r="M120" t="s">
        <v>2233</v>
      </c>
      <c r="N120" t="s">
        <v>2234</v>
      </c>
      <c r="O120" t="s">
        <v>2235</v>
      </c>
      <c r="P120" t="s">
        <v>1282</v>
      </c>
      <c r="Q120" t="s">
        <v>1137</v>
      </c>
      <c r="R120" t="s">
        <v>1137</v>
      </c>
      <c r="S120" t="s">
        <v>1187</v>
      </c>
      <c r="T120" t="s">
        <v>968</v>
      </c>
      <c r="U120" t="s">
        <v>982</v>
      </c>
      <c r="V120" t="s">
        <v>2236</v>
      </c>
      <c r="X120" t="s">
        <v>1060</v>
      </c>
      <c r="Y120" t="s">
        <v>268</v>
      </c>
      <c r="AB120" t="s">
        <v>883</v>
      </c>
      <c r="AC120" t="s">
        <v>2237</v>
      </c>
      <c r="AD120" t="s">
        <v>2238</v>
      </c>
      <c r="AE120" t="str">
        <f t="shared" si="12"/>
        <v>Cliff Tree Services Ian</v>
      </c>
      <c r="AF120">
        <f t="shared" si="13"/>
        <v>46141</v>
      </c>
      <c r="AG120">
        <f t="shared" si="14"/>
        <v>0</v>
      </c>
      <c r="AH120">
        <f t="shared" si="15"/>
        <v>3</v>
      </c>
    </row>
    <row r="121" spans="1:34" x14ac:dyDescent="0.15">
      <c r="A121" t="s">
        <v>253</v>
      </c>
      <c r="B121" t="s">
        <v>876</v>
      </c>
      <c r="C121" t="s">
        <v>785</v>
      </c>
      <c r="D121" t="s">
        <v>767</v>
      </c>
      <c r="E121" t="s">
        <v>767</v>
      </c>
      <c r="F121" t="s">
        <v>785</v>
      </c>
      <c r="G121" t="s">
        <v>1688</v>
      </c>
      <c r="H121" t="s">
        <v>808</v>
      </c>
      <c r="I121" t="s">
        <v>2239</v>
      </c>
      <c r="J121" t="s">
        <v>2240</v>
      </c>
      <c r="K121" t="s">
        <v>1025</v>
      </c>
      <c r="L121" t="s">
        <v>1026</v>
      </c>
      <c r="M121" t="s">
        <v>2241</v>
      </c>
      <c r="N121" t="s">
        <v>2242</v>
      </c>
      <c r="O121" t="s">
        <v>2243</v>
      </c>
      <c r="P121" t="s">
        <v>1205</v>
      </c>
      <c r="Q121" t="s">
        <v>2023</v>
      </c>
      <c r="R121" t="s">
        <v>1216</v>
      </c>
      <c r="S121" t="s">
        <v>1245</v>
      </c>
      <c r="T121" t="s">
        <v>2244</v>
      </c>
      <c r="U121" t="s">
        <v>982</v>
      </c>
      <c r="V121" t="s">
        <v>1720</v>
      </c>
      <c r="W121" t="s">
        <v>2245</v>
      </c>
      <c r="X121" t="s">
        <v>2246</v>
      </c>
      <c r="Y121" t="s">
        <v>268</v>
      </c>
      <c r="AB121" t="s">
        <v>2247</v>
      </c>
      <c r="AC121" t="s">
        <v>2248</v>
      </c>
      <c r="AD121" t="s">
        <v>2249</v>
      </c>
      <c r="AE121" t="str">
        <f t="shared" si="12"/>
        <v>MAC Tree Surgery and Fencing Ltd</v>
      </c>
      <c r="AF121">
        <f t="shared" si="13"/>
        <v>46141</v>
      </c>
      <c r="AG121">
        <f t="shared" si="14"/>
        <v>1</v>
      </c>
      <c r="AH121">
        <f t="shared" si="15"/>
        <v>3</v>
      </c>
    </row>
    <row r="122" spans="1:34" x14ac:dyDescent="0.15">
      <c r="A122" t="s">
        <v>1146</v>
      </c>
      <c r="B122" t="s">
        <v>901</v>
      </c>
      <c r="C122" t="s">
        <v>785</v>
      </c>
      <c r="D122" t="s">
        <v>902</v>
      </c>
      <c r="E122" t="s">
        <v>902</v>
      </c>
      <c r="F122" t="s">
        <v>785</v>
      </c>
      <c r="G122" t="s">
        <v>2084</v>
      </c>
      <c r="H122" t="s">
        <v>903</v>
      </c>
      <c r="I122" t="s">
        <v>2250</v>
      </c>
      <c r="J122" t="s">
        <v>902</v>
      </c>
      <c r="K122" t="s">
        <v>2231</v>
      </c>
      <c r="L122" t="s">
        <v>2232</v>
      </c>
      <c r="M122" t="s">
        <v>2251</v>
      </c>
      <c r="N122" t="s">
        <v>2252</v>
      </c>
      <c r="P122" t="s">
        <v>1137</v>
      </c>
      <c r="Q122" t="s">
        <v>1382</v>
      </c>
      <c r="R122" t="s">
        <v>1382</v>
      </c>
      <c r="S122" t="s">
        <v>1297</v>
      </c>
      <c r="T122" t="s">
        <v>968</v>
      </c>
      <c r="U122" t="s">
        <v>982</v>
      </c>
      <c r="V122" t="s">
        <v>2253</v>
      </c>
      <c r="X122" t="s">
        <v>1060</v>
      </c>
      <c r="Y122" t="s">
        <v>268</v>
      </c>
      <c r="AB122" t="s">
        <v>883</v>
      </c>
      <c r="AC122" t="s">
        <v>2254</v>
      </c>
      <c r="AD122" t="s">
        <v>2255</v>
      </c>
      <c r="AE122" t="str">
        <f t="shared" si="12"/>
        <v>Cliff Tree Services Ian</v>
      </c>
      <c r="AF122">
        <f t="shared" si="13"/>
        <v>46141</v>
      </c>
      <c r="AG122">
        <f t="shared" si="14"/>
        <v>0</v>
      </c>
      <c r="AH122">
        <f t="shared" si="15"/>
        <v>3</v>
      </c>
    </row>
    <row r="123" spans="1:34" x14ac:dyDescent="0.15">
      <c r="A123" t="s">
        <v>253</v>
      </c>
      <c r="B123" t="s">
        <v>823</v>
      </c>
      <c r="C123" t="s">
        <v>785</v>
      </c>
      <c r="D123" t="s">
        <v>767</v>
      </c>
      <c r="E123" t="s">
        <v>767</v>
      </c>
      <c r="F123" t="s">
        <v>785</v>
      </c>
      <c r="G123" t="s">
        <v>1823</v>
      </c>
      <c r="H123" t="s">
        <v>808</v>
      </c>
      <c r="I123" t="s">
        <v>2256</v>
      </c>
      <c r="K123" t="s">
        <v>818</v>
      </c>
      <c r="L123" t="s">
        <v>1250</v>
      </c>
      <c r="M123" t="s">
        <v>2257</v>
      </c>
      <c r="N123" t="s">
        <v>2258</v>
      </c>
      <c r="O123" t="s">
        <v>2259</v>
      </c>
      <c r="P123" t="s">
        <v>1111</v>
      </c>
      <c r="Q123" t="s">
        <v>1664</v>
      </c>
      <c r="R123" t="s">
        <v>1111</v>
      </c>
      <c r="S123" t="s">
        <v>1553</v>
      </c>
      <c r="T123" t="s">
        <v>2260</v>
      </c>
      <c r="U123" t="s">
        <v>969</v>
      </c>
      <c r="V123" t="s">
        <v>2261</v>
      </c>
      <c r="X123" t="s">
        <v>2262</v>
      </c>
      <c r="Y123" t="s">
        <v>268</v>
      </c>
      <c r="AB123" t="s">
        <v>883</v>
      </c>
      <c r="AC123" t="s">
        <v>2263</v>
      </c>
      <c r="AD123" t="s">
        <v>2264</v>
      </c>
      <c r="AE123" t="str">
        <f t="shared" si="12"/>
        <v>M G Tree Surgery Ltd</v>
      </c>
      <c r="AF123">
        <f t="shared" si="13"/>
        <v>46141</v>
      </c>
      <c r="AG123">
        <f t="shared" si="14"/>
        <v>0</v>
      </c>
      <c r="AH123">
        <f t="shared" si="15"/>
        <v>4</v>
      </c>
    </row>
    <row r="124" spans="1:34" x14ac:dyDescent="0.15">
      <c r="A124" t="s">
        <v>253</v>
      </c>
      <c r="B124" t="s">
        <v>823</v>
      </c>
      <c r="C124" t="s">
        <v>785</v>
      </c>
      <c r="D124" t="s">
        <v>767</v>
      </c>
      <c r="E124" t="s">
        <v>767</v>
      </c>
      <c r="F124" t="s">
        <v>785</v>
      </c>
      <c r="G124" t="s">
        <v>1823</v>
      </c>
      <c r="H124" t="s">
        <v>808</v>
      </c>
      <c r="I124" t="s">
        <v>2265</v>
      </c>
      <c r="K124" t="s">
        <v>788</v>
      </c>
      <c r="L124" t="s">
        <v>1119</v>
      </c>
      <c r="M124" t="s">
        <v>2266</v>
      </c>
      <c r="N124" t="s">
        <v>2267</v>
      </c>
      <c r="O124" t="s">
        <v>2268</v>
      </c>
      <c r="P124" t="s">
        <v>1664</v>
      </c>
      <c r="Q124" t="s">
        <v>1806</v>
      </c>
      <c r="R124" t="s">
        <v>1806</v>
      </c>
      <c r="S124" t="s">
        <v>1204</v>
      </c>
      <c r="T124" t="s">
        <v>968</v>
      </c>
      <c r="U124" t="s">
        <v>982</v>
      </c>
      <c r="V124" t="s">
        <v>2269</v>
      </c>
      <c r="X124" t="s">
        <v>2270</v>
      </c>
      <c r="Y124" t="s">
        <v>268</v>
      </c>
      <c r="AB124" t="s">
        <v>883</v>
      </c>
      <c r="AC124" t="s">
        <v>2271</v>
      </c>
      <c r="AD124" t="s">
        <v>2272</v>
      </c>
      <c r="AE124" t="str">
        <f t="shared" si="12"/>
        <v>Austin Tree Care LTD</v>
      </c>
      <c r="AF124">
        <f t="shared" si="13"/>
        <v>46142</v>
      </c>
      <c r="AG124">
        <f t="shared" si="14"/>
        <v>0</v>
      </c>
      <c r="AH124">
        <f t="shared" si="15"/>
        <v>3</v>
      </c>
    </row>
    <row r="125" spans="1:34" x14ac:dyDescent="0.15">
      <c r="A125" t="s">
        <v>253</v>
      </c>
      <c r="B125" t="s">
        <v>823</v>
      </c>
      <c r="C125" t="s">
        <v>785</v>
      </c>
      <c r="D125" t="s">
        <v>767</v>
      </c>
      <c r="E125" t="s">
        <v>767</v>
      </c>
      <c r="F125" t="s">
        <v>785</v>
      </c>
      <c r="G125" t="s">
        <v>1823</v>
      </c>
      <c r="H125" t="s">
        <v>808</v>
      </c>
      <c r="I125" t="s">
        <v>2265</v>
      </c>
      <c r="K125" t="s">
        <v>788</v>
      </c>
      <c r="L125" t="s">
        <v>1119</v>
      </c>
      <c r="M125" t="s">
        <v>2266</v>
      </c>
      <c r="N125" t="s">
        <v>2267</v>
      </c>
      <c r="O125" t="s">
        <v>2268</v>
      </c>
      <c r="P125" t="s">
        <v>1664</v>
      </c>
      <c r="Q125" t="s">
        <v>1806</v>
      </c>
      <c r="R125" t="s">
        <v>1806</v>
      </c>
      <c r="S125" t="s">
        <v>1204</v>
      </c>
      <c r="T125" t="s">
        <v>968</v>
      </c>
      <c r="U125" t="s">
        <v>982</v>
      </c>
      <c r="V125" t="s">
        <v>2269</v>
      </c>
      <c r="X125" t="s">
        <v>2270</v>
      </c>
      <c r="Y125" t="s">
        <v>268</v>
      </c>
      <c r="AB125" t="s">
        <v>883</v>
      </c>
      <c r="AC125" t="s">
        <v>2273</v>
      </c>
      <c r="AD125" t="s">
        <v>2272</v>
      </c>
      <c r="AE125" t="str">
        <f t="shared" si="12"/>
        <v>Austin Tree Care LTD</v>
      </c>
      <c r="AF125">
        <f t="shared" si="13"/>
        <v>46142</v>
      </c>
      <c r="AG125">
        <f t="shared" si="14"/>
        <v>0</v>
      </c>
      <c r="AH125">
        <f t="shared" si="15"/>
        <v>3</v>
      </c>
    </row>
    <row r="126" spans="1:34" x14ac:dyDescent="0.15">
      <c r="A126" t="s">
        <v>253</v>
      </c>
      <c r="B126" t="s">
        <v>888</v>
      </c>
      <c r="C126" t="s">
        <v>785</v>
      </c>
      <c r="D126" t="s">
        <v>767</v>
      </c>
      <c r="E126" t="s">
        <v>767</v>
      </c>
      <c r="F126" t="s">
        <v>785</v>
      </c>
      <c r="G126" t="s">
        <v>1823</v>
      </c>
      <c r="H126" t="s">
        <v>808</v>
      </c>
      <c r="I126" t="s">
        <v>2274</v>
      </c>
      <c r="J126" t="s">
        <v>2275</v>
      </c>
      <c r="K126" t="s">
        <v>891</v>
      </c>
      <c r="L126" t="s">
        <v>1714</v>
      </c>
      <c r="M126" t="s">
        <v>2276</v>
      </c>
      <c r="N126" t="s">
        <v>2277</v>
      </c>
      <c r="O126" t="s">
        <v>2278</v>
      </c>
      <c r="P126" t="s">
        <v>991</v>
      </c>
      <c r="Q126" t="s">
        <v>1515</v>
      </c>
      <c r="R126" t="s">
        <v>1584</v>
      </c>
      <c r="S126" t="s">
        <v>1297</v>
      </c>
      <c r="T126" t="s">
        <v>2279</v>
      </c>
      <c r="U126" t="s">
        <v>1644</v>
      </c>
      <c r="V126" t="s">
        <v>2280</v>
      </c>
      <c r="W126" t="s">
        <v>2281</v>
      </c>
      <c r="X126" t="s">
        <v>2282</v>
      </c>
      <c r="Y126" t="s">
        <v>268</v>
      </c>
      <c r="AB126" t="s">
        <v>2283</v>
      </c>
      <c r="AC126" t="s">
        <v>2284</v>
      </c>
      <c r="AD126" t="s">
        <v>2285</v>
      </c>
      <c r="AE126" t="str">
        <f t="shared" si="12"/>
        <v>Green Net Eco Ltd</v>
      </c>
      <c r="AF126">
        <f t="shared" si="13"/>
        <v>46142</v>
      </c>
      <c r="AG126">
        <f t="shared" si="14"/>
        <v>1</v>
      </c>
      <c r="AH126">
        <f t="shared" si="15"/>
        <v>2</v>
      </c>
    </row>
    <row r="127" spans="1:34" x14ac:dyDescent="0.15">
      <c r="A127" t="s">
        <v>253</v>
      </c>
      <c r="B127" t="s">
        <v>1940</v>
      </c>
      <c r="C127" t="s">
        <v>785</v>
      </c>
      <c r="D127" t="s">
        <v>957</v>
      </c>
      <c r="E127" t="s">
        <v>957</v>
      </c>
      <c r="F127" t="s">
        <v>785</v>
      </c>
      <c r="G127" t="s">
        <v>1790</v>
      </c>
      <c r="H127" t="s">
        <v>958</v>
      </c>
      <c r="I127" t="s">
        <v>1946</v>
      </c>
      <c r="J127" t="s">
        <v>2286</v>
      </c>
      <c r="K127" t="s">
        <v>1000</v>
      </c>
      <c r="L127" t="s">
        <v>1783</v>
      </c>
      <c r="M127" t="s">
        <v>2287</v>
      </c>
      <c r="N127" t="s">
        <v>2288</v>
      </c>
      <c r="O127" t="s">
        <v>2289</v>
      </c>
      <c r="P127" t="s">
        <v>1552</v>
      </c>
      <c r="Q127" t="s">
        <v>1111</v>
      </c>
      <c r="R127" t="s">
        <v>1111</v>
      </c>
      <c r="S127" t="s">
        <v>1623</v>
      </c>
      <c r="T127" t="s">
        <v>968</v>
      </c>
      <c r="U127" t="s">
        <v>982</v>
      </c>
      <c r="X127" t="s">
        <v>2290</v>
      </c>
      <c r="Y127" t="s">
        <v>268</v>
      </c>
      <c r="AB127" t="s">
        <v>883</v>
      </c>
      <c r="AC127" t="s">
        <v>2291</v>
      </c>
      <c r="AD127" t="s">
        <v>2292</v>
      </c>
      <c r="AE127" t="str">
        <f t="shared" si="12"/>
        <v>Brinksworth Tree Services Ltd</v>
      </c>
      <c r="AF127">
        <f t="shared" si="13"/>
        <v>46142</v>
      </c>
      <c r="AG127">
        <f t="shared" si="14"/>
        <v>0</v>
      </c>
      <c r="AH127">
        <f t="shared" si="15"/>
        <v>3</v>
      </c>
    </row>
  </sheetData>
  <mergeCells count="3">
    <mergeCell ref="A2:G2"/>
    <mergeCell ref="A1:G1"/>
    <mergeCell ref="A4:G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99"/>
  <sheetViews>
    <sheetView tabSelected="1" topLeftCell="A8" workbookViewId="0">
      <selection sqref="A1:F1"/>
    </sheetView>
  </sheetViews>
  <sheetFormatPr baseColWidth="10" defaultColWidth="8.83203125" defaultRowHeight="13" x14ac:dyDescent="0.15"/>
  <cols>
    <col min="1" max="1" width="18" customWidth="1"/>
    <col min="2" max="2" width="16" customWidth="1"/>
    <col min="3" max="3" width="22" customWidth="1"/>
    <col min="4" max="4" width="45" customWidth="1"/>
    <col min="5" max="5" width="16" customWidth="1"/>
    <col min="6" max="6" width="10" customWidth="1"/>
  </cols>
  <sheetData>
    <row r="1" spans="1:6" ht="22" customHeight="1" x14ac:dyDescent="0.15">
      <c r="A1" s="161" t="s">
        <v>2293</v>
      </c>
      <c r="B1" s="146"/>
      <c r="C1" s="146"/>
      <c r="D1" s="146"/>
      <c r="E1" s="146"/>
      <c r="F1" s="146"/>
    </row>
    <row r="2" spans="1:6" ht="40" customHeight="1" x14ac:dyDescent="0.15">
      <c r="A2" s="158" t="s">
        <v>2294</v>
      </c>
      <c r="B2" s="146"/>
      <c r="C2" s="146"/>
      <c r="D2" s="146"/>
      <c r="E2" s="146"/>
      <c r="F2" s="146"/>
    </row>
    <row r="3" spans="1:6" ht="30" customHeight="1" x14ac:dyDescent="0.15">
      <c r="A3" s="165" t="s">
        <v>2295</v>
      </c>
      <c r="B3" s="146"/>
      <c r="C3" s="146"/>
      <c r="D3" s="146"/>
      <c r="E3" s="146"/>
      <c r="F3" s="146"/>
    </row>
    <row r="4" spans="1:6" ht="20" customHeight="1" x14ac:dyDescent="0.15">
      <c r="A4" s="164" t="s">
        <v>2296</v>
      </c>
      <c r="B4" s="146"/>
      <c r="C4" s="146"/>
      <c r="D4" s="146"/>
      <c r="E4" s="146"/>
      <c r="F4" s="146"/>
    </row>
    <row r="5" spans="1:6" ht="50" customHeight="1" x14ac:dyDescent="0.15">
      <c r="A5" s="162" t="s">
        <v>2297</v>
      </c>
      <c r="B5" s="146"/>
      <c r="C5" s="146"/>
      <c r="D5" s="146"/>
      <c r="E5" s="146"/>
      <c r="F5" s="146"/>
    </row>
    <row r="6" spans="1:6" ht="18" customHeight="1" x14ac:dyDescent="0.15">
      <c r="A6" s="163" t="s">
        <v>2298</v>
      </c>
      <c r="B6" s="146"/>
      <c r="C6" s="146"/>
      <c r="D6" s="146"/>
      <c r="E6" s="146"/>
      <c r="F6" s="146"/>
    </row>
    <row r="7" spans="1:6" ht="50" customHeight="1" x14ac:dyDescent="0.15">
      <c r="A7" s="96" t="s">
        <v>2299</v>
      </c>
      <c r="B7" s="160" t="s">
        <v>2300</v>
      </c>
      <c r="C7" s="146"/>
      <c r="D7" s="146"/>
      <c r="E7" s="146"/>
      <c r="F7" s="146"/>
    </row>
    <row r="8" spans="1:6" ht="50" customHeight="1" x14ac:dyDescent="0.15">
      <c r="A8" s="96" t="s">
        <v>2301</v>
      </c>
      <c r="B8" s="160" t="s">
        <v>2302</v>
      </c>
      <c r="C8" s="146"/>
      <c r="D8" s="146"/>
      <c r="E8" s="146"/>
      <c r="F8" s="146"/>
    </row>
    <row r="9" spans="1:6" ht="50" customHeight="1" x14ac:dyDescent="0.15">
      <c r="A9" s="96" t="s">
        <v>2303</v>
      </c>
      <c r="B9" s="160" t="s">
        <v>2304</v>
      </c>
      <c r="C9" s="146"/>
      <c r="D9" s="146"/>
      <c r="E9" s="146"/>
      <c r="F9" s="146"/>
    </row>
    <row r="10" spans="1:6" ht="50" customHeight="1" x14ac:dyDescent="0.15">
      <c r="A10" s="96" t="s">
        <v>2305</v>
      </c>
      <c r="B10" s="160" t="s">
        <v>2306</v>
      </c>
      <c r="C10" s="146"/>
      <c r="D10" s="146"/>
      <c r="E10" s="146"/>
      <c r="F10" s="146"/>
    </row>
    <row r="11" spans="1:6" ht="16" customHeight="1" x14ac:dyDescent="0.15">
      <c r="A11" s="159" t="s">
        <v>2307</v>
      </c>
      <c r="B11" s="146"/>
      <c r="C11" s="146"/>
      <c r="D11" s="146"/>
      <c r="E11" s="146"/>
      <c r="F11" s="146"/>
    </row>
    <row r="12" spans="1:6" ht="18" customHeight="1" x14ac:dyDescent="0.15">
      <c r="A12" s="97" t="s">
        <v>857</v>
      </c>
      <c r="B12" s="98" t="s">
        <v>2308</v>
      </c>
      <c r="C12" s="97" t="s">
        <v>2309</v>
      </c>
      <c r="D12" s="97" t="s">
        <v>2310</v>
      </c>
      <c r="E12" s="97" t="s">
        <v>329</v>
      </c>
      <c r="F12" s="97" t="s">
        <v>2311</v>
      </c>
    </row>
    <row r="13" spans="1:6" x14ac:dyDescent="0.15">
      <c r="A13" s="99" t="s">
        <v>82</v>
      </c>
      <c r="B13" s="100">
        <v>46113</v>
      </c>
      <c r="C13" s="99" t="s">
        <v>2312</v>
      </c>
      <c r="D13" s="99" t="s">
        <v>982</v>
      </c>
      <c r="E13" s="101" t="s">
        <v>982</v>
      </c>
      <c r="F13" s="99">
        <v>6</v>
      </c>
    </row>
    <row r="14" spans="1:6" x14ac:dyDescent="0.15">
      <c r="A14" s="99" t="s">
        <v>74</v>
      </c>
      <c r="B14" s="100">
        <v>46113</v>
      </c>
      <c r="C14" s="99" t="s">
        <v>2312</v>
      </c>
      <c r="D14" s="99" t="s">
        <v>982</v>
      </c>
      <c r="E14" s="101" t="s">
        <v>982</v>
      </c>
      <c r="F14" s="99">
        <v>6</v>
      </c>
    </row>
    <row r="15" spans="1:6" x14ac:dyDescent="0.15">
      <c r="A15" s="99" t="s">
        <v>76</v>
      </c>
      <c r="B15" s="100">
        <v>46129</v>
      </c>
      <c r="C15" s="99" t="s">
        <v>2313</v>
      </c>
      <c r="D15" s="99" t="s">
        <v>982</v>
      </c>
      <c r="E15" s="101" t="s">
        <v>982</v>
      </c>
      <c r="F15" s="99">
        <v>8</v>
      </c>
    </row>
    <row r="16" spans="1:6" x14ac:dyDescent="0.15">
      <c r="A16" s="99" t="s">
        <v>172</v>
      </c>
      <c r="B16" s="100">
        <v>46133</v>
      </c>
      <c r="C16" s="99" t="s">
        <v>2314</v>
      </c>
      <c r="D16" s="99" t="s">
        <v>2315</v>
      </c>
      <c r="E16" s="102" t="s">
        <v>2316</v>
      </c>
      <c r="F16" s="99">
        <v>10</v>
      </c>
    </row>
    <row r="17" spans="1:6" x14ac:dyDescent="0.15">
      <c r="A17" s="99" t="s">
        <v>172</v>
      </c>
      <c r="B17" s="100">
        <v>46133</v>
      </c>
      <c r="C17" s="99" t="s">
        <v>2317</v>
      </c>
      <c r="D17" s="99" t="s">
        <v>982</v>
      </c>
      <c r="E17" s="101" t="s">
        <v>982</v>
      </c>
      <c r="F17" s="99">
        <v>10</v>
      </c>
    </row>
    <row r="18" spans="1:6" x14ac:dyDescent="0.15">
      <c r="A18" s="99" t="s">
        <v>172</v>
      </c>
      <c r="B18" s="100">
        <v>46133</v>
      </c>
      <c r="C18" s="99" t="s">
        <v>2318</v>
      </c>
      <c r="D18" s="99" t="s">
        <v>982</v>
      </c>
      <c r="E18" s="101" t="s">
        <v>982</v>
      </c>
      <c r="F18" s="99">
        <v>10</v>
      </c>
    </row>
    <row r="19" spans="1:6" x14ac:dyDescent="0.15">
      <c r="A19" s="99" t="s">
        <v>172</v>
      </c>
      <c r="B19" s="100">
        <v>46133</v>
      </c>
      <c r="C19" s="99" t="s">
        <v>2319</v>
      </c>
      <c r="D19" s="99" t="s">
        <v>982</v>
      </c>
      <c r="E19" s="101" t="s">
        <v>982</v>
      </c>
      <c r="F19" s="99">
        <v>10</v>
      </c>
    </row>
    <row r="20" spans="1:6" x14ac:dyDescent="0.15">
      <c r="A20" s="99" t="s">
        <v>172</v>
      </c>
      <c r="B20" s="100">
        <v>46133</v>
      </c>
      <c r="C20" s="99" t="s">
        <v>2320</v>
      </c>
      <c r="D20" s="99" t="s">
        <v>982</v>
      </c>
      <c r="E20" s="101" t="s">
        <v>982</v>
      </c>
      <c r="F20" s="99">
        <v>10</v>
      </c>
    </row>
    <row r="21" spans="1:6" x14ac:dyDescent="0.15">
      <c r="A21" s="99" t="s">
        <v>913</v>
      </c>
      <c r="B21" s="100">
        <v>46134</v>
      </c>
      <c r="C21" s="99" t="s">
        <v>2321</v>
      </c>
      <c r="D21" s="99" t="s">
        <v>982</v>
      </c>
      <c r="E21" s="101" t="s">
        <v>982</v>
      </c>
      <c r="F21" s="99">
        <v>11</v>
      </c>
    </row>
    <row r="22" spans="1:6" x14ac:dyDescent="0.15">
      <c r="A22" s="99" t="s">
        <v>80</v>
      </c>
      <c r="B22" s="100">
        <v>46136</v>
      </c>
      <c r="C22" s="99" t="s">
        <v>2322</v>
      </c>
      <c r="D22" s="99" t="s">
        <v>982</v>
      </c>
      <c r="E22" s="101" t="s">
        <v>982</v>
      </c>
      <c r="F22" s="99">
        <v>12</v>
      </c>
    </row>
    <row r="23" spans="1:6" x14ac:dyDescent="0.15">
      <c r="A23" s="99" t="s">
        <v>80</v>
      </c>
      <c r="B23" s="100">
        <v>46136</v>
      </c>
      <c r="C23" s="99" t="s">
        <v>2323</v>
      </c>
      <c r="D23" s="99" t="s">
        <v>982</v>
      </c>
      <c r="E23" s="101" t="s">
        <v>982</v>
      </c>
      <c r="F23" s="99">
        <v>13</v>
      </c>
    </row>
    <row r="24" spans="1:6" x14ac:dyDescent="0.15">
      <c r="A24" s="99" t="s">
        <v>2324</v>
      </c>
      <c r="B24" s="100">
        <v>46108</v>
      </c>
      <c r="C24" s="99" t="s">
        <v>2325</v>
      </c>
      <c r="D24" s="99" t="s">
        <v>982</v>
      </c>
      <c r="E24" s="101" t="s">
        <v>982</v>
      </c>
      <c r="F24" s="99">
        <v>14</v>
      </c>
    </row>
    <row r="25" spans="1:6" x14ac:dyDescent="0.15">
      <c r="A25" s="99" t="s">
        <v>2324</v>
      </c>
      <c r="B25" s="100">
        <v>46108</v>
      </c>
      <c r="C25" s="99" t="s">
        <v>2326</v>
      </c>
      <c r="D25" s="99" t="s">
        <v>2327</v>
      </c>
      <c r="E25" s="102" t="s">
        <v>2316</v>
      </c>
      <c r="F25" s="99">
        <v>14</v>
      </c>
    </row>
    <row r="26" spans="1:6" x14ac:dyDescent="0.15">
      <c r="A26" s="99" t="s">
        <v>2324</v>
      </c>
      <c r="B26" s="100">
        <v>46108</v>
      </c>
      <c r="C26" s="99" t="s">
        <v>2328</v>
      </c>
      <c r="D26" s="99" t="s">
        <v>2329</v>
      </c>
      <c r="E26" s="102" t="s">
        <v>2316</v>
      </c>
      <c r="F26" s="99">
        <v>14</v>
      </c>
    </row>
    <row r="27" spans="1:6" x14ac:dyDescent="0.15">
      <c r="A27" s="99" t="s">
        <v>172</v>
      </c>
      <c r="B27" s="100">
        <v>46139</v>
      </c>
      <c r="C27" s="99" t="s">
        <v>2330</v>
      </c>
      <c r="D27" s="99" t="s">
        <v>2331</v>
      </c>
      <c r="E27" s="102" t="s">
        <v>2316</v>
      </c>
      <c r="F27" s="99">
        <v>15</v>
      </c>
    </row>
    <row r="28" spans="1:6" x14ac:dyDescent="0.15">
      <c r="A28" s="99" t="s">
        <v>172</v>
      </c>
      <c r="B28" s="100">
        <v>46139</v>
      </c>
      <c r="C28" s="99" t="s">
        <v>2332</v>
      </c>
      <c r="D28" s="99" t="s">
        <v>2331</v>
      </c>
      <c r="E28" s="102" t="s">
        <v>2316</v>
      </c>
      <c r="F28" s="99">
        <v>15</v>
      </c>
    </row>
    <row r="29" spans="1:6" x14ac:dyDescent="0.15">
      <c r="A29" s="99" t="s">
        <v>172</v>
      </c>
      <c r="B29" s="100">
        <v>46139</v>
      </c>
      <c r="C29" s="99" t="s">
        <v>2333</v>
      </c>
      <c r="D29" s="99" t="s">
        <v>982</v>
      </c>
      <c r="E29" s="101" t="s">
        <v>982</v>
      </c>
      <c r="F29" s="99">
        <v>16</v>
      </c>
    </row>
    <row r="30" spans="1:6" x14ac:dyDescent="0.15">
      <c r="A30" s="99" t="s">
        <v>172</v>
      </c>
      <c r="B30" s="100">
        <v>46139</v>
      </c>
      <c r="C30" s="99" t="s">
        <v>2334</v>
      </c>
      <c r="D30" s="99" t="s">
        <v>982</v>
      </c>
      <c r="E30" s="101" t="s">
        <v>982</v>
      </c>
      <c r="F30" s="99">
        <v>16</v>
      </c>
    </row>
    <row r="31" spans="1:6" x14ac:dyDescent="0.15">
      <c r="A31" s="99" t="s">
        <v>172</v>
      </c>
      <c r="B31" s="100">
        <v>46139</v>
      </c>
      <c r="C31" s="99" t="s">
        <v>2335</v>
      </c>
      <c r="D31" s="99" t="s">
        <v>982</v>
      </c>
      <c r="E31" s="101" t="s">
        <v>982</v>
      </c>
      <c r="F31" s="99">
        <v>16</v>
      </c>
    </row>
    <row r="32" spans="1:6" x14ac:dyDescent="0.15">
      <c r="A32" s="99" t="s">
        <v>172</v>
      </c>
      <c r="B32" s="100">
        <v>46139</v>
      </c>
      <c r="C32" s="99" t="s">
        <v>2336</v>
      </c>
      <c r="D32" s="99" t="s">
        <v>982</v>
      </c>
      <c r="E32" s="101" t="s">
        <v>982</v>
      </c>
      <c r="F32" s="99">
        <v>16</v>
      </c>
    </row>
    <row r="33" spans="1:6" x14ac:dyDescent="0.15">
      <c r="A33" s="99"/>
      <c r="B33" s="99"/>
      <c r="C33" s="99"/>
      <c r="D33" s="99"/>
      <c r="E33" s="99"/>
      <c r="F33" s="99"/>
    </row>
    <row r="34" spans="1:6" x14ac:dyDescent="0.15">
      <c r="A34" s="99"/>
      <c r="B34" s="99"/>
      <c r="C34" s="99"/>
      <c r="D34" s="99"/>
      <c r="E34" s="99"/>
      <c r="F34" s="99"/>
    </row>
    <row r="35" spans="1:6" x14ac:dyDescent="0.15">
      <c r="A35" s="99"/>
      <c r="B35" s="99"/>
      <c r="C35" s="99"/>
      <c r="D35" s="99"/>
      <c r="E35" s="99"/>
      <c r="F35" s="99"/>
    </row>
    <row r="36" spans="1:6" x14ac:dyDescent="0.15">
      <c r="A36" s="99"/>
      <c r="B36" s="99"/>
      <c r="C36" s="99"/>
      <c r="D36" s="99"/>
      <c r="E36" s="99"/>
      <c r="F36" s="99"/>
    </row>
    <row r="37" spans="1:6" x14ac:dyDescent="0.15">
      <c r="A37" s="99"/>
      <c r="B37" s="99"/>
      <c r="C37" s="99"/>
      <c r="D37" s="99"/>
      <c r="E37" s="99"/>
      <c r="F37" s="99"/>
    </row>
    <row r="38" spans="1:6" x14ac:dyDescent="0.15">
      <c r="A38" s="99"/>
      <c r="B38" s="99"/>
      <c r="C38" s="99"/>
      <c r="D38" s="99"/>
      <c r="E38" s="99"/>
      <c r="F38" s="99"/>
    </row>
    <row r="39" spans="1:6" x14ac:dyDescent="0.15">
      <c r="A39" s="99"/>
      <c r="B39" s="99"/>
      <c r="C39" s="99"/>
      <c r="D39" s="99"/>
      <c r="E39" s="99"/>
      <c r="F39" s="99"/>
    </row>
    <row r="40" spans="1:6" x14ac:dyDescent="0.15">
      <c r="A40" s="99"/>
      <c r="B40" s="99"/>
      <c r="C40" s="99"/>
      <c r="D40" s="99"/>
      <c r="E40" s="99"/>
      <c r="F40" s="99"/>
    </row>
    <row r="41" spans="1:6" x14ac:dyDescent="0.15">
      <c r="A41" s="99"/>
      <c r="B41" s="99"/>
      <c r="C41" s="99"/>
      <c r="D41" s="99"/>
      <c r="E41" s="99"/>
      <c r="F41" s="99"/>
    </row>
    <row r="42" spans="1:6" x14ac:dyDescent="0.15">
      <c r="A42" s="99"/>
      <c r="B42" s="99"/>
      <c r="C42" s="99"/>
      <c r="D42" s="99"/>
      <c r="E42" s="99"/>
      <c r="F42" s="99"/>
    </row>
    <row r="43" spans="1:6" x14ac:dyDescent="0.15">
      <c r="A43" s="99"/>
      <c r="B43" s="99"/>
      <c r="C43" s="99"/>
      <c r="D43" s="99"/>
      <c r="E43" s="99"/>
      <c r="F43" s="99"/>
    </row>
    <row r="44" spans="1:6" x14ac:dyDescent="0.15">
      <c r="A44" s="99"/>
      <c r="B44" s="99"/>
      <c r="C44" s="99"/>
      <c r="D44" s="99"/>
      <c r="E44" s="99"/>
      <c r="F44" s="99"/>
    </row>
    <row r="45" spans="1:6" x14ac:dyDescent="0.15">
      <c r="A45" s="99"/>
      <c r="B45" s="99"/>
      <c r="C45" s="99"/>
      <c r="D45" s="99"/>
      <c r="E45" s="99"/>
      <c r="F45" s="99"/>
    </row>
    <row r="46" spans="1:6" x14ac:dyDescent="0.15">
      <c r="A46" s="99"/>
      <c r="B46" s="99"/>
      <c r="C46" s="99"/>
      <c r="D46" s="99"/>
      <c r="E46" s="99"/>
      <c r="F46" s="99"/>
    </row>
    <row r="47" spans="1:6" x14ac:dyDescent="0.15">
      <c r="A47" s="99"/>
      <c r="B47" s="99"/>
      <c r="C47" s="99"/>
      <c r="D47" s="99"/>
      <c r="E47" s="99"/>
      <c r="F47" s="99"/>
    </row>
    <row r="48" spans="1:6" x14ac:dyDescent="0.15">
      <c r="A48" s="99"/>
      <c r="B48" s="99"/>
      <c r="C48" s="99"/>
      <c r="D48" s="99"/>
      <c r="E48" s="99"/>
      <c r="F48" s="99"/>
    </row>
    <row r="49" spans="1:6" x14ac:dyDescent="0.15">
      <c r="A49" s="99"/>
      <c r="B49" s="99"/>
      <c r="C49" s="99"/>
      <c r="D49" s="99"/>
      <c r="E49" s="99"/>
      <c r="F49" s="99"/>
    </row>
    <row r="50" spans="1:6" x14ac:dyDescent="0.15">
      <c r="A50" s="99"/>
      <c r="B50" s="99"/>
      <c r="C50" s="99"/>
      <c r="D50" s="99"/>
      <c r="E50" s="99"/>
      <c r="F50" s="99"/>
    </row>
    <row r="51" spans="1:6" x14ac:dyDescent="0.15">
      <c r="A51" s="99"/>
      <c r="B51" s="99"/>
      <c r="C51" s="99"/>
      <c r="D51" s="99"/>
      <c r="E51" s="99"/>
      <c r="F51" s="99"/>
    </row>
    <row r="52" spans="1:6" x14ac:dyDescent="0.15">
      <c r="A52" s="99"/>
      <c r="B52" s="99"/>
      <c r="C52" s="99"/>
      <c r="D52" s="99"/>
      <c r="E52" s="99"/>
      <c r="F52" s="99"/>
    </row>
    <row r="53" spans="1:6" x14ac:dyDescent="0.15">
      <c r="A53" s="99"/>
      <c r="B53" s="99"/>
      <c r="C53" s="99"/>
      <c r="D53" s="99"/>
      <c r="E53" s="99"/>
      <c r="F53" s="99"/>
    </row>
    <row r="54" spans="1:6" x14ac:dyDescent="0.15">
      <c r="A54" s="99"/>
      <c r="B54" s="99"/>
      <c r="C54" s="99"/>
      <c r="D54" s="99"/>
      <c r="E54" s="99"/>
      <c r="F54" s="99"/>
    </row>
    <row r="55" spans="1:6" x14ac:dyDescent="0.15">
      <c r="A55" s="99"/>
      <c r="B55" s="99"/>
      <c r="C55" s="99"/>
      <c r="D55" s="99"/>
      <c r="E55" s="99"/>
      <c r="F55" s="99"/>
    </row>
    <row r="56" spans="1:6" x14ac:dyDescent="0.15">
      <c r="A56" s="99"/>
      <c r="B56" s="99"/>
      <c r="C56" s="99"/>
      <c r="D56" s="99"/>
      <c r="E56" s="99"/>
      <c r="F56" s="99"/>
    </row>
    <row r="57" spans="1:6" x14ac:dyDescent="0.15">
      <c r="A57" s="99"/>
      <c r="B57" s="99"/>
      <c r="C57" s="99"/>
      <c r="D57" s="99"/>
      <c r="E57" s="99"/>
      <c r="F57" s="99"/>
    </row>
    <row r="58" spans="1:6" x14ac:dyDescent="0.15">
      <c r="A58" s="99"/>
      <c r="B58" s="99"/>
      <c r="C58" s="99"/>
      <c r="D58" s="99"/>
      <c r="E58" s="99"/>
      <c r="F58" s="99"/>
    </row>
    <row r="59" spans="1:6" x14ac:dyDescent="0.15">
      <c r="A59" s="99"/>
      <c r="B59" s="99"/>
      <c r="C59" s="99"/>
      <c r="D59" s="99"/>
      <c r="E59" s="99"/>
      <c r="F59" s="99"/>
    </row>
    <row r="60" spans="1:6" x14ac:dyDescent="0.15">
      <c r="A60" s="99"/>
      <c r="B60" s="99"/>
      <c r="C60" s="99"/>
      <c r="D60" s="99"/>
      <c r="E60" s="99"/>
      <c r="F60" s="99"/>
    </row>
    <row r="61" spans="1:6" x14ac:dyDescent="0.15">
      <c r="A61" s="99"/>
      <c r="B61" s="99"/>
      <c r="C61" s="99"/>
      <c r="D61" s="99"/>
      <c r="E61" s="99"/>
      <c r="F61" s="99"/>
    </row>
    <row r="62" spans="1:6" x14ac:dyDescent="0.15">
      <c r="A62" s="99"/>
      <c r="B62" s="99"/>
      <c r="C62" s="99"/>
      <c r="D62" s="99"/>
      <c r="E62" s="99"/>
      <c r="F62" s="99"/>
    </row>
    <row r="63" spans="1:6" x14ac:dyDescent="0.15">
      <c r="A63" s="99"/>
      <c r="B63" s="99"/>
      <c r="C63" s="99"/>
      <c r="D63" s="99"/>
      <c r="E63" s="99"/>
      <c r="F63" s="99"/>
    </row>
    <row r="64" spans="1:6" x14ac:dyDescent="0.15">
      <c r="A64" s="99"/>
      <c r="B64" s="99"/>
      <c r="C64" s="99"/>
      <c r="D64" s="99"/>
      <c r="E64" s="99"/>
      <c r="F64" s="99"/>
    </row>
    <row r="65" spans="1:6" x14ac:dyDescent="0.15">
      <c r="A65" s="99"/>
      <c r="B65" s="99"/>
      <c r="C65" s="99"/>
      <c r="D65" s="99"/>
      <c r="E65" s="99"/>
      <c r="F65" s="99"/>
    </row>
    <row r="66" spans="1:6" x14ac:dyDescent="0.15">
      <c r="A66" s="99"/>
      <c r="B66" s="99"/>
      <c r="C66" s="99"/>
      <c r="D66" s="99"/>
      <c r="E66" s="99"/>
      <c r="F66" s="99"/>
    </row>
    <row r="67" spans="1:6" x14ac:dyDescent="0.15">
      <c r="A67" s="99"/>
      <c r="B67" s="99"/>
      <c r="C67" s="99"/>
      <c r="D67" s="99"/>
      <c r="E67" s="99"/>
      <c r="F67" s="99"/>
    </row>
    <row r="68" spans="1:6" x14ac:dyDescent="0.15">
      <c r="A68" s="99"/>
      <c r="B68" s="99"/>
      <c r="C68" s="99"/>
      <c r="D68" s="99"/>
      <c r="E68" s="99"/>
      <c r="F68" s="99"/>
    </row>
    <row r="69" spans="1:6" x14ac:dyDescent="0.15">
      <c r="A69" s="99"/>
      <c r="B69" s="99"/>
      <c r="C69" s="99"/>
      <c r="D69" s="99"/>
      <c r="E69" s="99"/>
      <c r="F69" s="99"/>
    </row>
    <row r="70" spans="1:6" x14ac:dyDescent="0.15">
      <c r="A70" s="99"/>
      <c r="B70" s="99"/>
      <c r="C70" s="99"/>
      <c r="D70" s="99"/>
      <c r="E70" s="99"/>
      <c r="F70" s="99"/>
    </row>
    <row r="71" spans="1:6" x14ac:dyDescent="0.15">
      <c r="A71" s="99"/>
      <c r="B71" s="99"/>
      <c r="C71" s="99"/>
      <c r="D71" s="99"/>
      <c r="E71" s="99"/>
      <c r="F71" s="99"/>
    </row>
    <row r="72" spans="1:6" x14ac:dyDescent="0.15">
      <c r="A72" s="99"/>
      <c r="B72" s="99"/>
      <c r="C72" s="99"/>
      <c r="D72" s="99"/>
      <c r="E72" s="99"/>
      <c r="F72" s="99"/>
    </row>
    <row r="73" spans="1:6" x14ac:dyDescent="0.15">
      <c r="A73" s="99"/>
      <c r="B73" s="99"/>
      <c r="C73" s="99"/>
      <c r="D73" s="99"/>
      <c r="E73" s="99"/>
      <c r="F73" s="99"/>
    </row>
    <row r="74" spans="1:6" x14ac:dyDescent="0.15">
      <c r="A74" s="99"/>
      <c r="B74" s="99"/>
      <c r="C74" s="99"/>
      <c r="D74" s="99"/>
      <c r="E74" s="99"/>
      <c r="F74" s="99"/>
    </row>
    <row r="75" spans="1:6" x14ac:dyDescent="0.15">
      <c r="A75" s="99"/>
      <c r="B75" s="99"/>
      <c r="C75" s="99"/>
      <c r="D75" s="99"/>
      <c r="E75" s="99"/>
      <c r="F75" s="99"/>
    </row>
    <row r="76" spans="1:6" x14ac:dyDescent="0.15">
      <c r="A76" s="99"/>
      <c r="B76" s="99"/>
      <c r="C76" s="99"/>
      <c r="D76" s="99"/>
      <c r="E76" s="99"/>
      <c r="F76" s="99"/>
    </row>
    <row r="77" spans="1:6" x14ac:dyDescent="0.15">
      <c r="A77" s="99"/>
      <c r="B77" s="99"/>
      <c r="C77" s="99"/>
      <c r="D77" s="99"/>
      <c r="E77" s="99"/>
      <c r="F77" s="99"/>
    </row>
    <row r="78" spans="1:6" x14ac:dyDescent="0.15">
      <c r="A78" s="99"/>
      <c r="B78" s="99"/>
      <c r="C78" s="99"/>
      <c r="D78" s="99"/>
      <c r="E78" s="99"/>
      <c r="F78" s="99"/>
    </row>
    <row r="79" spans="1:6" x14ac:dyDescent="0.15">
      <c r="A79" s="99"/>
      <c r="B79" s="99"/>
      <c r="C79" s="99"/>
      <c r="D79" s="99"/>
      <c r="E79" s="99"/>
      <c r="F79" s="99"/>
    </row>
    <row r="80" spans="1:6" x14ac:dyDescent="0.15">
      <c r="A80" s="99"/>
      <c r="B80" s="99"/>
      <c r="C80" s="99"/>
      <c r="D80" s="99"/>
      <c r="E80" s="99"/>
      <c r="F80" s="99"/>
    </row>
    <row r="81" spans="1:6" x14ac:dyDescent="0.15">
      <c r="A81" s="99"/>
      <c r="B81" s="99"/>
      <c r="C81" s="99"/>
      <c r="D81" s="99"/>
      <c r="E81" s="99"/>
      <c r="F81" s="99"/>
    </row>
    <row r="82" spans="1:6" x14ac:dyDescent="0.15">
      <c r="A82" s="99"/>
      <c r="B82" s="99"/>
      <c r="C82" s="99"/>
      <c r="D82" s="99"/>
      <c r="E82" s="99"/>
      <c r="F82" s="99"/>
    </row>
    <row r="83" spans="1:6" x14ac:dyDescent="0.15">
      <c r="A83" s="99"/>
      <c r="B83" s="99"/>
      <c r="C83" s="99"/>
      <c r="D83" s="99"/>
      <c r="E83" s="99"/>
      <c r="F83" s="99"/>
    </row>
    <row r="84" spans="1:6" x14ac:dyDescent="0.15">
      <c r="A84" s="99"/>
      <c r="B84" s="99"/>
      <c r="C84" s="99"/>
      <c r="D84" s="99"/>
      <c r="E84" s="99"/>
      <c r="F84" s="99"/>
    </row>
    <row r="85" spans="1:6" x14ac:dyDescent="0.15">
      <c r="A85" s="99"/>
      <c r="B85" s="99"/>
      <c r="C85" s="99"/>
      <c r="D85" s="99"/>
      <c r="E85" s="99"/>
      <c r="F85" s="99"/>
    </row>
    <row r="86" spans="1:6" x14ac:dyDescent="0.15">
      <c r="A86" s="99"/>
      <c r="B86" s="99"/>
      <c r="C86" s="99"/>
      <c r="D86" s="99"/>
      <c r="E86" s="99"/>
      <c r="F86" s="99"/>
    </row>
    <row r="87" spans="1:6" x14ac:dyDescent="0.15">
      <c r="A87" s="99"/>
      <c r="B87" s="99"/>
      <c r="C87" s="99"/>
      <c r="D87" s="99"/>
      <c r="E87" s="99"/>
      <c r="F87" s="99"/>
    </row>
    <row r="88" spans="1:6" x14ac:dyDescent="0.15">
      <c r="A88" s="99"/>
      <c r="B88" s="99"/>
      <c r="C88" s="99"/>
      <c r="D88" s="99"/>
      <c r="E88" s="99"/>
      <c r="F88" s="99"/>
    </row>
    <row r="89" spans="1:6" x14ac:dyDescent="0.15">
      <c r="A89" s="99"/>
      <c r="B89" s="99"/>
      <c r="C89" s="99"/>
      <c r="D89" s="99"/>
      <c r="E89" s="99"/>
      <c r="F89" s="99"/>
    </row>
    <row r="90" spans="1:6" x14ac:dyDescent="0.15">
      <c r="A90" s="99"/>
      <c r="B90" s="99"/>
      <c r="C90" s="99"/>
      <c r="D90" s="99"/>
      <c r="E90" s="99"/>
      <c r="F90" s="99"/>
    </row>
    <row r="91" spans="1:6" x14ac:dyDescent="0.15">
      <c r="A91" s="99"/>
      <c r="B91" s="99"/>
      <c r="C91" s="99"/>
      <c r="D91" s="99"/>
      <c r="E91" s="99"/>
      <c r="F91" s="99"/>
    </row>
    <row r="92" spans="1:6" x14ac:dyDescent="0.15">
      <c r="A92" s="99"/>
      <c r="B92" s="99"/>
      <c r="C92" s="99"/>
      <c r="D92" s="99"/>
      <c r="E92" s="99"/>
      <c r="F92" s="99"/>
    </row>
    <row r="93" spans="1:6" x14ac:dyDescent="0.15">
      <c r="A93" s="99"/>
      <c r="B93" s="99"/>
      <c r="C93" s="99"/>
      <c r="D93" s="99"/>
      <c r="E93" s="99"/>
      <c r="F93" s="99"/>
    </row>
    <row r="94" spans="1:6" x14ac:dyDescent="0.15">
      <c r="A94" s="99"/>
      <c r="B94" s="99"/>
      <c r="C94" s="99"/>
      <c r="D94" s="99"/>
      <c r="E94" s="99"/>
      <c r="F94" s="99"/>
    </row>
    <row r="95" spans="1:6" x14ac:dyDescent="0.15">
      <c r="A95" s="99"/>
      <c r="B95" s="99"/>
      <c r="C95" s="99"/>
      <c r="D95" s="99"/>
      <c r="E95" s="99"/>
      <c r="F95" s="99"/>
    </row>
    <row r="96" spans="1:6" x14ac:dyDescent="0.15">
      <c r="A96" s="99"/>
      <c r="B96" s="99"/>
      <c r="C96" s="99"/>
      <c r="D96" s="99"/>
      <c r="E96" s="99"/>
      <c r="F96" s="99"/>
    </row>
    <row r="97" spans="1:6" x14ac:dyDescent="0.15">
      <c r="A97" s="99"/>
      <c r="B97" s="99"/>
      <c r="C97" s="99"/>
      <c r="D97" s="99"/>
      <c r="E97" s="99"/>
      <c r="F97" s="99"/>
    </row>
    <row r="98" spans="1:6" x14ac:dyDescent="0.15">
      <c r="A98" s="99"/>
      <c r="B98" s="99"/>
      <c r="C98" s="99"/>
      <c r="D98" s="99"/>
      <c r="E98" s="99"/>
      <c r="F98" s="99"/>
    </row>
    <row r="99" spans="1:6" x14ac:dyDescent="0.15">
      <c r="A99" s="99"/>
      <c r="B99" s="99"/>
      <c r="C99" s="99"/>
      <c r="D99" s="99"/>
      <c r="E99" s="99"/>
      <c r="F99" s="99"/>
    </row>
    <row r="100" spans="1:6" x14ac:dyDescent="0.15">
      <c r="A100" s="99"/>
      <c r="B100" s="99"/>
      <c r="C100" s="99"/>
      <c r="D100" s="99"/>
      <c r="E100" s="99"/>
      <c r="F100" s="99"/>
    </row>
    <row r="101" spans="1:6" x14ac:dyDescent="0.15">
      <c r="A101" s="99"/>
      <c r="B101" s="99"/>
      <c r="C101" s="99"/>
      <c r="D101" s="99"/>
      <c r="E101" s="99"/>
      <c r="F101" s="99"/>
    </row>
    <row r="102" spans="1:6" x14ac:dyDescent="0.15">
      <c r="A102" s="99"/>
      <c r="B102" s="99"/>
      <c r="C102" s="99"/>
      <c r="D102" s="99"/>
      <c r="E102" s="99"/>
      <c r="F102" s="99"/>
    </row>
    <row r="103" spans="1:6" x14ac:dyDescent="0.15">
      <c r="A103" s="99"/>
      <c r="B103" s="99"/>
      <c r="C103" s="99"/>
      <c r="D103" s="99"/>
      <c r="E103" s="99"/>
      <c r="F103" s="99"/>
    </row>
    <row r="104" spans="1:6" x14ac:dyDescent="0.15">
      <c r="A104" s="99"/>
      <c r="B104" s="99"/>
      <c r="C104" s="99"/>
      <c r="D104" s="99"/>
      <c r="E104" s="99"/>
      <c r="F104" s="99"/>
    </row>
    <row r="105" spans="1:6" x14ac:dyDescent="0.15">
      <c r="A105" s="99"/>
      <c r="B105" s="99"/>
      <c r="C105" s="99"/>
      <c r="D105" s="99"/>
      <c r="E105" s="99"/>
      <c r="F105" s="99"/>
    </row>
    <row r="106" spans="1:6" x14ac:dyDescent="0.15">
      <c r="A106" s="99"/>
      <c r="B106" s="99"/>
      <c r="C106" s="99"/>
      <c r="D106" s="99"/>
      <c r="E106" s="99"/>
      <c r="F106" s="99"/>
    </row>
    <row r="107" spans="1:6" x14ac:dyDescent="0.15">
      <c r="A107" s="99"/>
      <c r="B107" s="99"/>
      <c r="C107" s="99"/>
      <c r="D107" s="99"/>
      <c r="E107" s="99"/>
      <c r="F107" s="99"/>
    </row>
    <row r="108" spans="1:6" x14ac:dyDescent="0.15">
      <c r="A108" s="99"/>
      <c r="B108" s="99"/>
      <c r="C108" s="99"/>
      <c r="D108" s="99"/>
      <c r="E108" s="99"/>
      <c r="F108" s="99"/>
    </row>
    <row r="109" spans="1:6" x14ac:dyDescent="0.15">
      <c r="A109" s="99"/>
      <c r="B109" s="99"/>
      <c r="C109" s="99"/>
      <c r="D109" s="99"/>
      <c r="E109" s="99"/>
      <c r="F109" s="99"/>
    </row>
    <row r="110" spans="1:6" x14ac:dyDescent="0.15">
      <c r="A110" s="99"/>
      <c r="B110" s="99"/>
      <c r="C110" s="99"/>
      <c r="D110" s="99"/>
      <c r="E110" s="99"/>
      <c r="F110" s="99"/>
    </row>
    <row r="111" spans="1:6" x14ac:dyDescent="0.15">
      <c r="A111" s="99"/>
      <c r="B111" s="99"/>
      <c r="C111" s="99"/>
      <c r="D111" s="99"/>
      <c r="E111" s="99"/>
      <c r="F111" s="99"/>
    </row>
    <row r="112" spans="1:6" x14ac:dyDescent="0.15">
      <c r="A112" s="99"/>
      <c r="B112" s="99"/>
      <c r="C112" s="99"/>
      <c r="D112" s="99"/>
      <c r="E112" s="99"/>
      <c r="F112" s="99"/>
    </row>
    <row r="113" spans="1:6" x14ac:dyDescent="0.15">
      <c r="A113" s="99"/>
      <c r="B113" s="99"/>
      <c r="C113" s="99"/>
      <c r="D113" s="99"/>
      <c r="E113" s="99"/>
      <c r="F113" s="99"/>
    </row>
    <row r="114" spans="1:6" x14ac:dyDescent="0.15">
      <c r="A114" s="99"/>
      <c r="B114" s="99"/>
      <c r="C114" s="99"/>
      <c r="D114" s="99"/>
      <c r="E114" s="99"/>
      <c r="F114" s="99"/>
    </row>
    <row r="115" spans="1:6" x14ac:dyDescent="0.15">
      <c r="A115" s="99"/>
      <c r="B115" s="99"/>
      <c r="C115" s="99"/>
      <c r="D115" s="99"/>
      <c r="E115" s="99"/>
      <c r="F115" s="99"/>
    </row>
    <row r="116" spans="1:6" x14ac:dyDescent="0.15">
      <c r="A116" s="99"/>
      <c r="B116" s="99"/>
      <c r="C116" s="99"/>
      <c r="D116" s="99"/>
      <c r="E116" s="99"/>
      <c r="F116" s="99"/>
    </row>
    <row r="117" spans="1:6" x14ac:dyDescent="0.15">
      <c r="A117" s="99"/>
      <c r="B117" s="99"/>
      <c r="C117" s="99"/>
      <c r="D117" s="99"/>
      <c r="E117" s="99"/>
      <c r="F117" s="99"/>
    </row>
    <row r="118" spans="1:6" x14ac:dyDescent="0.15">
      <c r="A118" s="99"/>
      <c r="B118" s="99"/>
      <c r="C118" s="99"/>
      <c r="D118" s="99"/>
      <c r="E118" s="99"/>
      <c r="F118" s="99"/>
    </row>
    <row r="119" spans="1:6" x14ac:dyDescent="0.15">
      <c r="A119" s="99"/>
      <c r="B119" s="99"/>
      <c r="C119" s="99"/>
      <c r="D119" s="99"/>
      <c r="E119" s="99"/>
      <c r="F119" s="99"/>
    </row>
    <row r="120" spans="1:6" x14ac:dyDescent="0.15">
      <c r="A120" s="99"/>
      <c r="B120" s="99"/>
      <c r="C120" s="99"/>
      <c r="D120" s="99"/>
      <c r="E120" s="99"/>
      <c r="F120" s="99"/>
    </row>
    <row r="121" spans="1:6" x14ac:dyDescent="0.15">
      <c r="A121" s="99"/>
      <c r="B121" s="99"/>
      <c r="C121" s="99"/>
      <c r="D121" s="99"/>
      <c r="E121" s="99"/>
      <c r="F121" s="99"/>
    </row>
    <row r="122" spans="1:6" x14ac:dyDescent="0.15">
      <c r="A122" s="99"/>
      <c r="B122" s="99"/>
      <c r="C122" s="99"/>
      <c r="D122" s="99"/>
      <c r="E122" s="99"/>
      <c r="F122" s="99"/>
    </row>
    <row r="123" spans="1:6" x14ac:dyDescent="0.15">
      <c r="A123" s="99"/>
      <c r="B123" s="99"/>
      <c r="C123" s="99"/>
      <c r="D123" s="99"/>
      <c r="E123" s="99"/>
      <c r="F123" s="99"/>
    </row>
    <row r="124" spans="1:6" x14ac:dyDescent="0.15">
      <c r="A124" s="99"/>
      <c r="B124" s="99"/>
      <c r="C124" s="99"/>
      <c r="D124" s="99"/>
      <c r="E124" s="99"/>
      <c r="F124" s="99"/>
    </row>
    <row r="125" spans="1:6" x14ac:dyDescent="0.15">
      <c r="A125" s="99"/>
      <c r="B125" s="99"/>
      <c r="C125" s="99"/>
      <c r="D125" s="99"/>
      <c r="E125" s="99"/>
      <c r="F125" s="99"/>
    </row>
    <row r="126" spans="1:6" x14ac:dyDescent="0.15">
      <c r="A126" s="99"/>
      <c r="B126" s="99"/>
      <c r="C126" s="99"/>
      <c r="D126" s="99"/>
      <c r="E126" s="99"/>
      <c r="F126" s="99"/>
    </row>
    <row r="127" spans="1:6" x14ac:dyDescent="0.15">
      <c r="A127" s="99"/>
      <c r="B127" s="99"/>
      <c r="C127" s="99"/>
      <c r="D127" s="99"/>
      <c r="E127" s="99"/>
      <c r="F127" s="99"/>
    </row>
    <row r="128" spans="1:6" x14ac:dyDescent="0.15">
      <c r="A128" s="99"/>
      <c r="B128" s="99"/>
      <c r="C128" s="99"/>
      <c r="D128" s="99"/>
      <c r="E128" s="99"/>
      <c r="F128" s="99"/>
    </row>
    <row r="129" spans="1:6" x14ac:dyDescent="0.15">
      <c r="A129" s="99"/>
      <c r="B129" s="99"/>
      <c r="C129" s="99"/>
      <c r="D129" s="99"/>
      <c r="E129" s="99"/>
      <c r="F129" s="99"/>
    </row>
    <row r="130" spans="1:6" x14ac:dyDescent="0.15">
      <c r="A130" s="99"/>
      <c r="B130" s="99"/>
      <c r="C130" s="99"/>
      <c r="D130" s="99"/>
      <c r="E130" s="99"/>
      <c r="F130" s="99"/>
    </row>
    <row r="131" spans="1:6" x14ac:dyDescent="0.15">
      <c r="A131" s="99"/>
      <c r="B131" s="99"/>
      <c r="C131" s="99"/>
      <c r="D131" s="99"/>
      <c r="E131" s="99"/>
      <c r="F131" s="99"/>
    </row>
    <row r="132" spans="1:6" x14ac:dyDescent="0.15">
      <c r="A132" s="99"/>
      <c r="B132" s="99"/>
      <c r="C132" s="99"/>
      <c r="D132" s="99"/>
      <c r="E132" s="99"/>
      <c r="F132" s="99"/>
    </row>
    <row r="133" spans="1:6" x14ac:dyDescent="0.15">
      <c r="A133" s="99"/>
      <c r="B133" s="99"/>
      <c r="C133" s="99"/>
      <c r="D133" s="99"/>
      <c r="E133" s="99"/>
      <c r="F133" s="99"/>
    </row>
    <row r="134" spans="1:6" x14ac:dyDescent="0.15">
      <c r="A134" s="99"/>
      <c r="B134" s="99"/>
      <c r="C134" s="99"/>
      <c r="D134" s="99"/>
      <c r="E134" s="99"/>
      <c r="F134" s="99"/>
    </row>
    <row r="135" spans="1:6" x14ac:dyDescent="0.15">
      <c r="A135" s="99"/>
      <c r="B135" s="99"/>
      <c r="C135" s="99"/>
      <c r="D135" s="99"/>
      <c r="E135" s="99"/>
      <c r="F135" s="99"/>
    </row>
    <row r="136" spans="1:6" x14ac:dyDescent="0.15">
      <c r="A136" s="99"/>
      <c r="B136" s="99"/>
      <c r="C136" s="99"/>
      <c r="D136" s="99"/>
      <c r="E136" s="99"/>
      <c r="F136" s="99"/>
    </row>
    <row r="137" spans="1:6" x14ac:dyDescent="0.15">
      <c r="A137" s="99"/>
      <c r="B137" s="99"/>
      <c r="C137" s="99"/>
      <c r="D137" s="99"/>
      <c r="E137" s="99"/>
      <c r="F137" s="99"/>
    </row>
    <row r="138" spans="1:6" x14ac:dyDescent="0.15">
      <c r="A138" s="99"/>
      <c r="B138" s="99"/>
      <c r="C138" s="99"/>
      <c r="D138" s="99"/>
      <c r="E138" s="99"/>
      <c r="F138" s="99"/>
    </row>
    <row r="139" spans="1:6" x14ac:dyDescent="0.15">
      <c r="A139" s="99"/>
      <c r="B139" s="99"/>
      <c r="C139" s="99"/>
      <c r="D139" s="99"/>
      <c r="E139" s="99"/>
      <c r="F139" s="99"/>
    </row>
    <row r="140" spans="1:6" x14ac:dyDescent="0.15">
      <c r="A140" s="99"/>
      <c r="B140" s="99"/>
      <c r="C140" s="99"/>
      <c r="D140" s="99"/>
      <c r="E140" s="99"/>
      <c r="F140" s="99"/>
    </row>
    <row r="141" spans="1:6" x14ac:dyDescent="0.15">
      <c r="A141" s="99"/>
      <c r="B141" s="99"/>
      <c r="C141" s="99"/>
      <c r="D141" s="99"/>
      <c r="E141" s="99"/>
      <c r="F141" s="99"/>
    </row>
    <row r="142" spans="1:6" x14ac:dyDescent="0.15">
      <c r="A142" s="99"/>
      <c r="B142" s="99"/>
      <c r="C142" s="99"/>
      <c r="D142" s="99"/>
      <c r="E142" s="99"/>
      <c r="F142" s="99"/>
    </row>
    <row r="143" spans="1:6" x14ac:dyDescent="0.15">
      <c r="A143" s="99"/>
      <c r="B143" s="99"/>
      <c r="C143" s="99"/>
      <c r="D143" s="99"/>
      <c r="E143" s="99"/>
      <c r="F143" s="99"/>
    </row>
    <row r="144" spans="1:6" x14ac:dyDescent="0.15">
      <c r="A144" s="99"/>
      <c r="B144" s="99"/>
      <c r="C144" s="99"/>
      <c r="D144" s="99"/>
      <c r="E144" s="99"/>
      <c r="F144" s="99"/>
    </row>
    <row r="145" spans="1:6" x14ac:dyDescent="0.15">
      <c r="A145" s="99"/>
      <c r="B145" s="99"/>
      <c r="C145" s="99"/>
      <c r="D145" s="99"/>
      <c r="E145" s="99"/>
      <c r="F145" s="99"/>
    </row>
    <row r="146" spans="1:6" x14ac:dyDescent="0.15">
      <c r="A146" s="99"/>
      <c r="B146" s="99"/>
      <c r="C146" s="99"/>
      <c r="D146" s="99"/>
      <c r="E146" s="99"/>
      <c r="F146" s="99"/>
    </row>
    <row r="147" spans="1:6" x14ac:dyDescent="0.15">
      <c r="A147" s="99"/>
      <c r="B147" s="99"/>
      <c r="C147" s="99"/>
      <c r="D147" s="99"/>
      <c r="E147" s="99"/>
      <c r="F147" s="99"/>
    </row>
    <row r="148" spans="1:6" x14ac:dyDescent="0.15">
      <c r="A148" s="99"/>
      <c r="B148" s="99"/>
      <c r="C148" s="99"/>
      <c r="D148" s="99"/>
      <c r="E148" s="99"/>
      <c r="F148" s="99"/>
    </row>
    <row r="149" spans="1:6" x14ac:dyDescent="0.15">
      <c r="A149" s="99"/>
      <c r="B149" s="99"/>
      <c r="C149" s="99"/>
      <c r="D149" s="99"/>
      <c r="E149" s="99"/>
      <c r="F149" s="99"/>
    </row>
    <row r="150" spans="1:6" x14ac:dyDescent="0.15">
      <c r="A150" s="99"/>
      <c r="B150" s="99"/>
      <c r="C150" s="99"/>
      <c r="D150" s="99"/>
      <c r="E150" s="99"/>
      <c r="F150" s="99"/>
    </row>
    <row r="151" spans="1:6" x14ac:dyDescent="0.15">
      <c r="A151" s="99"/>
      <c r="B151" s="99"/>
      <c r="C151" s="99"/>
      <c r="D151" s="99"/>
      <c r="E151" s="99"/>
      <c r="F151" s="99"/>
    </row>
    <row r="152" spans="1:6" x14ac:dyDescent="0.15">
      <c r="A152" s="99"/>
      <c r="B152" s="99"/>
      <c r="C152" s="99"/>
      <c r="D152" s="99"/>
      <c r="E152" s="99"/>
      <c r="F152" s="99"/>
    </row>
    <row r="153" spans="1:6" x14ac:dyDescent="0.15">
      <c r="A153" s="99"/>
      <c r="B153" s="99"/>
      <c r="C153" s="99"/>
      <c r="D153" s="99"/>
      <c r="E153" s="99"/>
      <c r="F153" s="99"/>
    </row>
    <row r="154" spans="1:6" x14ac:dyDescent="0.15">
      <c r="A154" s="99"/>
      <c r="B154" s="99"/>
      <c r="C154" s="99"/>
      <c r="D154" s="99"/>
      <c r="E154" s="99"/>
      <c r="F154" s="99"/>
    </row>
    <row r="155" spans="1:6" x14ac:dyDescent="0.15">
      <c r="A155" s="99"/>
      <c r="B155" s="99"/>
      <c r="C155" s="99"/>
      <c r="D155" s="99"/>
      <c r="E155" s="99"/>
      <c r="F155" s="99"/>
    </row>
    <row r="156" spans="1:6" x14ac:dyDescent="0.15">
      <c r="A156" s="99"/>
      <c r="B156" s="99"/>
      <c r="C156" s="99"/>
      <c r="D156" s="99"/>
      <c r="E156" s="99"/>
      <c r="F156" s="99"/>
    </row>
    <row r="157" spans="1:6" x14ac:dyDescent="0.15">
      <c r="A157" s="99"/>
      <c r="B157" s="99"/>
      <c r="C157" s="99"/>
      <c r="D157" s="99"/>
      <c r="E157" s="99"/>
      <c r="F157" s="99"/>
    </row>
    <row r="158" spans="1:6" x14ac:dyDescent="0.15">
      <c r="A158" s="99"/>
      <c r="B158" s="99"/>
      <c r="C158" s="99"/>
      <c r="D158" s="99"/>
      <c r="E158" s="99"/>
      <c r="F158" s="99"/>
    </row>
    <row r="159" spans="1:6" x14ac:dyDescent="0.15">
      <c r="A159" s="99"/>
      <c r="B159" s="99"/>
      <c r="C159" s="99"/>
      <c r="D159" s="99"/>
      <c r="E159" s="99"/>
      <c r="F159" s="99"/>
    </row>
    <row r="160" spans="1:6" x14ac:dyDescent="0.15">
      <c r="A160" s="99"/>
      <c r="B160" s="99"/>
      <c r="C160" s="99"/>
      <c r="D160" s="99"/>
      <c r="E160" s="99"/>
      <c r="F160" s="99"/>
    </row>
    <row r="161" spans="1:6" x14ac:dyDescent="0.15">
      <c r="A161" s="99"/>
      <c r="B161" s="99"/>
      <c r="C161" s="99"/>
      <c r="D161" s="99"/>
      <c r="E161" s="99"/>
      <c r="F161" s="99"/>
    </row>
    <row r="162" spans="1:6" x14ac:dyDescent="0.15">
      <c r="A162" s="99"/>
      <c r="B162" s="99"/>
      <c r="C162" s="99"/>
      <c r="D162" s="99"/>
      <c r="E162" s="99"/>
      <c r="F162" s="99"/>
    </row>
    <row r="163" spans="1:6" x14ac:dyDescent="0.15">
      <c r="A163" s="99"/>
      <c r="B163" s="99"/>
      <c r="C163" s="99"/>
      <c r="D163" s="99"/>
      <c r="E163" s="99"/>
      <c r="F163" s="99"/>
    </row>
    <row r="164" spans="1:6" x14ac:dyDescent="0.15">
      <c r="A164" s="99"/>
      <c r="B164" s="99"/>
      <c r="C164" s="99"/>
      <c r="D164" s="99"/>
      <c r="E164" s="99"/>
      <c r="F164" s="99"/>
    </row>
    <row r="165" spans="1:6" x14ac:dyDescent="0.15">
      <c r="A165" s="99"/>
      <c r="B165" s="99"/>
      <c r="C165" s="99"/>
      <c r="D165" s="99"/>
      <c r="E165" s="99"/>
      <c r="F165" s="99"/>
    </row>
    <row r="166" spans="1:6" x14ac:dyDescent="0.15">
      <c r="A166" s="99"/>
      <c r="B166" s="99"/>
      <c r="C166" s="99"/>
      <c r="D166" s="99"/>
      <c r="E166" s="99"/>
      <c r="F166" s="99"/>
    </row>
    <row r="167" spans="1:6" x14ac:dyDescent="0.15">
      <c r="A167" s="99"/>
      <c r="B167" s="99"/>
      <c r="C167" s="99"/>
      <c r="D167" s="99"/>
      <c r="E167" s="99"/>
      <c r="F167" s="99"/>
    </row>
    <row r="168" spans="1:6" x14ac:dyDescent="0.15">
      <c r="A168" s="99"/>
      <c r="B168" s="99"/>
      <c r="C168" s="99"/>
      <c r="D168" s="99"/>
      <c r="E168" s="99"/>
      <c r="F168" s="99"/>
    </row>
    <row r="169" spans="1:6" x14ac:dyDescent="0.15">
      <c r="A169" s="99"/>
      <c r="B169" s="99"/>
      <c r="C169" s="99"/>
      <c r="D169" s="99"/>
      <c r="E169" s="99"/>
      <c r="F169" s="99"/>
    </row>
    <row r="170" spans="1:6" x14ac:dyDescent="0.15">
      <c r="A170" s="99"/>
      <c r="B170" s="99"/>
      <c r="C170" s="99"/>
      <c r="D170" s="99"/>
      <c r="E170" s="99"/>
      <c r="F170" s="99"/>
    </row>
    <row r="171" spans="1:6" x14ac:dyDescent="0.15">
      <c r="A171" s="99"/>
      <c r="B171" s="99"/>
      <c r="C171" s="99"/>
      <c r="D171" s="99"/>
      <c r="E171" s="99"/>
      <c r="F171" s="99"/>
    </row>
    <row r="172" spans="1:6" x14ac:dyDescent="0.15">
      <c r="A172" s="99"/>
      <c r="B172" s="99"/>
      <c r="C172" s="99"/>
      <c r="D172" s="99"/>
      <c r="E172" s="99"/>
      <c r="F172" s="99"/>
    </row>
    <row r="173" spans="1:6" x14ac:dyDescent="0.15">
      <c r="A173" s="99"/>
      <c r="B173" s="99"/>
      <c r="C173" s="99"/>
      <c r="D173" s="99"/>
      <c r="E173" s="99"/>
      <c r="F173" s="99"/>
    </row>
    <row r="174" spans="1:6" x14ac:dyDescent="0.15">
      <c r="A174" s="99"/>
      <c r="B174" s="99"/>
      <c r="C174" s="99"/>
      <c r="D174" s="99"/>
      <c r="E174" s="99"/>
      <c r="F174" s="99"/>
    </row>
    <row r="175" spans="1:6" x14ac:dyDescent="0.15">
      <c r="A175" s="99"/>
      <c r="B175" s="99"/>
      <c r="C175" s="99"/>
      <c r="D175" s="99"/>
      <c r="E175" s="99"/>
      <c r="F175" s="99"/>
    </row>
    <row r="176" spans="1:6" x14ac:dyDescent="0.15">
      <c r="A176" s="99"/>
      <c r="B176" s="99"/>
      <c r="C176" s="99"/>
      <c r="D176" s="99"/>
      <c r="E176" s="99"/>
      <c r="F176" s="99"/>
    </row>
    <row r="177" spans="1:6" x14ac:dyDescent="0.15">
      <c r="A177" s="99"/>
      <c r="B177" s="99"/>
      <c r="C177" s="99"/>
      <c r="D177" s="99"/>
      <c r="E177" s="99"/>
      <c r="F177" s="99"/>
    </row>
    <row r="178" spans="1:6" x14ac:dyDescent="0.15">
      <c r="A178" s="99"/>
      <c r="B178" s="99"/>
      <c r="C178" s="99"/>
      <c r="D178" s="99"/>
      <c r="E178" s="99"/>
      <c r="F178" s="99"/>
    </row>
    <row r="179" spans="1:6" x14ac:dyDescent="0.15">
      <c r="A179" s="99"/>
      <c r="B179" s="99"/>
      <c r="C179" s="99"/>
      <c r="D179" s="99"/>
      <c r="E179" s="99"/>
      <c r="F179" s="99"/>
    </row>
    <row r="180" spans="1:6" x14ac:dyDescent="0.15">
      <c r="A180" s="99"/>
      <c r="B180" s="99"/>
      <c r="C180" s="99"/>
      <c r="D180" s="99"/>
      <c r="E180" s="99"/>
      <c r="F180" s="99"/>
    </row>
    <row r="181" spans="1:6" x14ac:dyDescent="0.15">
      <c r="A181" s="99"/>
      <c r="B181" s="99"/>
      <c r="C181" s="99"/>
      <c r="D181" s="99"/>
      <c r="E181" s="99"/>
      <c r="F181" s="99"/>
    </row>
    <row r="182" spans="1:6" x14ac:dyDescent="0.15">
      <c r="A182" s="99"/>
      <c r="B182" s="99"/>
      <c r="C182" s="99"/>
      <c r="D182" s="99"/>
      <c r="E182" s="99"/>
      <c r="F182" s="99"/>
    </row>
    <row r="183" spans="1:6" x14ac:dyDescent="0.15">
      <c r="A183" s="99"/>
      <c r="B183" s="99"/>
      <c r="C183" s="99"/>
      <c r="D183" s="99"/>
      <c r="E183" s="99"/>
      <c r="F183" s="99"/>
    </row>
    <row r="184" spans="1:6" x14ac:dyDescent="0.15">
      <c r="A184" s="99"/>
      <c r="B184" s="99"/>
      <c r="C184" s="99"/>
      <c r="D184" s="99"/>
      <c r="E184" s="99"/>
      <c r="F184" s="99"/>
    </row>
    <row r="185" spans="1:6" x14ac:dyDescent="0.15">
      <c r="A185" s="99"/>
      <c r="B185" s="99"/>
      <c r="C185" s="99"/>
      <c r="D185" s="99"/>
      <c r="E185" s="99"/>
      <c r="F185" s="99"/>
    </row>
    <row r="186" spans="1:6" x14ac:dyDescent="0.15">
      <c r="A186" s="99"/>
      <c r="B186" s="99"/>
      <c r="C186" s="99"/>
      <c r="D186" s="99"/>
      <c r="E186" s="99"/>
      <c r="F186" s="99"/>
    </row>
    <row r="187" spans="1:6" x14ac:dyDescent="0.15">
      <c r="A187" s="99"/>
      <c r="B187" s="99"/>
      <c r="C187" s="99"/>
      <c r="D187" s="99"/>
      <c r="E187" s="99"/>
      <c r="F187" s="99"/>
    </row>
    <row r="188" spans="1:6" x14ac:dyDescent="0.15">
      <c r="A188" s="99"/>
      <c r="B188" s="99"/>
      <c r="C188" s="99"/>
      <c r="D188" s="99"/>
      <c r="E188" s="99"/>
      <c r="F188" s="99"/>
    </row>
    <row r="189" spans="1:6" x14ac:dyDescent="0.15">
      <c r="A189" s="99"/>
      <c r="B189" s="99"/>
      <c r="C189" s="99"/>
      <c r="D189" s="99"/>
      <c r="E189" s="99"/>
      <c r="F189" s="99"/>
    </row>
    <row r="190" spans="1:6" x14ac:dyDescent="0.15">
      <c r="A190" s="99"/>
      <c r="B190" s="99"/>
      <c r="C190" s="99"/>
      <c r="D190" s="99"/>
      <c r="E190" s="99"/>
      <c r="F190" s="99"/>
    </row>
    <row r="191" spans="1:6" x14ac:dyDescent="0.15">
      <c r="A191" s="99"/>
      <c r="B191" s="99"/>
      <c r="C191" s="99"/>
      <c r="D191" s="99"/>
      <c r="E191" s="99"/>
      <c r="F191" s="99"/>
    </row>
    <row r="192" spans="1:6" x14ac:dyDescent="0.15">
      <c r="A192" s="99"/>
      <c r="B192" s="99"/>
      <c r="C192" s="99"/>
      <c r="D192" s="99"/>
      <c r="E192" s="99"/>
      <c r="F192" s="99"/>
    </row>
    <row r="193" spans="1:6" x14ac:dyDescent="0.15">
      <c r="A193" s="99"/>
      <c r="B193" s="99"/>
      <c r="C193" s="99"/>
      <c r="D193" s="99"/>
      <c r="E193" s="99"/>
      <c r="F193" s="99"/>
    </row>
    <row r="194" spans="1:6" x14ac:dyDescent="0.15">
      <c r="A194" s="99"/>
      <c r="B194" s="99"/>
      <c r="C194" s="99"/>
      <c r="D194" s="99"/>
      <c r="E194" s="99"/>
      <c r="F194" s="99"/>
    </row>
    <row r="195" spans="1:6" x14ac:dyDescent="0.15">
      <c r="A195" s="99"/>
      <c r="B195" s="99"/>
      <c r="C195" s="99"/>
      <c r="D195" s="99"/>
      <c r="E195" s="99"/>
      <c r="F195" s="99"/>
    </row>
    <row r="196" spans="1:6" x14ac:dyDescent="0.15">
      <c r="A196" s="99"/>
      <c r="B196" s="99"/>
      <c r="C196" s="99"/>
      <c r="D196" s="99"/>
      <c r="E196" s="99"/>
      <c r="F196" s="99"/>
    </row>
    <row r="197" spans="1:6" x14ac:dyDescent="0.15">
      <c r="A197" s="99"/>
      <c r="B197" s="99"/>
      <c r="C197" s="99"/>
      <c r="D197" s="99"/>
      <c r="E197" s="99"/>
      <c r="F197" s="99"/>
    </row>
    <row r="198" spans="1:6" x14ac:dyDescent="0.15">
      <c r="A198" s="99"/>
      <c r="B198" s="99"/>
      <c r="C198" s="99"/>
      <c r="D198" s="99"/>
      <c r="E198" s="99"/>
      <c r="F198" s="99"/>
    </row>
    <row r="199" spans="1:6" x14ac:dyDescent="0.15">
      <c r="A199" s="99"/>
      <c r="B199" s="99"/>
      <c r="C199" s="99"/>
      <c r="D199" s="99"/>
      <c r="E199" s="99"/>
      <c r="F199" s="99"/>
    </row>
    <row r="200" spans="1:6" x14ac:dyDescent="0.15">
      <c r="A200" s="99"/>
      <c r="B200" s="99"/>
      <c r="C200" s="99"/>
      <c r="D200" s="99"/>
      <c r="E200" s="99"/>
      <c r="F200" s="99"/>
    </row>
    <row r="201" spans="1:6" x14ac:dyDescent="0.15">
      <c r="A201" s="99"/>
      <c r="B201" s="99"/>
      <c r="C201" s="99"/>
      <c r="D201" s="99"/>
      <c r="E201" s="99"/>
      <c r="F201" s="99"/>
    </row>
    <row r="202" spans="1:6" x14ac:dyDescent="0.15">
      <c r="A202" s="99"/>
      <c r="B202" s="99"/>
      <c r="C202" s="99"/>
      <c r="D202" s="99"/>
      <c r="E202" s="99"/>
      <c r="F202" s="99"/>
    </row>
    <row r="203" spans="1:6" x14ac:dyDescent="0.15">
      <c r="A203" s="99"/>
      <c r="B203" s="99"/>
      <c r="C203" s="99"/>
      <c r="D203" s="99"/>
      <c r="E203" s="99"/>
      <c r="F203" s="99"/>
    </row>
    <row r="204" spans="1:6" x14ac:dyDescent="0.15">
      <c r="A204" s="99"/>
      <c r="B204" s="99"/>
      <c r="C204" s="99"/>
      <c r="D204" s="99"/>
      <c r="E204" s="99"/>
      <c r="F204" s="99"/>
    </row>
    <row r="205" spans="1:6" x14ac:dyDescent="0.15">
      <c r="A205" s="99"/>
      <c r="B205" s="99"/>
      <c r="C205" s="99"/>
      <c r="D205" s="99"/>
      <c r="E205" s="99"/>
      <c r="F205" s="99"/>
    </row>
    <row r="206" spans="1:6" x14ac:dyDescent="0.15">
      <c r="A206" s="99"/>
      <c r="B206" s="99"/>
      <c r="C206" s="99"/>
      <c r="D206" s="99"/>
      <c r="E206" s="99"/>
      <c r="F206" s="99"/>
    </row>
    <row r="207" spans="1:6" x14ac:dyDescent="0.15">
      <c r="A207" s="99"/>
      <c r="B207" s="99"/>
      <c r="C207" s="99"/>
      <c r="D207" s="99"/>
      <c r="E207" s="99"/>
      <c r="F207" s="99"/>
    </row>
    <row r="208" spans="1:6" x14ac:dyDescent="0.15">
      <c r="A208" s="99"/>
      <c r="B208" s="99"/>
      <c r="C208" s="99"/>
      <c r="D208" s="99"/>
      <c r="E208" s="99"/>
      <c r="F208" s="99"/>
    </row>
    <row r="209" spans="1:6" x14ac:dyDescent="0.15">
      <c r="A209" s="99"/>
      <c r="B209" s="99"/>
      <c r="C209" s="99"/>
      <c r="D209" s="99"/>
      <c r="E209" s="99"/>
      <c r="F209" s="99"/>
    </row>
    <row r="210" spans="1:6" x14ac:dyDescent="0.15">
      <c r="A210" s="99"/>
      <c r="B210" s="99"/>
      <c r="C210" s="99"/>
      <c r="D210" s="99"/>
      <c r="E210" s="99"/>
      <c r="F210" s="99"/>
    </row>
    <row r="211" spans="1:6" x14ac:dyDescent="0.15">
      <c r="A211" s="99"/>
      <c r="B211" s="99"/>
      <c r="C211" s="99"/>
      <c r="D211" s="99"/>
      <c r="E211" s="99"/>
      <c r="F211" s="99"/>
    </row>
    <row r="212" spans="1:6" x14ac:dyDescent="0.15">
      <c r="A212" s="99"/>
      <c r="B212" s="99"/>
      <c r="C212" s="99"/>
      <c r="D212" s="99"/>
      <c r="E212" s="99"/>
      <c r="F212" s="99"/>
    </row>
    <row r="213" spans="1:6" x14ac:dyDescent="0.15">
      <c r="A213" s="99"/>
      <c r="B213" s="99"/>
      <c r="C213" s="99"/>
      <c r="D213" s="99"/>
      <c r="E213" s="99"/>
      <c r="F213" s="99"/>
    </row>
    <row r="214" spans="1:6" x14ac:dyDescent="0.15">
      <c r="A214" s="99"/>
      <c r="B214" s="99"/>
      <c r="C214" s="99"/>
      <c r="D214" s="99"/>
      <c r="E214" s="99"/>
      <c r="F214" s="99"/>
    </row>
    <row r="215" spans="1:6" x14ac:dyDescent="0.15">
      <c r="A215" s="99"/>
      <c r="B215" s="99"/>
      <c r="C215" s="99"/>
      <c r="D215" s="99"/>
      <c r="E215" s="99"/>
      <c r="F215" s="99"/>
    </row>
    <row r="216" spans="1:6" x14ac:dyDescent="0.15">
      <c r="A216" s="99"/>
      <c r="B216" s="99"/>
      <c r="C216" s="99"/>
      <c r="D216" s="99"/>
      <c r="E216" s="99"/>
      <c r="F216" s="99"/>
    </row>
    <row r="217" spans="1:6" x14ac:dyDescent="0.15">
      <c r="A217" s="99"/>
      <c r="B217" s="99"/>
      <c r="C217" s="99"/>
      <c r="D217" s="99"/>
      <c r="E217" s="99"/>
      <c r="F217" s="99"/>
    </row>
    <row r="218" spans="1:6" x14ac:dyDescent="0.15">
      <c r="A218" s="99"/>
      <c r="B218" s="99"/>
      <c r="C218" s="99"/>
      <c r="D218" s="99"/>
      <c r="E218" s="99"/>
      <c r="F218" s="99"/>
    </row>
    <row r="219" spans="1:6" x14ac:dyDescent="0.15">
      <c r="A219" s="99"/>
      <c r="B219" s="99"/>
      <c r="C219" s="99"/>
      <c r="D219" s="99"/>
      <c r="E219" s="99"/>
      <c r="F219" s="99"/>
    </row>
    <row r="220" spans="1:6" x14ac:dyDescent="0.15">
      <c r="A220" s="99"/>
      <c r="B220" s="99"/>
      <c r="C220" s="99"/>
      <c r="D220" s="99"/>
      <c r="E220" s="99"/>
      <c r="F220" s="99"/>
    </row>
    <row r="221" spans="1:6" x14ac:dyDescent="0.15">
      <c r="A221" s="99"/>
      <c r="B221" s="99"/>
      <c r="C221" s="99"/>
      <c r="D221" s="99"/>
      <c r="E221" s="99"/>
      <c r="F221" s="99"/>
    </row>
    <row r="222" spans="1:6" x14ac:dyDescent="0.15">
      <c r="A222" s="99"/>
      <c r="B222" s="99"/>
      <c r="C222" s="99"/>
      <c r="D222" s="99"/>
      <c r="E222" s="99"/>
      <c r="F222" s="99"/>
    </row>
    <row r="223" spans="1:6" x14ac:dyDescent="0.15">
      <c r="A223" s="99"/>
      <c r="B223" s="99"/>
      <c r="C223" s="99"/>
      <c r="D223" s="99"/>
      <c r="E223" s="99"/>
      <c r="F223" s="99"/>
    </row>
    <row r="224" spans="1:6" x14ac:dyDescent="0.15">
      <c r="A224" s="99"/>
      <c r="B224" s="99"/>
      <c r="C224" s="99"/>
      <c r="D224" s="99"/>
      <c r="E224" s="99"/>
      <c r="F224" s="99"/>
    </row>
    <row r="225" spans="1:6" x14ac:dyDescent="0.15">
      <c r="A225" s="99"/>
      <c r="B225" s="99"/>
      <c r="C225" s="99"/>
      <c r="D225" s="99"/>
      <c r="E225" s="99"/>
      <c r="F225" s="99"/>
    </row>
    <row r="226" spans="1:6" x14ac:dyDescent="0.15">
      <c r="A226" s="99"/>
      <c r="B226" s="99"/>
      <c r="C226" s="99"/>
      <c r="D226" s="99"/>
      <c r="E226" s="99"/>
      <c r="F226" s="99"/>
    </row>
    <row r="227" spans="1:6" x14ac:dyDescent="0.15">
      <c r="A227" s="99"/>
      <c r="B227" s="99"/>
      <c r="C227" s="99"/>
      <c r="D227" s="99"/>
      <c r="E227" s="99"/>
      <c r="F227" s="99"/>
    </row>
    <row r="228" spans="1:6" x14ac:dyDescent="0.15">
      <c r="A228" s="99"/>
      <c r="B228" s="99"/>
      <c r="C228" s="99"/>
      <c r="D228" s="99"/>
      <c r="E228" s="99"/>
      <c r="F228" s="99"/>
    </row>
    <row r="229" spans="1:6" x14ac:dyDescent="0.15">
      <c r="A229" s="99"/>
      <c r="B229" s="99"/>
      <c r="C229" s="99"/>
      <c r="D229" s="99"/>
      <c r="E229" s="99"/>
      <c r="F229" s="99"/>
    </row>
    <row r="230" spans="1:6" x14ac:dyDescent="0.15">
      <c r="A230" s="99"/>
      <c r="B230" s="99"/>
      <c r="C230" s="99"/>
      <c r="D230" s="99"/>
      <c r="E230" s="99"/>
      <c r="F230" s="99"/>
    </row>
    <row r="231" spans="1:6" x14ac:dyDescent="0.15">
      <c r="A231" s="99"/>
      <c r="B231" s="99"/>
      <c r="C231" s="99"/>
      <c r="D231" s="99"/>
      <c r="E231" s="99"/>
      <c r="F231" s="99"/>
    </row>
    <row r="232" spans="1:6" x14ac:dyDescent="0.15">
      <c r="A232" s="99"/>
      <c r="B232" s="99"/>
      <c r="C232" s="99"/>
      <c r="D232" s="99"/>
      <c r="E232" s="99"/>
      <c r="F232" s="99"/>
    </row>
    <row r="233" spans="1:6" x14ac:dyDescent="0.15">
      <c r="A233" s="99"/>
      <c r="B233" s="99"/>
      <c r="C233" s="99"/>
      <c r="D233" s="99"/>
      <c r="E233" s="99"/>
      <c r="F233" s="99"/>
    </row>
    <row r="234" spans="1:6" x14ac:dyDescent="0.15">
      <c r="A234" s="99"/>
      <c r="B234" s="99"/>
      <c r="C234" s="99"/>
      <c r="D234" s="99"/>
      <c r="E234" s="99"/>
      <c r="F234" s="99"/>
    </row>
    <row r="235" spans="1:6" x14ac:dyDescent="0.15">
      <c r="A235" s="99"/>
      <c r="B235" s="99"/>
      <c r="C235" s="99"/>
      <c r="D235" s="99"/>
      <c r="E235" s="99"/>
      <c r="F235" s="99"/>
    </row>
    <row r="236" spans="1:6" x14ac:dyDescent="0.15">
      <c r="A236" s="99"/>
      <c r="B236" s="99"/>
      <c r="C236" s="99"/>
      <c r="D236" s="99"/>
      <c r="E236" s="99"/>
      <c r="F236" s="99"/>
    </row>
    <row r="237" spans="1:6" x14ac:dyDescent="0.15">
      <c r="A237" s="99"/>
      <c r="B237" s="99"/>
      <c r="C237" s="99"/>
      <c r="D237" s="99"/>
      <c r="E237" s="99"/>
      <c r="F237" s="99"/>
    </row>
    <row r="238" spans="1:6" x14ac:dyDescent="0.15">
      <c r="A238" s="99"/>
      <c r="B238" s="99"/>
      <c r="C238" s="99"/>
      <c r="D238" s="99"/>
      <c r="E238" s="99"/>
      <c r="F238" s="99"/>
    </row>
    <row r="239" spans="1:6" x14ac:dyDescent="0.15">
      <c r="A239" s="99"/>
      <c r="B239" s="99"/>
      <c r="C239" s="99"/>
      <c r="D239" s="99"/>
      <c r="E239" s="99"/>
      <c r="F239" s="99"/>
    </row>
    <row r="240" spans="1:6" x14ac:dyDescent="0.15">
      <c r="A240" s="99"/>
      <c r="B240" s="99"/>
      <c r="C240" s="99"/>
      <c r="D240" s="99"/>
      <c r="E240" s="99"/>
      <c r="F240" s="99"/>
    </row>
    <row r="241" spans="1:6" x14ac:dyDescent="0.15">
      <c r="A241" s="99"/>
      <c r="B241" s="99"/>
      <c r="C241" s="99"/>
      <c r="D241" s="99"/>
      <c r="E241" s="99"/>
      <c r="F241" s="99"/>
    </row>
    <row r="242" spans="1:6" x14ac:dyDescent="0.15">
      <c r="A242" s="99"/>
      <c r="B242" s="99"/>
      <c r="C242" s="99"/>
      <c r="D242" s="99"/>
      <c r="E242" s="99"/>
      <c r="F242" s="99"/>
    </row>
    <row r="243" spans="1:6" x14ac:dyDescent="0.15">
      <c r="A243" s="99"/>
      <c r="B243" s="99"/>
      <c r="C243" s="99"/>
      <c r="D243" s="99"/>
      <c r="E243" s="99"/>
      <c r="F243" s="99"/>
    </row>
    <row r="244" spans="1:6" x14ac:dyDescent="0.15">
      <c r="A244" s="99"/>
      <c r="B244" s="99"/>
      <c r="C244" s="99"/>
      <c r="D244" s="99"/>
      <c r="E244" s="99"/>
      <c r="F244" s="99"/>
    </row>
    <row r="245" spans="1:6" x14ac:dyDescent="0.15">
      <c r="A245" s="99"/>
      <c r="B245" s="99"/>
      <c r="C245" s="99"/>
      <c r="D245" s="99"/>
      <c r="E245" s="99"/>
      <c r="F245" s="99"/>
    </row>
    <row r="246" spans="1:6" x14ac:dyDescent="0.15">
      <c r="A246" s="99"/>
      <c r="B246" s="99"/>
      <c r="C246" s="99"/>
      <c r="D246" s="99"/>
      <c r="E246" s="99"/>
      <c r="F246" s="99"/>
    </row>
    <row r="247" spans="1:6" x14ac:dyDescent="0.15">
      <c r="A247" s="99"/>
      <c r="B247" s="99"/>
      <c r="C247" s="99"/>
      <c r="D247" s="99"/>
      <c r="E247" s="99"/>
      <c r="F247" s="99"/>
    </row>
    <row r="248" spans="1:6" x14ac:dyDescent="0.15">
      <c r="A248" s="99"/>
      <c r="B248" s="99"/>
      <c r="C248" s="99"/>
      <c r="D248" s="99"/>
      <c r="E248" s="99"/>
      <c r="F248" s="99"/>
    </row>
    <row r="249" spans="1:6" x14ac:dyDescent="0.15">
      <c r="A249" s="99"/>
      <c r="B249" s="99"/>
      <c r="C249" s="99"/>
      <c r="D249" s="99"/>
      <c r="E249" s="99"/>
      <c r="F249" s="99"/>
    </row>
    <row r="250" spans="1:6" x14ac:dyDescent="0.15">
      <c r="A250" s="99"/>
      <c r="B250" s="99"/>
      <c r="C250" s="99"/>
      <c r="D250" s="99"/>
      <c r="E250" s="99"/>
      <c r="F250" s="99"/>
    </row>
    <row r="251" spans="1:6" x14ac:dyDescent="0.15">
      <c r="A251" s="99"/>
      <c r="B251" s="99"/>
      <c r="C251" s="99"/>
      <c r="D251" s="99"/>
      <c r="E251" s="99"/>
      <c r="F251" s="99"/>
    </row>
    <row r="252" spans="1:6" x14ac:dyDescent="0.15">
      <c r="A252" s="99"/>
      <c r="B252" s="99"/>
      <c r="C252" s="99"/>
      <c r="D252" s="99"/>
      <c r="E252" s="99"/>
      <c r="F252" s="99"/>
    </row>
    <row r="253" spans="1:6" x14ac:dyDescent="0.15">
      <c r="A253" s="99"/>
      <c r="B253" s="99"/>
      <c r="C253" s="99"/>
      <c r="D253" s="99"/>
      <c r="E253" s="99"/>
      <c r="F253" s="99"/>
    </row>
    <row r="254" spans="1:6" x14ac:dyDescent="0.15">
      <c r="A254" s="99"/>
      <c r="B254" s="99"/>
      <c r="C254" s="99"/>
      <c r="D254" s="99"/>
      <c r="E254" s="99"/>
      <c r="F254" s="99"/>
    </row>
    <row r="255" spans="1:6" x14ac:dyDescent="0.15">
      <c r="A255" s="99"/>
      <c r="B255" s="99"/>
      <c r="C255" s="99"/>
      <c r="D255" s="99"/>
      <c r="E255" s="99"/>
      <c r="F255" s="99"/>
    </row>
    <row r="256" spans="1:6" x14ac:dyDescent="0.15">
      <c r="A256" s="99"/>
      <c r="B256" s="99"/>
      <c r="C256" s="99"/>
      <c r="D256" s="99"/>
      <c r="E256" s="99"/>
      <c r="F256" s="99"/>
    </row>
    <row r="257" spans="1:6" x14ac:dyDescent="0.15">
      <c r="A257" s="99"/>
      <c r="B257" s="99"/>
      <c r="C257" s="99"/>
      <c r="D257" s="99"/>
      <c r="E257" s="99"/>
      <c r="F257" s="99"/>
    </row>
    <row r="258" spans="1:6" x14ac:dyDescent="0.15">
      <c r="A258" s="99"/>
      <c r="B258" s="99"/>
      <c r="C258" s="99"/>
      <c r="D258" s="99"/>
      <c r="E258" s="99"/>
      <c r="F258" s="99"/>
    </row>
    <row r="259" spans="1:6" x14ac:dyDescent="0.15">
      <c r="A259" s="99"/>
      <c r="B259" s="99"/>
      <c r="C259" s="99"/>
      <c r="D259" s="99"/>
      <c r="E259" s="99"/>
      <c r="F259" s="99"/>
    </row>
    <row r="260" spans="1:6" x14ac:dyDescent="0.15">
      <c r="A260" s="99"/>
      <c r="B260" s="99"/>
      <c r="C260" s="99"/>
      <c r="D260" s="99"/>
      <c r="E260" s="99"/>
      <c r="F260" s="99"/>
    </row>
    <row r="261" spans="1:6" x14ac:dyDescent="0.15">
      <c r="A261" s="99"/>
      <c r="B261" s="99"/>
      <c r="C261" s="99"/>
      <c r="D261" s="99"/>
      <c r="E261" s="99"/>
      <c r="F261" s="99"/>
    </row>
    <row r="262" spans="1:6" x14ac:dyDescent="0.15">
      <c r="A262" s="99"/>
      <c r="B262" s="99"/>
      <c r="C262" s="99"/>
      <c r="D262" s="99"/>
      <c r="E262" s="99"/>
      <c r="F262" s="99"/>
    </row>
    <row r="263" spans="1:6" x14ac:dyDescent="0.15">
      <c r="A263" s="99"/>
      <c r="B263" s="99"/>
      <c r="C263" s="99"/>
      <c r="D263" s="99"/>
      <c r="E263" s="99"/>
      <c r="F263" s="99"/>
    </row>
    <row r="264" spans="1:6" x14ac:dyDescent="0.15">
      <c r="A264" s="99"/>
      <c r="B264" s="99"/>
      <c r="C264" s="99"/>
      <c r="D264" s="99"/>
      <c r="E264" s="99"/>
      <c r="F264" s="99"/>
    </row>
    <row r="265" spans="1:6" x14ac:dyDescent="0.15">
      <c r="A265" s="99"/>
      <c r="B265" s="99"/>
      <c r="C265" s="99"/>
      <c r="D265" s="99"/>
      <c r="E265" s="99"/>
      <c r="F265" s="99"/>
    </row>
    <row r="266" spans="1:6" x14ac:dyDescent="0.15">
      <c r="A266" s="99"/>
      <c r="B266" s="99"/>
      <c r="C266" s="99"/>
      <c r="D266" s="99"/>
      <c r="E266" s="99"/>
      <c r="F266" s="99"/>
    </row>
    <row r="267" spans="1:6" x14ac:dyDescent="0.15">
      <c r="A267" s="99"/>
      <c r="B267" s="99"/>
      <c r="C267" s="99"/>
      <c r="D267" s="99"/>
      <c r="E267" s="99"/>
      <c r="F267" s="99"/>
    </row>
    <row r="268" spans="1:6" x14ac:dyDescent="0.15">
      <c r="A268" s="99"/>
      <c r="B268" s="99"/>
      <c r="C268" s="99"/>
      <c r="D268" s="99"/>
      <c r="E268" s="99"/>
      <c r="F268" s="99"/>
    </row>
    <row r="269" spans="1:6" x14ac:dyDescent="0.15">
      <c r="A269" s="99"/>
      <c r="B269" s="99"/>
      <c r="C269" s="99"/>
      <c r="D269" s="99"/>
      <c r="E269" s="99"/>
      <c r="F269" s="99"/>
    </row>
    <row r="270" spans="1:6" x14ac:dyDescent="0.15">
      <c r="A270" s="99"/>
      <c r="B270" s="99"/>
      <c r="C270" s="99"/>
      <c r="D270" s="99"/>
      <c r="E270" s="99"/>
      <c r="F270" s="99"/>
    </row>
    <row r="271" spans="1:6" x14ac:dyDescent="0.15">
      <c r="A271" s="99"/>
      <c r="B271" s="99"/>
      <c r="C271" s="99"/>
      <c r="D271" s="99"/>
      <c r="E271" s="99"/>
      <c r="F271" s="99"/>
    </row>
    <row r="272" spans="1:6" x14ac:dyDescent="0.15">
      <c r="A272" s="99"/>
      <c r="B272" s="99"/>
      <c r="C272" s="99"/>
      <c r="D272" s="99"/>
      <c r="E272" s="99"/>
      <c r="F272" s="99"/>
    </row>
    <row r="273" spans="1:6" x14ac:dyDescent="0.15">
      <c r="A273" s="99"/>
      <c r="B273" s="99"/>
      <c r="C273" s="99"/>
      <c r="D273" s="99"/>
      <c r="E273" s="99"/>
      <c r="F273" s="99"/>
    </row>
    <row r="274" spans="1:6" x14ac:dyDescent="0.15">
      <c r="A274" s="99"/>
      <c r="B274" s="99"/>
      <c r="C274" s="99"/>
      <c r="D274" s="99"/>
      <c r="E274" s="99"/>
      <c r="F274" s="99"/>
    </row>
    <row r="275" spans="1:6" x14ac:dyDescent="0.15">
      <c r="A275" s="99"/>
      <c r="B275" s="99"/>
      <c r="C275" s="99"/>
      <c r="D275" s="99"/>
      <c r="E275" s="99"/>
      <c r="F275" s="99"/>
    </row>
    <row r="276" spans="1:6" x14ac:dyDescent="0.15">
      <c r="A276" s="99"/>
      <c r="B276" s="99"/>
      <c r="C276" s="99"/>
      <c r="D276" s="99"/>
      <c r="E276" s="99"/>
      <c r="F276" s="99"/>
    </row>
    <row r="277" spans="1:6" x14ac:dyDescent="0.15">
      <c r="A277" s="99"/>
      <c r="B277" s="99"/>
      <c r="C277" s="99"/>
      <c r="D277" s="99"/>
      <c r="E277" s="99"/>
      <c r="F277" s="99"/>
    </row>
    <row r="278" spans="1:6" x14ac:dyDescent="0.15">
      <c r="A278" s="99"/>
      <c r="B278" s="99"/>
      <c r="C278" s="99"/>
      <c r="D278" s="99"/>
      <c r="E278" s="99"/>
      <c r="F278" s="99"/>
    </row>
    <row r="279" spans="1:6" x14ac:dyDescent="0.15">
      <c r="A279" s="99"/>
      <c r="B279" s="99"/>
      <c r="C279" s="99"/>
      <c r="D279" s="99"/>
      <c r="E279" s="99"/>
      <c r="F279" s="99"/>
    </row>
    <row r="280" spans="1:6" x14ac:dyDescent="0.15">
      <c r="A280" s="99"/>
      <c r="B280" s="99"/>
      <c r="C280" s="99"/>
      <c r="D280" s="99"/>
      <c r="E280" s="99"/>
      <c r="F280" s="99"/>
    </row>
    <row r="281" spans="1:6" x14ac:dyDescent="0.15">
      <c r="A281" s="99"/>
      <c r="B281" s="99"/>
      <c r="C281" s="99"/>
      <c r="D281" s="99"/>
      <c r="E281" s="99"/>
      <c r="F281" s="99"/>
    </row>
    <row r="282" spans="1:6" x14ac:dyDescent="0.15">
      <c r="A282" s="99"/>
      <c r="B282" s="99"/>
      <c r="C282" s="99"/>
      <c r="D282" s="99"/>
      <c r="E282" s="99"/>
      <c r="F282" s="99"/>
    </row>
    <row r="283" spans="1:6" x14ac:dyDescent="0.15">
      <c r="A283" s="99"/>
      <c r="B283" s="99"/>
      <c r="C283" s="99"/>
      <c r="D283" s="99"/>
      <c r="E283" s="99"/>
      <c r="F283" s="99"/>
    </row>
    <row r="284" spans="1:6" x14ac:dyDescent="0.15">
      <c r="A284" s="99"/>
      <c r="B284" s="99"/>
      <c r="C284" s="99"/>
      <c r="D284" s="99"/>
      <c r="E284" s="99"/>
      <c r="F284" s="99"/>
    </row>
    <row r="285" spans="1:6" x14ac:dyDescent="0.15">
      <c r="A285" s="99"/>
      <c r="B285" s="99"/>
      <c r="C285" s="99"/>
      <c r="D285" s="99"/>
      <c r="E285" s="99"/>
      <c r="F285" s="99"/>
    </row>
    <row r="286" spans="1:6" x14ac:dyDescent="0.15">
      <c r="A286" s="99"/>
      <c r="B286" s="99"/>
      <c r="C286" s="99"/>
      <c r="D286" s="99"/>
      <c r="E286" s="99"/>
      <c r="F286" s="99"/>
    </row>
    <row r="287" spans="1:6" x14ac:dyDescent="0.15">
      <c r="A287" s="99"/>
      <c r="B287" s="99"/>
      <c r="C287" s="99"/>
      <c r="D287" s="99"/>
      <c r="E287" s="99"/>
      <c r="F287" s="99"/>
    </row>
    <row r="288" spans="1:6" x14ac:dyDescent="0.15">
      <c r="A288" s="99"/>
      <c r="B288" s="99"/>
      <c r="C288" s="99"/>
      <c r="D288" s="99"/>
      <c r="E288" s="99"/>
      <c r="F288" s="99"/>
    </row>
    <row r="289" spans="1:6" x14ac:dyDescent="0.15">
      <c r="A289" s="99"/>
      <c r="B289" s="99"/>
      <c r="C289" s="99"/>
      <c r="D289" s="99"/>
      <c r="E289" s="99"/>
      <c r="F289" s="99"/>
    </row>
    <row r="290" spans="1:6" x14ac:dyDescent="0.15">
      <c r="A290" s="99"/>
      <c r="B290" s="99"/>
      <c r="C290" s="99"/>
      <c r="D290" s="99"/>
      <c r="E290" s="99"/>
      <c r="F290" s="99"/>
    </row>
    <row r="291" spans="1:6" x14ac:dyDescent="0.15">
      <c r="A291" s="99"/>
      <c r="B291" s="99"/>
      <c r="C291" s="99"/>
      <c r="D291" s="99"/>
      <c r="E291" s="99"/>
      <c r="F291" s="99"/>
    </row>
    <row r="292" spans="1:6" x14ac:dyDescent="0.15">
      <c r="A292" s="99"/>
      <c r="B292" s="99"/>
      <c r="C292" s="99"/>
      <c r="D292" s="99"/>
      <c r="E292" s="99"/>
      <c r="F292" s="99"/>
    </row>
    <row r="293" spans="1:6" x14ac:dyDescent="0.15">
      <c r="A293" s="99"/>
      <c r="B293" s="99"/>
      <c r="C293" s="99"/>
      <c r="D293" s="99"/>
      <c r="E293" s="99"/>
      <c r="F293" s="99"/>
    </row>
    <row r="294" spans="1:6" x14ac:dyDescent="0.15">
      <c r="A294" s="99"/>
      <c r="B294" s="99"/>
      <c r="C294" s="99"/>
      <c r="D294" s="99"/>
      <c r="E294" s="99"/>
      <c r="F294" s="99"/>
    </row>
    <row r="295" spans="1:6" x14ac:dyDescent="0.15">
      <c r="A295" s="99"/>
      <c r="B295" s="99"/>
      <c r="C295" s="99"/>
      <c r="D295" s="99"/>
      <c r="E295" s="99"/>
      <c r="F295" s="99"/>
    </row>
    <row r="296" spans="1:6" x14ac:dyDescent="0.15">
      <c r="A296" s="99"/>
      <c r="B296" s="99"/>
      <c r="C296" s="99"/>
      <c r="D296" s="99"/>
      <c r="E296" s="99"/>
      <c r="F296" s="99"/>
    </row>
    <row r="297" spans="1:6" x14ac:dyDescent="0.15">
      <c r="A297" s="99"/>
      <c r="B297" s="99"/>
      <c r="C297" s="99"/>
      <c r="D297" s="99"/>
      <c r="E297" s="99"/>
      <c r="F297" s="99"/>
    </row>
    <row r="298" spans="1:6" x14ac:dyDescent="0.15">
      <c r="A298" s="99"/>
      <c r="B298" s="99"/>
      <c r="C298" s="99"/>
      <c r="D298" s="99"/>
      <c r="E298" s="99"/>
      <c r="F298" s="99"/>
    </row>
    <row r="299" spans="1:6" x14ac:dyDescent="0.15">
      <c r="A299" s="99"/>
      <c r="B299" s="99"/>
      <c r="C299" s="99"/>
      <c r="D299" s="99"/>
      <c r="E299" s="99"/>
      <c r="F299" s="99"/>
    </row>
    <row r="300" spans="1:6" x14ac:dyDescent="0.15">
      <c r="A300" s="99"/>
      <c r="B300" s="99"/>
      <c r="C300" s="99"/>
      <c r="D300" s="99"/>
      <c r="E300" s="99"/>
      <c r="F300" s="99"/>
    </row>
    <row r="301" spans="1:6" x14ac:dyDescent="0.15">
      <c r="A301" s="99"/>
      <c r="B301" s="99"/>
      <c r="C301" s="99"/>
      <c r="D301" s="99"/>
      <c r="E301" s="99"/>
      <c r="F301" s="99"/>
    </row>
    <row r="302" spans="1:6" x14ac:dyDescent="0.15">
      <c r="A302" s="99"/>
      <c r="B302" s="99"/>
      <c r="C302" s="99"/>
      <c r="D302" s="99"/>
      <c r="E302" s="99"/>
      <c r="F302" s="99"/>
    </row>
    <row r="303" spans="1:6" x14ac:dyDescent="0.15">
      <c r="A303" s="99"/>
      <c r="B303" s="99"/>
      <c r="C303" s="99"/>
      <c r="D303" s="99"/>
      <c r="E303" s="99"/>
      <c r="F303" s="99"/>
    </row>
    <row r="304" spans="1:6" x14ac:dyDescent="0.15">
      <c r="A304" s="99"/>
      <c r="B304" s="99"/>
      <c r="C304" s="99"/>
      <c r="D304" s="99"/>
      <c r="E304" s="99"/>
      <c r="F304" s="99"/>
    </row>
    <row r="305" spans="1:6" x14ac:dyDescent="0.15">
      <c r="A305" s="99"/>
      <c r="B305" s="99"/>
      <c r="C305" s="99"/>
      <c r="D305" s="99"/>
      <c r="E305" s="99"/>
      <c r="F305" s="99"/>
    </row>
    <row r="306" spans="1:6" x14ac:dyDescent="0.15">
      <c r="A306" s="99"/>
      <c r="B306" s="99"/>
      <c r="C306" s="99"/>
      <c r="D306" s="99"/>
      <c r="E306" s="99"/>
      <c r="F306" s="99"/>
    </row>
    <row r="307" spans="1:6" x14ac:dyDescent="0.15">
      <c r="A307" s="99"/>
      <c r="B307" s="99"/>
      <c r="C307" s="99"/>
      <c r="D307" s="99"/>
      <c r="E307" s="99"/>
      <c r="F307" s="99"/>
    </row>
    <row r="308" spans="1:6" x14ac:dyDescent="0.15">
      <c r="A308" s="99"/>
      <c r="B308" s="99"/>
      <c r="C308" s="99"/>
      <c r="D308" s="99"/>
      <c r="E308" s="99"/>
      <c r="F308" s="99"/>
    </row>
    <row r="309" spans="1:6" x14ac:dyDescent="0.15">
      <c r="A309" s="99"/>
      <c r="B309" s="99"/>
      <c r="C309" s="99"/>
      <c r="D309" s="99"/>
      <c r="E309" s="99"/>
      <c r="F309" s="99"/>
    </row>
    <row r="310" spans="1:6" x14ac:dyDescent="0.15">
      <c r="A310" s="99"/>
      <c r="B310" s="99"/>
      <c r="C310" s="99"/>
      <c r="D310" s="99"/>
      <c r="E310" s="99"/>
      <c r="F310" s="99"/>
    </row>
    <row r="311" spans="1:6" x14ac:dyDescent="0.15">
      <c r="A311" s="99"/>
      <c r="B311" s="99"/>
      <c r="C311" s="99"/>
      <c r="D311" s="99"/>
      <c r="E311" s="99"/>
      <c r="F311" s="99"/>
    </row>
    <row r="312" spans="1:6" x14ac:dyDescent="0.15">
      <c r="A312" s="99"/>
      <c r="B312" s="99"/>
      <c r="C312" s="99"/>
      <c r="D312" s="99"/>
      <c r="E312" s="99"/>
      <c r="F312" s="99"/>
    </row>
    <row r="313" spans="1:6" x14ac:dyDescent="0.15">
      <c r="A313" s="99"/>
      <c r="B313" s="99"/>
      <c r="C313" s="99"/>
      <c r="D313" s="99"/>
      <c r="E313" s="99"/>
      <c r="F313" s="99"/>
    </row>
    <row r="314" spans="1:6" x14ac:dyDescent="0.15">
      <c r="A314" s="99"/>
      <c r="B314" s="99"/>
      <c r="C314" s="99"/>
      <c r="D314" s="99"/>
      <c r="E314" s="99"/>
      <c r="F314" s="99"/>
    </row>
    <row r="315" spans="1:6" x14ac:dyDescent="0.15">
      <c r="A315" s="99"/>
      <c r="B315" s="99"/>
      <c r="C315" s="99"/>
      <c r="D315" s="99"/>
      <c r="E315" s="99"/>
      <c r="F315" s="99"/>
    </row>
    <row r="316" spans="1:6" x14ac:dyDescent="0.15">
      <c r="A316" s="99"/>
      <c r="B316" s="99"/>
      <c r="C316" s="99"/>
      <c r="D316" s="99"/>
      <c r="E316" s="99"/>
      <c r="F316" s="99"/>
    </row>
    <row r="317" spans="1:6" x14ac:dyDescent="0.15">
      <c r="A317" s="99"/>
      <c r="B317" s="99"/>
      <c r="C317" s="99"/>
      <c r="D317" s="99"/>
      <c r="E317" s="99"/>
      <c r="F317" s="99"/>
    </row>
    <row r="318" spans="1:6" x14ac:dyDescent="0.15">
      <c r="A318" s="99"/>
      <c r="B318" s="99"/>
      <c r="C318" s="99"/>
      <c r="D318" s="99"/>
      <c r="E318" s="99"/>
      <c r="F318" s="99"/>
    </row>
    <row r="319" spans="1:6" x14ac:dyDescent="0.15">
      <c r="A319" s="99"/>
      <c r="B319" s="99"/>
      <c r="C319" s="99"/>
      <c r="D319" s="99"/>
      <c r="E319" s="99"/>
      <c r="F319" s="99"/>
    </row>
    <row r="320" spans="1:6" x14ac:dyDescent="0.15">
      <c r="A320" s="99"/>
      <c r="B320" s="99"/>
      <c r="C320" s="99"/>
      <c r="D320" s="99"/>
      <c r="E320" s="99"/>
      <c r="F320" s="99"/>
    </row>
    <row r="321" spans="1:6" x14ac:dyDescent="0.15">
      <c r="A321" s="99"/>
      <c r="B321" s="99"/>
      <c r="C321" s="99"/>
      <c r="D321" s="99"/>
      <c r="E321" s="99"/>
      <c r="F321" s="99"/>
    </row>
    <row r="322" spans="1:6" x14ac:dyDescent="0.15">
      <c r="A322" s="99"/>
      <c r="B322" s="99"/>
      <c r="C322" s="99"/>
      <c r="D322" s="99"/>
      <c r="E322" s="99"/>
      <c r="F322" s="99"/>
    </row>
    <row r="323" spans="1:6" x14ac:dyDescent="0.15">
      <c r="A323" s="99"/>
      <c r="B323" s="99"/>
      <c r="C323" s="99"/>
      <c r="D323" s="99"/>
      <c r="E323" s="99"/>
      <c r="F323" s="99"/>
    </row>
    <row r="324" spans="1:6" x14ac:dyDescent="0.15">
      <c r="A324" s="99"/>
      <c r="B324" s="99"/>
      <c r="C324" s="99"/>
      <c r="D324" s="99"/>
      <c r="E324" s="99"/>
      <c r="F324" s="99"/>
    </row>
    <row r="325" spans="1:6" x14ac:dyDescent="0.15">
      <c r="A325" s="99"/>
      <c r="B325" s="99"/>
      <c r="C325" s="99"/>
      <c r="D325" s="99"/>
      <c r="E325" s="99"/>
      <c r="F325" s="99"/>
    </row>
    <row r="326" spans="1:6" x14ac:dyDescent="0.15">
      <c r="A326" s="99"/>
      <c r="B326" s="99"/>
      <c r="C326" s="99"/>
      <c r="D326" s="99"/>
      <c r="E326" s="99"/>
      <c r="F326" s="99"/>
    </row>
    <row r="327" spans="1:6" x14ac:dyDescent="0.15">
      <c r="A327" s="99"/>
      <c r="B327" s="99"/>
      <c r="C327" s="99"/>
      <c r="D327" s="99"/>
      <c r="E327" s="99"/>
      <c r="F327" s="99"/>
    </row>
    <row r="328" spans="1:6" x14ac:dyDescent="0.15">
      <c r="A328" s="99"/>
      <c r="B328" s="99"/>
      <c r="C328" s="99"/>
      <c r="D328" s="99"/>
      <c r="E328" s="99"/>
      <c r="F328" s="99"/>
    </row>
    <row r="329" spans="1:6" x14ac:dyDescent="0.15">
      <c r="A329" s="99"/>
      <c r="B329" s="99"/>
      <c r="C329" s="99"/>
      <c r="D329" s="99"/>
      <c r="E329" s="99"/>
      <c r="F329" s="99"/>
    </row>
    <row r="330" spans="1:6" x14ac:dyDescent="0.15">
      <c r="A330" s="99"/>
      <c r="B330" s="99"/>
      <c r="C330" s="99"/>
      <c r="D330" s="99"/>
      <c r="E330" s="99"/>
      <c r="F330" s="99"/>
    </row>
    <row r="331" spans="1:6" x14ac:dyDescent="0.15">
      <c r="A331" s="99"/>
      <c r="B331" s="99"/>
      <c r="C331" s="99"/>
      <c r="D331" s="99"/>
      <c r="E331" s="99"/>
      <c r="F331" s="99"/>
    </row>
    <row r="332" spans="1:6" x14ac:dyDescent="0.15">
      <c r="A332" s="99"/>
      <c r="B332" s="99"/>
      <c r="C332" s="99"/>
      <c r="D332" s="99"/>
      <c r="E332" s="99"/>
      <c r="F332" s="99"/>
    </row>
    <row r="333" spans="1:6" x14ac:dyDescent="0.15">
      <c r="A333" s="99"/>
      <c r="B333" s="99"/>
      <c r="C333" s="99"/>
      <c r="D333" s="99"/>
      <c r="E333" s="99"/>
      <c r="F333" s="99"/>
    </row>
    <row r="334" spans="1:6" x14ac:dyDescent="0.15">
      <c r="A334" s="99"/>
      <c r="B334" s="99"/>
      <c r="C334" s="99"/>
      <c r="D334" s="99"/>
      <c r="E334" s="99"/>
      <c r="F334" s="99"/>
    </row>
    <row r="335" spans="1:6" x14ac:dyDescent="0.15">
      <c r="A335" s="99"/>
      <c r="B335" s="99"/>
      <c r="C335" s="99"/>
      <c r="D335" s="99"/>
      <c r="E335" s="99"/>
      <c r="F335" s="99"/>
    </row>
    <row r="336" spans="1:6" x14ac:dyDescent="0.15">
      <c r="A336" s="99"/>
      <c r="B336" s="99"/>
      <c r="C336" s="99"/>
      <c r="D336" s="99"/>
      <c r="E336" s="99"/>
      <c r="F336" s="99"/>
    </row>
    <row r="337" spans="1:6" x14ac:dyDescent="0.15">
      <c r="A337" s="99"/>
      <c r="B337" s="99"/>
      <c r="C337" s="99"/>
      <c r="D337" s="99"/>
      <c r="E337" s="99"/>
      <c r="F337" s="99"/>
    </row>
    <row r="338" spans="1:6" x14ac:dyDescent="0.15">
      <c r="A338" s="99"/>
      <c r="B338" s="99"/>
      <c r="C338" s="99"/>
      <c r="D338" s="99"/>
      <c r="E338" s="99"/>
      <c r="F338" s="99"/>
    </row>
    <row r="339" spans="1:6" x14ac:dyDescent="0.15">
      <c r="A339" s="99"/>
      <c r="B339" s="99"/>
      <c r="C339" s="99"/>
      <c r="D339" s="99"/>
      <c r="E339" s="99"/>
      <c r="F339" s="99"/>
    </row>
    <row r="340" spans="1:6" x14ac:dyDescent="0.15">
      <c r="A340" s="99"/>
      <c r="B340" s="99"/>
      <c r="C340" s="99"/>
      <c r="D340" s="99"/>
      <c r="E340" s="99"/>
      <c r="F340" s="99"/>
    </row>
    <row r="341" spans="1:6" x14ac:dyDescent="0.15">
      <c r="A341" s="99"/>
      <c r="B341" s="99"/>
      <c r="C341" s="99"/>
      <c r="D341" s="99"/>
      <c r="E341" s="99"/>
      <c r="F341" s="99"/>
    </row>
    <row r="342" spans="1:6" x14ac:dyDescent="0.15">
      <c r="A342" s="99"/>
      <c r="B342" s="99"/>
      <c r="C342" s="99"/>
      <c r="D342" s="99"/>
      <c r="E342" s="99"/>
      <c r="F342" s="99"/>
    </row>
    <row r="343" spans="1:6" x14ac:dyDescent="0.15">
      <c r="A343" s="99"/>
      <c r="B343" s="99"/>
      <c r="C343" s="99"/>
      <c r="D343" s="99"/>
      <c r="E343" s="99"/>
      <c r="F343" s="99"/>
    </row>
    <row r="344" spans="1:6" x14ac:dyDescent="0.15">
      <c r="A344" s="99"/>
      <c r="B344" s="99"/>
      <c r="C344" s="99"/>
      <c r="D344" s="99"/>
      <c r="E344" s="99"/>
      <c r="F344" s="99"/>
    </row>
    <row r="345" spans="1:6" x14ac:dyDescent="0.15">
      <c r="A345" s="99"/>
      <c r="B345" s="99"/>
      <c r="C345" s="99"/>
      <c r="D345" s="99"/>
      <c r="E345" s="99"/>
      <c r="F345" s="99"/>
    </row>
    <row r="346" spans="1:6" x14ac:dyDescent="0.15">
      <c r="A346" s="99"/>
      <c r="B346" s="99"/>
      <c r="C346" s="99"/>
      <c r="D346" s="99"/>
      <c r="E346" s="99"/>
      <c r="F346" s="99"/>
    </row>
    <row r="347" spans="1:6" x14ac:dyDescent="0.15">
      <c r="A347" s="99"/>
      <c r="B347" s="99"/>
      <c r="C347" s="99"/>
      <c r="D347" s="99"/>
      <c r="E347" s="99"/>
      <c r="F347" s="99"/>
    </row>
    <row r="348" spans="1:6" x14ac:dyDescent="0.15">
      <c r="A348" s="99"/>
      <c r="B348" s="99"/>
      <c r="C348" s="99"/>
      <c r="D348" s="99"/>
      <c r="E348" s="99"/>
      <c r="F348" s="99"/>
    </row>
    <row r="349" spans="1:6" x14ac:dyDescent="0.15">
      <c r="A349" s="99"/>
      <c r="B349" s="99"/>
      <c r="C349" s="99"/>
      <c r="D349" s="99"/>
      <c r="E349" s="99"/>
      <c r="F349" s="99"/>
    </row>
    <row r="350" spans="1:6" x14ac:dyDescent="0.15">
      <c r="A350" s="99"/>
      <c r="B350" s="99"/>
      <c r="C350" s="99"/>
      <c r="D350" s="99"/>
      <c r="E350" s="99"/>
      <c r="F350" s="99"/>
    </row>
    <row r="351" spans="1:6" x14ac:dyDescent="0.15">
      <c r="A351" s="99"/>
      <c r="B351" s="99"/>
      <c r="C351" s="99"/>
      <c r="D351" s="99"/>
      <c r="E351" s="99"/>
      <c r="F351" s="99"/>
    </row>
    <row r="352" spans="1:6" x14ac:dyDescent="0.15">
      <c r="A352" s="99"/>
      <c r="B352" s="99"/>
      <c r="C352" s="99"/>
      <c r="D352" s="99"/>
      <c r="E352" s="99"/>
      <c r="F352" s="99"/>
    </row>
    <row r="353" spans="1:6" x14ac:dyDescent="0.15">
      <c r="A353" s="99"/>
      <c r="B353" s="99"/>
      <c r="C353" s="99"/>
      <c r="D353" s="99"/>
      <c r="E353" s="99"/>
      <c r="F353" s="99"/>
    </row>
    <row r="354" spans="1:6" x14ac:dyDescent="0.15">
      <c r="A354" s="99"/>
      <c r="B354" s="99"/>
      <c r="C354" s="99"/>
      <c r="D354" s="99"/>
      <c r="E354" s="99"/>
      <c r="F354" s="99"/>
    </row>
    <row r="355" spans="1:6" x14ac:dyDescent="0.15">
      <c r="A355" s="99"/>
      <c r="B355" s="99"/>
      <c r="C355" s="99"/>
      <c r="D355" s="99"/>
      <c r="E355" s="99"/>
      <c r="F355" s="99"/>
    </row>
    <row r="356" spans="1:6" x14ac:dyDescent="0.15">
      <c r="A356" s="99"/>
      <c r="B356" s="99"/>
      <c r="C356" s="99"/>
      <c r="D356" s="99"/>
      <c r="E356" s="99"/>
      <c r="F356" s="99"/>
    </row>
    <row r="357" spans="1:6" x14ac:dyDescent="0.15">
      <c r="A357" s="99"/>
      <c r="B357" s="99"/>
      <c r="C357" s="99"/>
      <c r="D357" s="99"/>
      <c r="E357" s="99"/>
      <c r="F357" s="99"/>
    </row>
    <row r="358" spans="1:6" x14ac:dyDescent="0.15">
      <c r="A358" s="99"/>
      <c r="B358" s="99"/>
      <c r="C358" s="99"/>
      <c r="D358" s="99"/>
      <c r="E358" s="99"/>
      <c r="F358" s="99"/>
    </row>
    <row r="359" spans="1:6" x14ac:dyDescent="0.15">
      <c r="A359" s="99"/>
      <c r="B359" s="99"/>
      <c r="C359" s="99"/>
      <c r="D359" s="99"/>
      <c r="E359" s="99"/>
      <c r="F359" s="99"/>
    </row>
    <row r="360" spans="1:6" x14ac:dyDescent="0.15">
      <c r="A360" s="99"/>
      <c r="B360" s="99"/>
      <c r="C360" s="99"/>
      <c r="D360" s="99"/>
      <c r="E360" s="99"/>
      <c r="F360" s="99"/>
    </row>
    <row r="361" spans="1:6" x14ac:dyDescent="0.15">
      <c r="A361" s="99"/>
      <c r="B361" s="99"/>
      <c r="C361" s="99"/>
      <c r="D361" s="99"/>
      <c r="E361" s="99"/>
      <c r="F361" s="99"/>
    </row>
    <row r="362" spans="1:6" x14ac:dyDescent="0.15">
      <c r="A362" s="99"/>
      <c r="B362" s="99"/>
      <c r="C362" s="99"/>
      <c r="D362" s="99"/>
      <c r="E362" s="99"/>
      <c r="F362" s="99"/>
    </row>
    <row r="363" spans="1:6" x14ac:dyDescent="0.15">
      <c r="A363" s="99"/>
      <c r="B363" s="99"/>
      <c r="C363" s="99"/>
      <c r="D363" s="99"/>
      <c r="E363" s="99"/>
      <c r="F363" s="99"/>
    </row>
    <row r="364" spans="1:6" x14ac:dyDescent="0.15">
      <c r="A364" s="99"/>
      <c r="B364" s="99"/>
      <c r="C364" s="99"/>
      <c r="D364" s="99"/>
      <c r="E364" s="99"/>
      <c r="F364" s="99"/>
    </row>
    <row r="365" spans="1:6" x14ac:dyDescent="0.15">
      <c r="A365" s="99"/>
      <c r="B365" s="99"/>
      <c r="C365" s="99"/>
      <c r="D365" s="99"/>
      <c r="E365" s="99"/>
      <c r="F365" s="99"/>
    </row>
    <row r="366" spans="1:6" x14ac:dyDescent="0.15">
      <c r="A366" s="99"/>
      <c r="B366" s="99"/>
      <c r="C366" s="99"/>
      <c r="D366" s="99"/>
      <c r="E366" s="99"/>
      <c r="F366" s="99"/>
    </row>
    <row r="367" spans="1:6" x14ac:dyDescent="0.15">
      <c r="A367" s="99"/>
      <c r="B367" s="99"/>
      <c r="C367" s="99"/>
      <c r="D367" s="99"/>
      <c r="E367" s="99"/>
      <c r="F367" s="99"/>
    </row>
    <row r="368" spans="1:6" x14ac:dyDescent="0.15">
      <c r="A368" s="99"/>
      <c r="B368" s="99"/>
      <c r="C368" s="99"/>
      <c r="D368" s="99"/>
      <c r="E368" s="99"/>
      <c r="F368" s="99"/>
    </row>
    <row r="369" spans="1:6" x14ac:dyDescent="0.15">
      <c r="A369" s="99"/>
      <c r="B369" s="99"/>
      <c r="C369" s="99"/>
      <c r="D369" s="99"/>
      <c r="E369" s="99"/>
      <c r="F369" s="99"/>
    </row>
    <row r="370" spans="1:6" x14ac:dyDescent="0.15">
      <c r="A370" s="99"/>
      <c r="B370" s="99"/>
      <c r="C370" s="99"/>
      <c r="D370" s="99"/>
      <c r="E370" s="99"/>
      <c r="F370" s="99"/>
    </row>
    <row r="371" spans="1:6" x14ac:dyDescent="0.15">
      <c r="A371" s="99"/>
      <c r="B371" s="99"/>
      <c r="C371" s="99"/>
      <c r="D371" s="99"/>
      <c r="E371" s="99"/>
      <c r="F371" s="99"/>
    </row>
    <row r="372" spans="1:6" x14ac:dyDescent="0.15">
      <c r="A372" s="99"/>
      <c r="B372" s="99"/>
      <c r="C372" s="99"/>
      <c r="D372" s="99"/>
      <c r="E372" s="99"/>
      <c r="F372" s="99"/>
    </row>
    <row r="373" spans="1:6" x14ac:dyDescent="0.15">
      <c r="A373" s="99"/>
      <c r="B373" s="99"/>
      <c r="C373" s="99"/>
      <c r="D373" s="99"/>
      <c r="E373" s="99"/>
      <c r="F373" s="99"/>
    </row>
    <row r="374" spans="1:6" x14ac:dyDescent="0.15">
      <c r="A374" s="99"/>
      <c r="B374" s="99"/>
      <c r="C374" s="99"/>
      <c r="D374" s="99"/>
      <c r="E374" s="99"/>
      <c r="F374" s="99"/>
    </row>
    <row r="375" spans="1:6" x14ac:dyDescent="0.15">
      <c r="A375" s="99"/>
      <c r="B375" s="99"/>
      <c r="C375" s="99"/>
      <c r="D375" s="99"/>
      <c r="E375" s="99"/>
      <c r="F375" s="99"/>
    </row>
    <row r="376" spans="1:6" x14ac:dyDescent="0.15">
      <c r="A376" s="99"/>
      <c r="B376" s="99"/>
      <c r="C376" s="99"/>
      <c r="D376" s="99"/>
      <c r="E376" s="99"/>
      <c r="F376" s="99"/>
    </row>
    <row r="377" spans="1:6" x14ac:dyDescent="0.15">
      <c r="A377" s="99"/>
      <c r="B377" s="99"/>
      <c r="C377" s="99"/>
      <c r="D377" s="99"/>
      <c r="E377" s="99"/>
      <c r="F377" s="99"/>
    </row>
    <row r="378" spans="1:6" x14ac:dyDescent="0.15">
      <c r="A378" s="99"/>
      <c r="B378" s="99"/>
      <c r="C378" s="99"/>
      <c r="D378" s="99"/>
      <c r="E378" s="99"/>
      <c r="F378" s="99"/>
    </row>
    <row r="379" spans="1:6" x14ac:dyDescent="0.15">
      <c r="A379" s="99"/>
      <c r="B379" s="99"/>
      <c r="C379" s="99"/>
      <c r="D379" s="99"/>
      <c r="E379" s="99"/>
      <c r="F379" s="99"/>
    </row>
    <row r="380" spans="1:6" x14ac:dyDescent="0.15">
      <c r="A380" s="99"/>
      <c r="B380" s="99"/>
      <c r="C380" s="99"/>
      <c r="D380" s="99"/>
      <c r="E380" s="99"/>
      <c r="F380" s="99"/>
    </row>
    <row r="381" spans="1:6" x14ac:dyDescent="0.15">
      <c r="A381" s="99"/>
      <c r="B381" s="99"/>
      <c r="C381" s="99"/>
      <c r="D381" s="99"/>
      <c r="E381" s="99"/>
      <c r="F381" s="99"/>
    </row>
    <row r="382" spans="1:6" x14ac:dyDescent="0.15">
      <c r="A382" s="99"/>
      <c r="B382" s="99"/>
      <c r="C382" s="99"/>
      <c r="D382" s="99"/>
      <c r="E382" s="99"/>
      <c r="F382" s="99"/>
    </row>
    <row r="383" spans="1:6" x14ac:dyDescent="0.15">
      <c r="A383" s="99"/>
      <c r="B383" s="99"/>
      <c r="C383" s="99"/>
      <c r="D383" s="99"/>
      <c r="E383" s="99"/>
      <c r="F383" s="99"/>
    </row>
    <row r="384" spans="1:6" x14ac:dyDescent="0.15">
      <c r="A384" s="99"/>
      <c r="B384" s="99"/>
      <c r="C384" s="99"/>
      <c r="D384" s="99"/>
      <c r="E384" s="99"/>
      <c r="F384" s="99"/>
    </row>
    <row r="385" spans="1:6" x14ac:dyDescent="0.15">
      <c r="A385" s="99"/>
      <c r="B385" s="99"/>
      <c r="C385" s="99"/>
      <c r="D385" s="99"/>
      <c r="E385" s="99"/>
      <c r="F385" s="99"/>
    </row>
    <row r="386" spans="1:6" x14ac:dyDescent="0.15">
      <c r="A386" s="99"/>
      <c r="B386" s="99"/>
      <c r="C386" s="99"/>
      <c r="D386" s="99"/>
      <c r="E386" s="99"/>
      <c r="F386" s="99"/>
    </row>
    <row r="387" spans="1:6" x14ac:dyDescent="0.15">
      <c r="A387" s="99"/>
      <c r="B387" s="99"/>
      <c r="C387" s="99"/>
      <c r="D387" s="99"/>
      <c r="E387" s="99"/>
      <c r="F387" s="99"/>
    </row>
    <row r="388" spans="1:6" x14ac:dyDescent="0.15">
      <c r="A388" s="99"/>
      <c r="B388" s="99"/>
      <c r="C388" s="99"/>
      <c r="D388" s="99"/>
      <c r="E388" s="99"/>
      <c r="F388" s="99"/>
    </row>
    <row r="389" spans="1:6" x14ac:dyDescent="0.15">
      <c r="A389" s="99"/>
      <c r="B389" s="99"/>
      <c r="C389" s="99"/>
      <c r="D389" s="99"/>
      <c r="E389" s="99"/>
      <c r="F389" s="99"/>
    </row>
    <row r="390" spans="1:6" x14ac:dyDescent="0.15">
      <c r="A390" s="99"/>
      <c r="B390" s="99"/>
      <c r="C390" s="99"/>
      <c r="D390" s="99"/>
      <c r="E390" s="99"/>
      <c r="F390" s="99"/>
    </row>
    <row r="391" spans="1:6" x14ac:dyDescent="0.15">
      <c r="A391" s="99"/>
      <c r="B391" s="99"/>
      <c r="C391" s="99"/>
      <c r="D391" s="99"/>
      <c r="E391" s="99"/>
      <c r="F391" s="99"/>
    </row>
    <row r="392" spans="1:6" x14ac:dyDescent="0.15">
      <c r="A392" s="99"/>
      <c r="B392" s="99"/>
      <c r="C392" s="99"/>
      <c r="D392" s="99"/>
      <c r="E392" s="99"/>
      <c r="F392" s="99"/>
    </row>
    <row r="393" spans="1:6" x14ac:dyDescent="0.15">
      <c r="A393" s="99"/>
      <c r="B393" s="99"/>
      <c r="C393" s="99"/>
      <c r="D393" s="99"/>
      <c r="E393" s="99"/>
      <c r="F393" s="99"/>
    </row>
    <row r="394" spans="1:6" x14ac:dyDescent="0.15">
      <c r="A394" s="99"/>
      <c r="B394" s="99"/>
      <c r="C394" s="99"/>
      <c r="D394" s="99"/>
      <c r="E394" s="99"/>
      <c r="F394" s="99"/>
    </row>
    <row r="395" spans="1:6" x14ac:dyDescent="0.15">
      <c r="A395" s="99"/>
      <c r="B395" s="99"/>
      <c r="C395" s="99"/>
      <c r="D395" s="99"/>
      <c r="E395" s="99"/>
      <c r="F395" s="99"/>
    </row>
    <row r="396" spans="1:6" x14ac:dyDescent="0.15">
      <c r="A396" s="99"/>
      <c r="B396" s="99"/>
      <c r="C396" s="99"/>
      <c r="D396" s="99"/>
      <c r="E396" s="99"/>
      <c r="F396" s="99"/>
    </row>
    <row r="397" spans="1:6" x14ac:dyDescent="0.15">
      <c r="A397" s="99"/>
      <c r="B397" s="99"/>
      <c r="C397" s="99"/>
      <c r="D397" s="99"/>
      <c r="E397" s="99"/>
      <c r="F397" s="99"/>
    </row>
    <row r="398" spans="1:6" x14ac:dyDescent="0.15">
      <c r="A398" s="99"/>
      <c r="B398" s="99"/>
      <c r="C398" s="99"/>
      <c r="D398" s="99"/>
      <c r="E398" s="99"/>
      <c r="F398" s="99"/>
    </row>
    <row r="399" spans="1:6" x14ac:dyDescent="0.15">
      <c r="A399" s="99"/>
      <c r="B399" s="99"/>
      <c r="C399" s="99"/>
      <c r="D399" s="99"/>
      <c r="E399" s="99"/>
      <c r="F399" s="99"/>
    </row>
    <row r="400" spans="1:6" x14ac:dyDescent="0.15">
      <c r="A400" s="99"/>
      <c r="B400" s="99"/>
      <c r="C400" s="99"/>
      <c r="D400" s="99"/>
      <c r="E400" s="99"/>
      <c r="F400" s="99"/>
    </row>
    <row r="401" spans="1:6" x14ac:dyDescent="0.15">
      <c r="A401" s="99"/>
      <c r="B401" s="99"/>
      <c r="C401" s="99"/>
      <c r="D401" s="99"/>
      <c r="E401" s="99"/>
      <c r="F401" s="99"/>
    </row>
    <row r="402" spans="1:6" x14ac:dyDescent="0.15">
      <c r="A402" s="99"/>
      <c r="B402" s="99"/>
      <c r="C402" s="99"/>
      <c r="D402" s="99"/>
      <c r="E402" s="99"/>
      <c r="F402" s="99"/>
    </row>
    <row r="403" spans="1:6" x14ac:dyDescent="0.15">
      <c r="A403" s="99"/>
      <c r="B403" s="99"/>
      <c r="C403" s="99"/>
      <c r="D403" s="99"/>
      <c r="E403" s="99"/>
      <c r="F403" s="99"/>
    </row>
    <row r="404" spans="1:6" x14ac:dyDescent="0.15">
      <c r="A404" s="99"/>
      <c r="B404" s="99"/>
      <c r="C404" s="99"/>
      <c r="D404" s="99"/>
      <c r="E404" s="99"/>
      <c r="F404" s="99"/>
    </row>
    <row r="405" spans="1:6" x14ac:dyDescent="0.15">
      <c r="A405" s="99"/>
      <c r="B405" s="99"/>
      <c r="C405" s="99"/>
      <c r="D405" s="99"/>
      <c r="E405" s="99"/>
      <c r="F405" s="99"/>
    </row>
    <row r="406" spans="1:6" x14ac:dyDescent="0.15">
      <c r="A406" s="99"/>
      <c r="B406" s="99"/>
      <c r="C406" s="99"/>
      <c r="D406" s="99"/>
      <c r="E406" s="99"/>
      <c r="F406" s="99"/>
    </row>
    <row r="407" spans="1:6" x14ac:dyDescent="0.15">
      <c r="A407" s="99"/>
      <c r="B407" s="99"/>
      <c r="C407" s="99"/>
      <c r="D407" s="99"/>
      <c r="E407" s="99"/>
      <c r="F407" s="99"/>
    </row>
    <row r="408" spans="1:6" x14ac:dyDescent="0.15">
      <c r="A408" s="99"/>
      <c r="B408" s="99"/>
      <c r="C408" s="99"/>
      <c r="D408" s="99"/>
      <c r="E408" s="99"/>
      <c r="F408" s="99"/>
    </row>
    <row r="409" spans="1:6" x14ac:dyDescent="0.15">
      <c r="A409" s="99"/>
      <c r="B409" s="99"/>
      <c r="C409" s="99"/>
      <c r="D409" s="99"/>
      <c r="E409" s="99"/>
      <c r="F409" s="99"/>
    </row>
    <row r="410" spans="1:6" x14ac:dyDescent="0.15">
      <c r="A410" s="99"/>
      <c r="B410" s="99"/>
      <c r="C410" s="99"/>
      <c r="D410" s="99"/>
      <c r="E410" s="99"/>
      <c r="F410" s="99"/>
    </row>
    <row r="411" spans="1:6" x14ac:dyDescent="0.15">
      <c r="A411" s="99"/>
      <c r="B411" s="99"/>
      <c r="C411" s="99"/>
      <c r="D411" s="99"/>
      <c r="E411" s="99"/>
      <c r="F411" s="99"/>
    </row>
    <row r="412" spans="1:6" x14ac:dyDescent="0.15">
      <c r="A412" s="99"/>
      <c r="B412" s="99"/>
      <c r="C412" s="99"/>
      <c r="D412" s="99"/>
      <c r="E412" s="99"/>
      <c r="F412" s="99"/>
    </row>
    <row r="413" spans="1:6" x14ac:dyDescent="0.15">
      <c r="A413" s="99"/>
      <c r="B413" s="99"/>
      <c r="C413" s="99"/>
      <c r="D413" s="99"/>
      <c r="E413" s="99"/>
      <c r="F413" s="99"/>
    </row>
    <row r="414" spans="1:6" x14ac:dyDescent="0.15">
      <c r="A414" s="99"/>
      <c r="B414" s="99"/>
      <c r="C414" s="99"/>
      <c r="D414" s="99"/>
      <c r="E414" s="99"/>
      <c r="F414" s="99"/>
    </row>
    <row r="415" spans="1:6" x14ac:dyDescent="0.15">
      <c r="A415" s="99"/>
      <c r="B415" s="99"/>
      <c r="C415" s="99"/>
      <c r="D415" s="99"/>
      <c r="E415" s="99"/>
      <c r="F415" s="99"/>
    </row>
    <row r="416" spans="1:6" x14ac:dyDescent="0.15">
      <c r="A416" s="99"/>
      <c r="B416" s="99"/>
      <c r="C416" s="99"/>
      <c r="D416" s="99"/>
      <c r="E416" s="99"/>
      <c r="F416" s="99"/>
    </row>
    <row r="417" spans="1:6" x14ac:dyDescent="0.15">
      <c r="A417" s="99"/>
      <c r="B417" s="99"/>
      <c r="C417" s="99"/>
      <c r="D417" s="99"/>
      <c r="E417" s="99"/>
      <c r="F417" s="99"/>
    </row>
    <row r="418" spans="1:6" x14ac:dyDescent="0.15">
      <c r="A418" s="99"/>
      <c r="B418" s="99"/>
      <c r="C418" s="99"/>
      <c r="D418" s="99"/>
      <c r="E418" s="99"/>
      <c r="F418" s="99"/>
    </row>
    <row r="419" spans="1:6" x14ac:dyDescent="0.15">
      <c r="A419" s="99"/>
      <c r="B419" s="99"/>
      <c r="C419" s="99"/>
      <c r="D419" s="99"/>
      <c r="E419" s="99"/>
      <c r="F419" s="99"/>
    </row>
    <row r="420" spans="1:6" x14ac:dyDescent="0.15">
      <c r="A420" s="99"/>
      <c r="B420" s="99"/>
      <c r="C420" s="99"/>
      <c r="D420" s="99"/>
      <c r="E420" s="99"/>
      <c r="F420" s="99"/>
    </row>
    <row r="421" spans="1:6" x14ac:dyDescent="0.15">
      <c r="A421" s="99"/>
      <c r="B421" s="99"/>
      <c r="C421" s="99"/>
      <c r="D421" s="99"/>
      <c r="E421" s="99"/>
      <c r="F421" s="99"/>
    </row>
    <row r="422" spans="1:6" x14ac:dyDescent="0.15">
      <c r="A422" s="99"/>
      <c r="B422" s="99"/>
      <c r="C422" s="99"/>
      <c r="D422" s="99"/>
      <c r="E422" s="99"/>
      <c r="F422" s="99"/>
    </row>
    <row r="423" spans="1:6" x14ac:dyDescent="0.15">
      <c r="A423" s="99"/>
      <c r="B423" s="99"/>
      <c r="C423" s="99"/>
      <c r="D423" s="99"/>
      <c r="E423" s="99"/>
      <c r="F423" s="99"/>
    </row>
    <row r="424" spans="1:6" x14ac:dyDescent="0.15">
      <c r="A424" s="99"/>
      <c r="B424" s="99"/>
      <c r="C424" s="99"/>
      <c r="D424" s="99"/>
      <c r="E424" s="99"/>
      <c r="F424" s="99"/>
    </row>
    <row r="425" spans="1:6" x14ac:dyDescent="0.15">
      <c r="A425" s="99"/>
      <c r="B425" s="99"/>
      <c r="C425" s="99"/>
      <c r="D425" s="99"/>
      <c r="E425" s="99"/>
      <c r="F425" s="99"/>
    </row>
    <row r="426" spans="1:6" x14ac:dyDescent="0.15">
      <c r="A426" s="99"/>
      <c r="B426" s="99"/>
      <c r="C426" s="99"/>
      <c r="D426" s="99"/>
      <c r="E426" s="99"/>
      <c r="F426" s="99"/>
    </row>
    <row r="427" spans="1:6" x14ac:dyDescent="0.15">
      <c r="A427" s="99"/>
      <c r="B427" s="99"/>
      <c r="C427" s="99"/>
      <c r="D427" s="99"/>
      <c r="E427" s="99"/>
      <c r="F427" s="99"/>
    </row>
    <row r="428" spans="1:6" x14ac:dyDescent="0.15">
      <c r="A428" s="99"/>
      <c r="B428" s="99"/>
      <c r="C428" s="99"/>
      <c r="D428" s="99"/>
      <c r="E428" s="99"/>
      <c r="F428" s="99"/>
    </row>
    <row r="429" spans="1:6" x14ac:dyDescent="0.15">
      <c r="A429" s="99"/>
      <c r="B429" s="99"/>
      <c r="C429" s="99"/>
      <c r="D429" s="99"/>
      <c r="E429" s="99"/>
      <c r="F429" s="99"/>
    </row>
    <row r="430" spans="1:6" x14ac:dyDescent="0.15">
      <c r="A430" s="99"/>
      <c r="B430" s="99"/>
      <c r="C430" s="99"/>
      <c r="D430" s="99"/>
      <c r="E430" s="99"/>
      <c r="F430" s="99"/>
    </row>
    <row r="431" spans="1:6" x14ac:dyDescent="0.15">
      <c r="A431" s="99"/>
      <c r="B431" s="99"/>
      <c r="C431" s="99"/>
      <c r="D431" s="99"/>
      <c r="E431" s="99"/>
      <c r="F431" s="99"/>
    </row>
    <row r="432" spans="1:6" x14ac:dyDescent="0.15">
      <c r="A432" s="99"/>
      <c r="B432" s="99"/>
      <c r="C432" s="99"/>
      <c r="D432" s="99"/>
      <c r="E432" s="99"/>
      <c r="F432" s="99"/>
    </row>
    <row r="433" spans="1:6" x14ac:dyDescent="0.15">
      <c r="A433" s="99"/>
      <c r="B433" s="99"/>
      <c r="C433" s="99"/>
      <c r="D433" s="99"/>
      <c r="E433" s="99"/>
      <c r="F433" s="99"/>
    </row>
    <row r="434" spans="1:6" x14ac:dyDescent="0.15">
      <c r="A434" s="99"/>
      <c r="B434" s="99"/>
      <c r="C434" s="99"/>
      <c r="D434" s="99"/>
      <c r="E434" s="99"/>
      <c r="F434" s="99"/>
    </row>
    <row r="435" spans="1:6" x14ac:dyDescent="0.15">
      <c r="A435" s="99"/>
      <c r="B435" s="99"/>
      <c r="C435" s="99"/>
      <c r="D435" s="99"/>
      <c r="E435" s="99"/>
      <c r="F435" s="99"/>
    </row>
    <row r="436" spans="1:6" x14ac:dyDescent="0.15">
      <c r="A436" s="99"/>
      <c r="B436" s="99"/>
      <c r="C436" s="99"/>
      <c r="D436" s="99"/>
      <c r="E436" s="99"/>
      <c r="F436" s="99"/>
    </row>
    <row r="437" spans="1:6" x14ac:dyDescent="0.15">
      <c r="A437" s="99"/>
      <c r="B437" s="99"/>
      <c r="C437" s="99"/>
      <c r="D437" s="99"/>
      <c r="E437" s="99"/>
      <c r="F437" s="99"/>
    </row>
    <row r="438" spans="1:6" x14ac:dyDescent="0.15">
      <c r="A438" s="99"/>
      <c r="B438" s="99"/>
      <c r="C438" s="99"/>
      <c r="D438" s="99"/>
      <c r="E438" s="99"/>
      <c r="F438" s="99"/>
    </row>
    <row r="439" spans="1:6" x14ac:dyDescent="0.15">
      <c r="A439" s="99"/>
      <c r="B439" s="99"/>
      <c r="C439" s="99"/>
      <c r="D439" s="99"/>
      <c r="E439" s="99"/>
      <c r="F439" s="99"/>
    </row>
    <row r="440" spans="1:6" x14ac:dyDescent="0.15">
      <c r="A440" s="99"/>
      <c r="B440" s="99"/>
      <c r="C440" s="99"/>
      <c r="D440" s="99"/>
      <c r="E440" s="99"/>
      <c r="F440" s="99"/>
    </row>
    <row r="441" spans="1:6" x14ac:dyDescent="0.15">
      <c r="A441" s="99"/>
      <c r="B441" s="99"/>
      <c r="C441" s="99"/>
      <c r="D441" s="99"/>
      <c r="E441" s="99"/>
      <c r="F441" s="99"/>
    </row>
    <row r="442" spans="1:6" x14ac:dyDescent="0.15">
      <c r="A442" s="99"/>
      <c r="B442" s="99"/>
      <c r="C442" s="99"/>
      <c r="D442" s="99"/>
      <c r="E442" s="99"/>
      <c r="F442" s="99"/>
    </row>
    <row r="443" spans="1:6" x14ac:dyDescent="0.15">
      <c r="A443" s="99"/>
      <c r="B443" s="99"/>
      <c r="C443" s="99"/>
      <c r="D443" s="99"/>
      <c r="E443" s="99"/>
      <c r="F443" s="99"/>
    </row>
    <row r="444" spans="1:6" x14ac:dyDescent="0.15">
      <c r="A444" s="99"/>
      <c r="B444" s="99"/>
      <c r="C444" s="99"/>
      <c r="D444" s="99"/>
      <c r="E444" s="99"/>
      <c r="F444" s="99"/>
    </row>
    <row r="445" spans="1:6" x14ac:dyDescent="0.15">
      <c r="A445" s="99"/>
      <c r="B445" s="99"/>
      <c r="C445" s="99"/>
      <c r="D445" s="99"/>
      <c r="E445" s="99"/>
      <c r="F445" s="99"/>
    </row>
    <row r="446" spans="1:6" x14ac:dyDescent="0.15">
      <c r="A446" s="99"/>
      <c r="B446" s="99"/>
      <c r="C446" s="99"/>
      <c r="D446" s="99"/>
      <c r="E446" s="99"/>
      <c r="F446" s="99"/>
    </row>
    <row r="447" spans="1:6" x14ac:dyDescent="0.15">
      <c r="A447" s="99"/>
      <c r="B447" s="99"/>
      <c r="C447" s="99"/>
      <c r="D447" s="99"/>
      <c r="E447" s="99"/>
      <c r="F447" s="99"/>
    </row>
    <row r="448" spans="1:6" x14ac:dyDescent="0.15">
      <c r="A448" s="99"/>
      <c r="B448" s="99"/>
      <c r="C448" s="99"/>
      <c r="D448" s="99"/>
      <c r="E448" s="99"/>
      <c r="F448" s="99"/>
    </row>
    <row r="449" spans="1:6" x14ac:dyDescent="0.15">
      <c r="A449" s="99"/>
      <c r="B449" s="99"/>
      <c r="C449" s="99"/>
      <c r="D449" s="99"/>
      <c r="E449" s="99"/>
      <c r="F449" s="99"/>
    </row>
    <row r="450" spans="1:6" x14ac:dyDescent="0.15">
      <c r="A450" s="99"/>
      <c r="B450" s="99"/>
      <c r="C450" s="99"/>
      <c r="D450" s="99"/>
      <c r="E450" s="99"/>
      <c r="F450" s="99"/>
    </row>
    <row r="451" spans="1:6" x14ac:dyDescent="0.15">
      <c r="A451" s="99"/>
      <c r="B451" s="99"/>
      <c r="C451" s="99"/>
      <c r="D451" s="99"/>
      <c r="E451" s="99"/>
      <c r="F451" s="99"/>
    </row>
    <row r="452" spans="1:6" x14ac:dyDescent="0.15">
      <c r="A452" s="99"/>
      <c r="B452" s="99"/>
      <c r="C452" s="99"/>
      <c r="D452" s="99"/>
      <c r="E452" s="99"/>
      <c r="F452" s="99"/>
    </row>
    <row r="453" spans="1:6" x14ac:dyDescent="0.15">
      <c r="A453" s="99"/>
      <c r="B453" s="99"/>
      <c r="C453" s="99"/>
      <c r="D453" s="99"/>
      <c r="E453" s="99"/>
      <c r="F453" s="99"/>
    </row>
    <row r="454" spans="1:6" x14ac:dyDescent="0.15">
      <c r="A454" s="99"/>
      <c r="B454" s="99"/>
      <c r="C454" s="99"/>
      <c r="D454" s="99"/>
      <c r="E454" s="99"/>
      <c r="F454" s="99"/>
    </row>
    <row r="455" spans="1:6" x14ac:dyDescent="0.15">
      <c r="A455" s="99"/>
      <c r="B455" s="99"/>
      <c r="C455" s="99"/>
      <c r="D455" s="99"/>
      <c r="E455" s="99"/>
      <c r="F455" s="99"/>
    </row>
    <row r="456" spans="1:6" x14ac:dyDescent="0.15">
      <c r="A456" s="99"/>
      <c r="B456" s="99"/>
      <c r="C456" s="99"/>
      <c r="D456" s="99"/>
      <c r="E456" s="99"/>
      <c r="F456" s="99"/>
    </row>
    <row r="457" spans="1:6" x14ac:dyDescent="0.15">
      <c r="A457" s="99"/>
      <c r="B457" s="99"/>
      <c r="C457" s="99"/>
      <c r="D457" s="99"/>
      <c r="E457" s="99"/>
      <c r="F457" s="99"/>
    </row>
    <row r="458" spans="1:6" x14ac:dyDescent="0.15">
      <c r="A458" s="99"/>
      <c r="B458" s="99"/>
      <c r="C458" s="99"/>
      <c r="D458" s="99"/>
      <c r="E458" s="99"/>
      <c r="F458" s="99"/>
    </row>
    <row r="459" spans="1:6" x14ac:dyDescent="0.15">
      <c r="A459" s="99"/>
      <c r="B459" s="99"/>
      <c r="C459" s="99"/>
      <c r="D459" s="99"/>
      <c r="E459" s="99"/>
      <c r="F459" s="99"/>
    </row>
    <row r="460" spans="1:6" x14ac:dyDescent="0.15">
      <c r="A460" s="99"/>
      <c r="B460" s="99"/>
      <c r="C460" s="99"/>
      <c r="D460" s="99"/>
      <c r="E460" s="99"/>
      <c r="F460" s="99"/>
    </row>
    <row r="461" spans="1:6" x14ac:dyDescent="0.15">
      <c r="A461" s="99"/>
      <c r="B461" s="99"/>
      <c r="C461" s="99"/>
      <c r="D461" s="99"/>
      <c r="E461" s="99"/>
      <c r="F461" s="99"/>
    </row>
    <row r="462" spans="1:6" x14ac:dyDescent="0.15">
      <c r="A462" s="99"/>
      <c r="B462" s="99"/>
      <c r="C462" s="99"/>
      <c r="D462" s="99"/>
      <c r="E462" s="99"/>
      <c r="F462" s="99"/>
    </row>
    <row r="463" spans="1:6" x14ac:dyDescent="0.15">
      <c r="A463" s="99"/>
      <c r="B463" s="99"/>
      <c r="C463" s="99"/>
      <c r="D463" s="99"/>
      <c r="E463" s="99"/>
      <c r="F463" s="99"/>
    </row>
    <row r="464" spans="1:6" x14ac:dyDescent="0.15">
      <c r="A464" s="99"/>
      <c r="B464" s="99"/>
      <c r="C464" s="99"/>
      <c r="D464" s="99"/>
      <c r="E464" s="99"/>
      <c r="F464" s="99"/>
    </row>
    <row r="465" spans="1:6" x14ac:dyDescent="0.15">
      <c r="A465" s="99"/>
      <c r="B465" s="99"/>
      <c r="C465" s="99"/>
      <c r="D465" s="99"/>
      <c r="E465" s="99"/>
      <c r="F465" s="99"/>
    </row>
    <row r="466" spans="1:6" x14ac:dyDescent="0.15">
      <c r="A466" s="99"/>
      <c r="B466" s="99"/>
      <c r="C466" s="99"/>
      <c r="D466" s="99"/>
      <c r="E466" s="99"/>
      <c r="F466" s="99"/>
    </row>
    <row r="467" spans="1:6" x14ac:dyDescent="0.15">
      <c r="A467" s="99"/>
      <c r="B467" s="99"/>
      <c r="C467" s="99"/>
      <c r="D467" s="99"/>
      <c r="E467" s="99"/>
      <c r="F467" s="99"/>
    </row>
    <row r="468" spans="1:6" x14ac:dyDescent="0.15">
      <c r="A468" s="99"/>
      <c r="B468" s="99"/>
      <c r="C468" s="99"/>
      <c r="D468" s="99"/>
      <c r="E468" s="99"/>
      <c r="F468" s="99"/>
    </row>
    <row r="469" spans="1:6" x14ac:dyDescent="0.15">
      <c r="A469" s="99"/>
      <c r="B469" s="99"/>
      <c r="C469" s="99"/>
      <c r="D469" s="99"/>
      <c r="E469" s="99"/>
      <c r="F469" s="99"/>
    </row>
    <row r="470" spans="1:6" x14ac:dyDescent="0.15">
      <c r="A470" s="99"/>
      <c r="B470" s="99"/>
      <c r="C470" s="99"/>
      <c r="D470" s="99"/>
      <c r="E470" s="99"/>
      <c r="F470" s="99"/>
    </row>
    <row r="471" spans="1:6" x14ac:dyDescent="0.15">
      <c r="A471" s="99"/>
      <c r="B471" s="99"/>
      <c r="C471" s="99"/>
      <c r="D471" s="99"/>
      <c r="E471" s="99"/>
      <c r="F471" s="99"/>
    </row>
    <row r="472" spans="1:6" x14ac:dyDescent="0.15">
      <c r="A472" s="99"/>
      <c r="B472" s="99"/>
      <c r="C472" s="99"/>
      <c r="D472" s="99"/>
      <c r="E472" s="99"/>
      <c r="F472" s="99"/>
    </row>
    <row r="473" spans="1:6" x14ac:dyDescent="0.15">
      <c r="A473" s="99"/>
      <c r="B473" s="99"/>
      <c r="C473" s="99"/>
      <c r="D473" s="99"/>
      <c r="E473" s="99"/>
      <c r="F473" s="99"/>
    </row>
    <row r="474" spans="1:6" x14ac:dyDescent="0.15">
      <c r="A474" s="99"/>
      <c r="B474" s="99"/>
      <c r="C474" s="99"/>
      <c r="D474" s="99"/>
      <c r="E474" s="99"/>
      <c r="F474" s="99"/>
    </row>
    <row r="475" spans="1:6" x14ac:dyDescent="0.15">
      <c r="A475" s="99"/>
      <c r="B475" s="99"/>
      <c r="C475" s="99"/>
      <c r="D475" s="99"/>
      <c r="E475" s="99"/>
      <c r="F475" s="99"/>
    </row>
    <row r="476" spans="1:6" x14ac:dyDescent="0.15">
      <c r="A476" s="99"/>
      <c r="B476" s="99"/>
      <c r="C476" s="99"/>
      <c r="D476" s="99"/>
      <c r="E476" s="99"/>
      <c r="F476" s="99"/>
    </row>
    <row r="477" spans="1:6" x14ac:dyDescent="0.15">
      <c r="A477" s="99"/>
      <c r="B477" s="99"/>
      <c r="C477" s="99"/>
      <c r="D477" s="99"/>
      <c r="E477" s="99"/>
      <c r="F477" s="99"/>
    </row>
    <row r="478" spans="1:6" x14ac:dyDescent="0.15">
      <c r="A478" s="99"/>
      <c r="B478" s="99"/>
      <c r="C478" s="99"/>
      <c r="D478" s="99"/>
      <c r="E478" s="99"/>
      <c r="F478" s="99"/>
    </row>
    <row r="479" spans="1:6" x14ac:dyDescent="0.15">
      <c r="A479" s="99"/>
      <c r="B479" s="99"/>
      <c r="C479" s="99"/>
      <c r="D479" s="99"/>
      <c r="E479" s="99"/>
      <c r="F479" s="99"/>
    </row>
    <row r="480" spans="1:6" x14ac:dyDescent="0.15">
      <c r="A480" s="99"/>
      <c r="B480" s="99"/>
      <c r="C480" s="99"/>
      <c r="D480" s="99"/>
      <c r="E480" s="99"/>
      <c r="F480" s="99"/>
    </row>
    <row r="481" spans="1:6" x14ac:dyDescent="0.15">
      <c r="A481" s="99"/>
      <c r="B481" s="99"/>
      <c r="C481" s="99"/>
      <c r="D481" s="99"/>
      <c r="E481" s="99"/>
      <c r="F481" s="99"/>
    </row>
    <row r="482" spans="1:6" x14ac:dyDescent="0.15">
      <c r="A482" s="99"/>
      <c r="B482" s="99"/>
      <c r="C482" s="99"/>
      <c r="D482" s="99"/>
      <c r="E482" s="99"/>
      <c r="F482" s="99"/>
    </row>
    <row r="483" spans="1:6" x14ac:dyDescent="0.15">
      <c r="A483" s="99"/>
      <c r="B483" s="99"/>
      <c r="C483" s="99"/>
      <c r="D483" s="99"/>
      <c r="E483" s="99"/>
      <c r="F483" s="99"/>
    </row>
    <row r="484" spans="1:6" x14ac:dyDescent="0.15">
      <c r="A484" s="99"/>
      <c r="B484" s="99"/>
      <c r="C484" s="99"/>
      <c r="D484" s="99"/>
      <c r="E484" s="99"/>
      <c r="F484" s="99"/>
    </row>
    <row r="485" spans="1:6" x14ac:dyDescent="0.15">
      <c r="A485" s="99"/>
      <c r="B485" s="99"/>
      <c r="C485" s="99"/>
      <c r="D485" s="99"/>
      <c r="E485" s="99"/>
      <c r="F485" s="99"/>
    </row>
    <row r="486" spans="1:6" x14ac:dyDescent="0.15">
      <c r="A486" s="99"/>
      <c r="B486" s="99"/>
      <c r="C486" s="99"/>
      <c r="D486" s="99"/>
      <c r="E486" s="99"/>
      <c r="F486" s="99"/>
    </row>
    <row r="487" spans="1:6" x14ac:dyDescent="0.15">
      <c r="A487" s="99"/>
      <c r="B487" s="99"/>
      <c r="C487" s="99"/>
      <c r="D487" s="99"/>
      <c r="E487" s="99"/>
      <c r="F487" s="99"/>
    </row>
    <row r="488" spans="1:6" x14ac:dyDescent="0.15">
      <c r="A488" s="99"/>
      <c r="B488" s="99"/>
      <c r="C488" s="99"/>
      <c r="D488" s="99"/>
      <c r="E488" s="99"/>
      <c r="F488" s="99"/>
    </row>
    <row r="489" spans="1:6" x14ac:dyDescent="0.15">
      <c r="A489" s="99"/>
      <c r="B489" s="99"/>
      <c r="C489" s="99"/>
      <c r="D489" s="99"/>
      <c r="E489" s="99"/>
      <c r="F489" s="99"/>
    </row>
    <row r="490" spans="1:6" x14ac:dyDescent="0.15">
      <c r="A490" s="99"/>
      <c r="B490" s="99"/>
      <c r="C490" s="99"/>
      <c r="D490" s="99"/>
      <c r="E490" s="99"/>
      <c r="F490" s="99"/>
    </row>
    <row r="491" spans="1:6" x14ac:dyDescent="0.15">
      <c r="A491" s="99"/>
      <c r="B491" s="99"/>
      <c r="C491" s="99"/>
      <c r="D491" s="99"/>
      <c r="E491" s="99"/>
      <c r="F491" s="99"/>
    </row>
    <row r="492" spans="1:6" x14ac:dyDescent="0.15">
      <c r="A492" s="99"/>
      <c r="B492" s="99"/>
      <c r="C492" s="99"/>
      <c r="D492" s="99"/>
      <c r="E492" s="99"/>
      <c r="F492" s="99"/>
    </row>
    <row r="493" spans="1:6" x14ac:dyDescent="0.15">
      <c r="A493" s="99"/>
      <c r="B493" s="99"/>
      <c r="C493" s="99"/>
      <c r="D493" s="99"/>
      <c r="E493" s="99"/>
      <c r="F493" s="99"/>
    </row>
    <row r="494" spans="1:6" x14ac:dyDescent="0.15">
      <c r="A494" s="99"/>
      <c r="B494" s="99"/>
      <c r="C494" s="99"/>
      <c r="D494" s="99"/>
      <c r="E494" s="99"/>
      <c r="F494" s="99"/>
    </row>
    <row r="495" spans="1:6" x14ac:dyDescent="0.15">
      <c r="A495" s="99"/>
      <c r="B495" s="99"/>
      <c r="C495" s="99"/>
      <c r="D495" s="99"/>
      <c r="E495" s="99"/>
      <c r="F495" s="99"/>
    </row>
    <row r="496" spans="1:6" x14ac:dyDescent="0.15">
      <c r="A496" s="99"/>
      <c r="B496" s="99"/>
      <c r="C496" s="99"/>
      <c r="D496" s="99"/>
      <c r="E496" s="99"/>
      <c r="F496" s="99"/>
    </row>
    <row r="497" spans="1:6" x14ac:dyDescent="0.15">
      <c r="A497" s="99"/>
      <c r="B497" s="99"/>
      <c r="C497" s="99"/>
      <c r="D497" s="99"/>
      <c r="E497" s="99"/>
      <c r="F497" s="99"/>
    </row>
    <row r="498" spans="1:6" x14ac:dyDescent="0.15">
      <c r="A498" s="99"/>
      <c r="B498" s="99"/>
      <c r="C498" s="99"/>
      <c r="D498" s="99"/>
      <c r="E498" s="99"/>
      <c r="F498" s="99"/>
    </row>
    <row r="499" spans="1:6" x14ac:dyDescent="0.15">
      <c r="A499" s="99"/>
      <c r="B499" s="99"/>
      <c r="C499" s="99"/>
      <c r="D499" s="99"/>
      <c r="E499" s="99"/>
      <c r="F499" s="99"/>
    </row>
  </sheetData>
  <mergeCells count="11">
    <mergeCell ref="A2:F2"/>
    <mergeCell ref="A11:F11"/>
    <mergeCell ref="B7:F7"/>
    <mergeCell ref="B10:F10"/>
    <mergeCell ref="A1:F1"/>
    <mergeCell ref="A5:F5"/>
    <mergeCell ref="A6:F6"/>
    <mergeCell ref="A4:F4"/>
    <mergeCell ref="B8:F8"/>
    <mergeCell ref="A3:F3"/>
    <mergeCell ref="B9:F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980B9"/>
  </sheetPr>
  <dimension ref="A1:BC78"/>
  <sheetViews>
    <sheetView showGridLines="0" zoomScaleNormal="100" workbookViewId="0"/>
  </sheetViews>
  <sheetFormatPr baseColWidth="10" defaultColWidth="8.6640625" defaultRowHeight="15" customHeight="1" x14ac:dyDescent="0.2"/>
  <cols>
    <col min="1" max="1" width="8" style="1" customWidth="1"/>
    <col min="2" max="2" width="34" style="1" customWidth="1"/>
    <col min="3" max="15" width="9" style="1" customWidth="1"/>
    <col min="16" max="55" width="13" style="1" customWidth="1"/>
  </cols>
  <sheetData>
    <row r="1" spans="1:16" ht="27.75" customHeight="1" x14ac:dyDescent="0.2">
      <c r="A1" s="167" t="s">
        <v>2337</v>
      </c>
      <c r="B1" s="122"/>
      <c r="C1" s="122"/>
      <c r="D1" s="122"/>
      <c r="E1" s="122"/>
      <c r="F1" s="122"/>
      <c r="G1" s="122"/>
      <c r="H1" s="122"/>
      <c r="I1" s="122"/>
      <c r="J1" s="122"/>
      <c r="K1" s="122"/>
      <c r="L1" s="122"/>
      <c r="M1" s="122"/>
      <c r="N1" s="122"/>
      <c r="O1" s="122"/>
      <c r="P1" s="122"/>
    </row>
    <row r="2" spans="1:16" ht="30" customHeight="1" x14ac:dyDescent="0.2">
      <c r="A2" s="149" t="s">
        <v>2338</v>
      </c>
      <c r="B2" s="122"/>
      <c r="C2" s="122"/>
      <c r="D2" s="122"/>
      <c r="E2" s="122"/>
      <c r="F2" s="122"/>
      <c r="G2" s="122"/>
      <c r="H2" s="122"/>
      <c r="I2" s="122"/>
      <c r="J2" s="122"/>
      <c r="K2" s="122"/>
      <c r="L2" s="122"/>
      <c r="M2" s="122"/>
      <c r="N2" s="122"/>
      <c r="O2" s="122"/>
      <c r="P2" s="122"/>
    </row>
    <row r="3" spans="1:16" ht="19.5" customHeight="1" x14ac:dyDescent="0.2">
      <c r="A3" s="5" t="s">
        <v>44</v>
      </c>
      <c r="B3" s="5" t="s">
        <v>290</v>
      </c>
      <c r="C3" s="166" t="s">
        <v>2339</v>
      </c>
      <c r="D3" s="119"/>
      <c r="E3" s="119"/>
      <c r="F3" s="119"/>
      <c r="G3" s="119"/>
      <c r="H3" s="119"/>
      <c r="I3" s="119"/>
      <c r="J3" s="119"/>
      <c r="K3" s="119"/>
      <c r="L3" s="119"/>
      <c r="M3" s="119"/>
      <c r="N3" s="152"/>
      <c r="O3" s="168" t="s">
        <v>2340</v>
      </c>
      <c r="P3" s="152"/>
    </row>
    <row r="4" spans="1:16" ht="19.5" customHeight="1" x14ac:dyDescent="0.2">
      <c r="A4" s="67" t="s">
        <v>44</v>
      </c>
      <c r="B4" s="67" t="s">
        <v>290</v>
      </c>
      <c r="C4" s="61" t="s">
        <v>2341</v>
      </c>
      <c r="D4" s="61" t="s">
        <v>2342</v>
      </c>
      <c r="E4" s="61" t="s">
        <v>2343</v>
      </c>
      <c r="F4" s="61" t="s">
        <v>2344</v>
      </c>
      <c r="G4" s="61" t="s">
        <v>2345</v>
      </c>
      <c r="H4" s="61" t="s">
        <v>2346</v>
      </c>
      <c r="I4" s="61" t="s">
        <v>2347</v>
      </c>
      <c r="J4" s="61" t="s">
        <v>2348</v>
      </c>
      <c r="K4" s="61" t="s">
        <v>2349</v>
      </c>
      <c r="L4" s="61" t="s">
        <v>2350</v>
      </c>
      <c r="M4" s="61" t="s">
        <v>2351</v>
      </c>
      <c r="N4" s="61" t="s">
        <v>2352</v>
      </c>
      <c r="O4" s="67" t="s">
        <v>2353</v>
      </c>
      <c r="P4" s="67" t="s">
        <v>2354</v>
      </c>
    </row>
    <row r="5" spans="1:16" ht="19.5" customHeight="1" x14ac:dyDescent="0.2">
      <c r="A5" s="20" t="str">
        <f>'Field Teams'!A5</f>
        <v>FT-001</v>
      </c>
      <c r="B5" s="68" t="str">
        <f>'Field Teams'!B5</f>
        <v>Kingfisher Tree Services Ltd</v>
      </c>
      <c r="C5" s="69"/>
      <c r="D5" s="69"/>
      <c r="E5" s="69"/>
      <c r="F5" s="69"/>
      <c r="G5" s="69"/>
      <c r="H5" s="69"/>
      <c r="I5" s="69"/>
      <c r="J5" s="69"/>
      <c r="K5" s="69"/>
      <c r="L5" s="69"/>
      <c r="M5" s="69"/>
      <c r="N5" s="69"/>
      <c r="O5" s="19" t="str">
        <f t="shared" ref="O5:O36" si="0">IFERROR(AVERAGE(C5:N5),"")</f>
        <v/>
      </c>
      <c r="P5" s="20" t="str">
        <f t="shared" ref="P5:P36" si="1">IFERROR(IF(AND(C5="",N5=""),"--",IF(N5&gt;C5," Worsening",IF(N5&lt;C5," Improving"," Stable"))),"--")</f>
        <v>--</v>
      </c>
    </row>
    <row r="6" spans="1:16" ht="19.5" customHeight="1" x14ac:dyDescent="0.2">
      <c r="A6" s="70" t="str">
        <f>'Field Teams'!A6</f>
        <v>FT-002</v>
      </c>
      <c r="B6" s="18" t="str">
        <f>'Field Teams'!B6</f>
        <v>WRS Tree Services Ltd</v>
      </c>
      <c r="C6" s="69"/>
      <c r="D6" s="69"/>
      <c r="E6" s="69"/>
      <c r="F6" s="69"/>
      <c r="G6" s="69"/>
      <c r="H6" s="69"/>
      <c r="I6" s="69"/>
      <c r="J6" s="69"/>
      <c r="K6" s="69"/>
      <c r="L6" s="69"/>
      <c r="M6" s="69"/>
      <c r="N6" s="69"/>
      <c r="O6" s="71" t="str">
        <f t="shared" si="0"/>
        <v/>
      </c>
      <c r="P6" s="70" t="str">
        <f t="shared" si="1"/>
        <v>--</v>
      </c>
    </row>
    <row r="7" spans="1:16" ht="19.5" customHeight="1" x14ac:dyDescent="0.2">
      <c r="A7" s="20" t="str">
        <f>'Field Teams'!A7</f>
        <v>FT-003</v>
      </c>
      <c r="B7" s="68" t="str">
        <f>'Field Teams'!B7</f>
        <v>Ashdown Tree Limited</v>
      </c>
      <c r="C7" s="69"/>
      <c r="D7" s="69"/>
      <c r="E7" s="69"/>
      <c r="F7" s="69"/>
      <c r="G7" s="69"/>
      <c r="H7" s="69"/>
      <c r="I7" s="69"/>
      <c r="J7" s="69"/>
      <c r="K7" s="69"/>
      <c r="L7" s="69"/>
      <c r="M7" s="69"/>
      <c r="N7" s="69"/>
      <c r="O7" s="19" t="str">
        <f t="shared" si="0"/>
        <v/>
      </c>
      <c r="P7" s="20" t="str">
        <f t="shared" si="1"/>
        <v>--</v>
      </c>
    </row>
    <row r="8" spans="1:16" ht="19.5" customHeight="1" x14ac:dyDescent="0.2">
      <c r="A8" s="70" t="str">
        <f>'Field Teams'!A8</f>
        <v>FT-004</v>
      </c>
      <c r="B8" s="18" t="str">
        <f>'Field Teams'!B8</f>
        <v>Austin Tree Care LTD</v>
      </c>
      <c r="C8" s="69"/>
      <c r="D8" s="69"/>
      <c r="E8" s="69"/>
      <c r="F8" s="69"/>
      <c r="G8" s="69"/>
      <c r="H8" s="69"/>
      <c r="I8" s="69"/>
      <c r="J8" s="69"/>
      <c r="K8" s="69"/>
      <c r="L8" s="69"/>
      <c r="M8" s="69"/>
      <c r="N8" s="69"/>
      <c r="O8" s="71" t="str">
        <f t="shared" si="0"/>
        <v/>
      </c>
      <c r="P8" s="70" t="str">
        <f t="shared" si="1"/>
        <v>--</v>
      </c>
    </row>
    <row r="9" spans="1:16" ht="19.5" customHeight="1" x14ac:dyDescent="0.2">
      <c r="A9" s="20" t="str">
        <f>'Field Teams'!A9</f>
        <v>FT-005</v>
      </c>
      <c r="B9" s="68" t="str">
        <f>'Field Teams'!B9</f>
        <v>D &amp; R Landscapes</v>
      </c>
      <c r="C9" s="69"/>
      <c r="D9" s="69"/>
      <c r="E9" s="69"/>
      <c r="F9" s="69"/>
      <c r="G9" s="69"/>
      <c r="H9" s="69"/>
      <c r="I9" s="69"/>
      <c r="J9" s="69"/>
      <c r="K9" s="69"/>
      <c r="L9" s="69"/>
      <c r="M9" s="69"/>
      <c r="N9" s="69"/>
      <c r="O9" s="19" t="str">
        <f t="shared" si="0"/>
        <v/>
      </c>
      <c r="P9" s="20" t="str">
        <f t="shared" si="1"/>
        <v>--</v>
      </c>
    </row>
    <row r="10" spans="1:16" ht="19.5" customHeight="1" x14ac:dyDescent="0.2">
      <c r="A10" s="70" t="str">
        <f>'Field Teams'!A10</f>
        <v>FT-006</v>
      </c>
      <c r="B10" s="18" t="str">
        <f>'Field Teams'!B10</f>
        <v>Eastwoodbury Tree Services Ltd</v>
      </c>
      <c r="C10" s="69"/>
      <c r="D10" s="69"/>
      <c r="E10" s="69"/>
      <c r="F10" s="69"/>
      <c r="G10" s="69"/>
      <c r="H10" s="69"/>
      <c r="I10" s="69"/>
      <c r="J10" s="69"/>
      <c r="K10" s="69"/>
      <c r="L10" s="69"/>
      <c r="M10" s="69"/>
      <c r="N10" s="69"/>
      <c r="O10" s="71" t="str">
        <f t="shared" si="0"/>
        <v/>
      </c>
      <c r="P10" s="70" t="str">
        <f t="shared" si="1"/>
        <v>--</v>
      </c>
    </row>
    <row r="11" spans="1:16" ht="19.5" customHeight="1" x14ac:dyDescent="0.2">
      <c r="A11" s="20" t="str">
        <f>'Field Teams'!A11</f>
        <v>FT-007</v>
      </c>
      <c r="B11" s="68" t="str">
        <f>'Field Teams'!B11</f>
        <v>Green Net Eco Ltd</v>
      </c>
      <c r="C11" s="69"/>
      <c r="D11" s="69"/>
      <c r="E11" s="69"/>
      <c r="F11" s="69"/>
      <c r="G11" s="69"/>
      <c r="H11" s="69"/>
      <c r="I11" s="69"/>
      <c r="J11" s="69"/>
      <c r="K11" s="69"/>
      <c r="L11" s="69"/>
      <c r="M11" s="69"/>
      <c r="N11" s="69"/>
      <c r="O11" s="19" t="str">
        <f t="shared" si="0"/>
        <v/>
      </c>
      <c r="P11" s="20" t="str">
        <f t="shared" si="1"/>
        <v>--</v>
      </c>
    </row>
    <row r="12" spans="1:16" ht="19.5" customHeight="1" x14ac:dyDescent="0.2">
      <c r="A12" s="70" t="str">
        <f>'Field Teams'!A12</f>
        <v>FT-008</v>
      </c>
      <c r="B12" s="18" t="str">
        <f>'Field Teams'!B12</f>
        <v>Hope Ground and Tree Care</v>
      </c>
      <c r="C12" s="69"/>
      <c r="D12" s="69"/>
      <c r="E12" s="69"/>
      <c r="F12" s="69"/>
      <c r="G12" s="69"/>
      <c r="H12" s="69"/>
      <c r="I12" s="69"/>
      <c r="J12" s="69"/>
      <c r="K12" s="69"/>
      <c r="L12" s="69"/>
      <c r="M12" s="69"/>
      <c r="N12" s="69"/>
      <c r="O12" s="71" t="str">
        <f t="shared" si="0"/>
        <v/>
      </c>
      <c r="P12" s="70" t="str">
        <f t="shared" si="1"/>
        <v>--</v>
      </c>
    </row>
    <row r="13" spans="1:16" ht="19.5" customHeight="1" x14ac:dyDescent="0.2">
      <c r="A13" s="20" t="str">
        <f>'Field Teams'!A13</f>
        <v>FT-009</v>
      </c>
      <c r="B13" s="68" t="str">
        <f>'Field Teams'!B13</f>
        <v>M G Tree Surgery Ltd</v>
      </c>
      <c r="C13" s="69"/>
      <c r="D13" s="69"/>
      <c r="E13" s="69"/>
      <c r="F13" s="69"/>
      <c r="G13" s="69"/>
      <c r="H13" s="69"/>
      <c r="I13" s="69"/>
      <c r="J13" s="69"/>
      <c r="K13" s="69"/>
      <c r="L13" s="69"/>
      <c r="M13" s="69"/>
      <c r="N13" s="69"/>
      <c r="O13" s="19" t="str">
        <f t="shared" si="0"/>
        <v/>
      </c>
      <c r="P13" s="20" t="str">
        <f t="shared" si="1"/>
        <v>--</v>
      </c>
    </row>
    <row r="14" spans="1:16" ht="19.5" customHeight="1" x14ac:dyDescent="0.2">
      <c r="A14" s="70" t="str">
        <f>'Field Teams'!A14</f>
        <v>FT-010</v>
      </c>
      <c r="B14" s="18" t="str">
        <f>'Field Teams'!B14</f>
        <v>MAC Tree Surgery and Fencing Ltd</v>
      </c>
      <c r="C14" s="69"/>
      <c r="D14" s="69"/>
      <c r="E14" s="69"/>
      <c r="F14" s="69"/>
      <c r="G14" s="69"/>
      <c r="H14" s="69"/>
      <c r="I14" s="69"/>
      <c r="J14" s="69"/>
      <c r="K14" s="69"/>
      <c r="L14" s="69"/>
      <c r="M14" s="69"/>
      <c r="N14" s="69"/>
      <c r="O14" s="71" t="str">
        <f t="shared" si="0"/>
        <v/>
      </c>
      <c r="P14" s="70" t="str">
        <f t="shared" si="1"/>
        <v>--</v>
      </c>
    </row>
    <row r="15" spans="1:16" ht="19.5" customHeight="1" x14ac:dyDescent="0.2">
      <c r="A15" s="20" t="str">
        <f>'Field Teams'!A15</f>
        <v>FT-011</v>
      </c>
      <c r="B15" s="68" t="str">
        <f>'Field Teams'!B15</f>
        <v>Optimum Tree Services</v>
      </c>
      <c r="C15" s="69"/>
      <c r="D15" s="69"/>
      <c r="E15" s="69"/>
      <c r="F15" s="69"/>
      <c r="G15" s="69"/>
      <c r="H15" s="69"/>
      <c r="I15" s="69"/>
      <c r="J15" s="69"/>
      <c r="K15" s="69"/>
      <c r="L15" s="69"/>
      <c r="M15" s="69"/>
      <c r="N15" s="69"/>
      <c r="O15" s="19" t="str">
        <f t="shared" si="0"/>
        <v/>
      </c>
      <c r="P15" s="20" t="str">
        <f t="shared" si="1"/>
        <v>--</v>
      </c>
    </row>
    <row r="16" spans="1:16" ht="19.5" customHeight="1" x14ac:dyDescent="0.2">
      <c r="A16" s="70" t="str">
        <f>'Field Teams'!A16</f>
        <v>FT-012</v>
      </c>
      <c r="B16" s="18" t="str">
        <f>'Field Teams'!B16</f>
        <v>S6 Tree Specialists Ltd</v>
      </c>
      <c r="C16" s="69"/>
      <c r="D16" s="69"/>
      <c r="E16" s="69"/>
      <c r="F16" s="69"/>
      <c r="G16" s="69"/>
      <c r="H16" s="69"/>
      <c r="I16" s="69"/>
      <c r="J16" s="69"/>
      <c r="K16" s="69"/>
      <c r="L16" s="69"/>
      <c r="M16" s="69"/>
      <c r="N16" s="69"/>
      <c r="O16" s="71" t="str">
        <f t="shared" si="0"/>
        <v/>
      </c>
      <c r="P16" s="70" t="str">
        <f t="shared" si="1"/>
        <v>--</v>
      </c>
    </row>
    <row r="17" spans="1:16" ht="19.5" customHeight="1" x14ac:dyDescent="0.2">
      <c r="A17" s="20" t="str">
        <f>'Field Teams'!A17</f>
        <v>FT-013</v>
      </c>
      <c r="B17" s="68" t="str">
        <f>'Field Teams'!B17</f>
        <v>Tree Tech Suffolk Ltd</v>
      </c>
      <c r="C17" s="69"/>
      <c r="D17" s="69"/>
      <c r="E17" s="69"/>
      <c r="F17" s="69"/>
      <c r="G17" s="69"/>
      <c r="H17" s="69"/>
      <c r="I17" s="69"/>
      <c r="J17" s="69"/>
      <c r="K17" s="69"/>
      <c r="L17" s="69"/>
      <c r="M17" s="69"/>
      <c r="N17" s="69"/>
      <c r="O17" s="19" t="str">
        <f t="shared" si="0"/>
        <v/>
      </c>
      <c r="P17" s="20" t="str">
        <f t="shared" si="1"/>
        <v>--</v>
      </c>
    </row>
    <row r="18" spans="1:16" ht="19.5" customHeight="1" x14ac:dyDescent="0.2">
      <c r="A18" s="70" t="str">
        <f>'Field Teams'!A18</f>
        <v>FT-014</v>
      </c>
      <c r="B18" s="18" t="str">
        <f>'Field Teams'!B18</f>
        <v>Tree Tops Arborist</v>
      </c>
      <c r="C18" s="69"/>
      <c r="D18" s="69"/>
      <c r="E18" s="69"/>
      <c r="F18" s="69"/>
      <c r="G18" s="69"/>
      <c r="H18" s="69"/>
      <c r="I18" s="69"/>
      <c r="J18" s="69"/>
      <c r="K18" s="69"/>
      <c r="L18" s="69"/>
      <c r="M18" s="69"/>
      <c r="N18" s="69"/>
      <c r="O18" s="71" t="str">
        <f t="shared" si="0"/>
        <v/>
      </c>
      <c r="P18" s="70" t="str">
        <f t="shared" si="1"/>
        <v>--</v>
      </c>
    </row>
    <row r="19" spans="1:16" ht="19.5" customHeight="1" x14ac:dyDescent="0.2">
      <c r="A19" s="20" t="str">
        <f>'Field Teams'!A19</f>
        <v>FT-015</v>
      </c>
      <c r="B19" s="68" t="str">
        <f>'Field Teams'!B19</f>
        <v>Valiant Arborist Ltd</v>
      </c>
      <c r="C19" s="69"/>
      <c r="D19" s="69"/>
      <c r="E19" s="69"/>
      <c r="F19" s="69"/>
      <c r="G19" s="69"/>
      <c r="H19" s="69"/>
      <c r="I19" s="69"/>
      <c r="J19" s="69"/>
      <c r="K19" s="69"/>
      <c r="L19" s="69"/>
      <c r="M19" s="69"/>
      <c r="N19" s="69"/>
      <c r="O19" s="19" t="str">
        <f t="shared" si="0"/>
        <v/>
      </c>
      <c r="P19" s="20" t="str">
        <f t="shared" si="1"/>
        <v>--</v>
      </c>
    </row>
    <row r="20" spans="1:16" ht="19.5" customHeight="1" x14ac:dyDescent="0.2">
      <c r="A20" s="70" t="str">
        <f>'Field Teams'!A20</f>
        <v>FT-016</v>
      </c>
      <c r="B20" s="18" t="str">
        <f>'Field Teams'!B20</f>
        <v>A J Arborists Ltd</v>
      </c>
      <c r="C20" s="69"/>
      <c r="D20" s="69"/>
      <c r="E20" s="69"/>
      <c r="F20" s="69"/>
      <c r="G20" s="69"/>
      <c r="H20" s="69"/>
      <c r="I20" s="69"/>
      <c r="J20" s="69"/>
      <c r="K20" s="69"/>
      <c r="L20" s="69"/>
      <c r="M20" s="69"/>
      <c r="N20" s="69"/>
      <c r="O20" s="71" t="str">
        <f t="shared" si="0"/>
        <v/>
      </c>
      <c r="P20" s="70" t="str">
        <f t="shared" si="1"/>
        <v>--</v>
      </c>
    </row>
    <row r="21" spans="1:16" ht="19.5" customHeight="1" x14ac:dyDescent="0.2">
      <c r="A21" s="20" t="str">
        <f>'Field Teams'!A21</f>
        <v>FT-017</v>
      </c>
      <c r="B21" s="68" t="str">
        <f>'Field Teams'!B21</f>
        <v>Andrew Munns Tree Surgery Ltd</v>
      </c>
      <c r="C21" s="69"/>
      <c r="D21" s="69"/>
      <c r="E21" s="69"/>
      <c r="F21" s="69"/>
      <c r="G21" s="69"/>
      <c r="H21" s="69"/>
      <c r="I21" s="69"/>
      <c r="J21" s="69"/>
      <c r="K21" s="69"/>
      <c r="L21" s="69"/>
      <c r="M21" s="69"/>
      <c r="N21" s="69"/>
      <c r="O21" s="19" t="str">
        <f t="shared" si="0"/>
        <v/>
      </c>
      <c r="P21" s="20" t="str">
        <f t="shared" si="1"/>
        <v>--</v>
      </c>
    </row>
    <row r="22" spans="1:16" ht="19.5" customHeight="1" x14ac:dyDescent="0.2">
      <c r="A22" s="70" t="str">
        <f>'Field Teams'!A22</f>
        <v>FT-018</v>
      </c>
      <c r="B22" s="18" t="str">
        <f>'Field Teams'!B22</f>
        <v>Bourne VP</v>
      </c>
      <c r="C22" s="69"/>
      <c r="D22" s="69"/>
      <c r="E22" s="69"/>
      <c r="F22" s="69"/>
      <c r="G22" s="69"/>
      <c r="H22" s="69"/>
      <c r="I22" s="69"/>
      <c r="J22" s="69"/>
      <c r="K22" s="69"/>
      <c r="L22" s="69"/>
      <c r="M22" s="69"/>
      <c r="N22" s="69"/>
      <c r="O22" s="71" t="str">
        <f t="shared" si="0"/>
        <v/>
      </c>
      <c r="P22" s="70" t="str">
        <f t="shared" si="1"/>
        <v>--</v>
      </c>
    </row>
    <row r="23" spans="1:16" ht="19.5" customHeight="1" x14ac:dyDescent="0.2">
      <c r="A23" s="20" t="str">
        <f>'Field Teams'!A23</f>
        <v>FT-019</v>
      </c>
      <c r="B23" s="68" t="str">
        <f>'Field Teams'!B23</f>
        <v>Brinksworth Tree Services Ltd</v>
      </c>
      <c r="C23" s="69"/>
      <c r="D23" s="69"/>
      <c r="E23" s="69"/>
      <c r="F23" s="69"/>
      <c r="G23" s="69"/>
      <c r="H23" s="69"/>
      <c r="I23" s="69"/>
      <c r="J23" s="69"/>
      <c r="K23" s="69"/>
      <c r="L23" s="69"/>
      <c r="M23" s="69"/>
      <c r="N23" s="69"/>
      <c r="O23" s="19" t="str">
        <f t="shared" si="0"/>
        <v/>
      </c>
      <c r="P23" s="20" t="str">
        <f t="shared" si="1"/>
        <v>--</v>
      </c>
    </row>
    <row r="24" spans="1:16" ht="19.5" customHeight="1" x14ac:dyDescent="0.2">
      <c r="A24" s="70" t="str">
        <f>'Field Teams'!A24</f>
        <v>FT-020</v>
      </c>
      <c r="B24" s="18" t="str">
        <f>'Field Teams'!B24</f>
        <v>C G Tree Cutting Services</v>
      </c>
      <c r="C24" s="69"/>
      <c r="D24" s="69"/>
      <c r="E24" s="69"/>
      <c r="F24" s="69"/>
      <c r="G24" s="69"/>
      <c r="H24" s="69"/>
      <c r="I24" s="69"/>
      <c r="J24" s="69"/>
      <c r="K24" s="69"/>
      <c r="L24" s="69"/>
      <c r="M24" s="69"/>
      <c r="N24" s="69"/>
      <c r="O24" s="71" t="str">
        <f t="shared" si="0"/>
        <v/>
      </c>
      <c r="P24" s="70" t="str">
        <f t="shared" si="1"/>
        <v>--</v>
      </c>
    </row>
    <row r="25" spans="1:16" ht="19.5" customHeight="1" x14ac:dyDescent="0.2">
      <c r="A25" s="20" t="str">
        <f>'Field Teams'!A25</f>
        <v>FT-021</v>
      </c>
      <c r="B25" s="68" t="str">
        <f>'Field Teams'!B25</f>
        <v>Central Tree Maintenance</v>
      </c>
      <c r="C25" s="69"/>
      <c r="D25" s="69"/>
      <c r="E25" s="69"/>
      <c r="F25" s="69"/>
      <c r="G25" s="69"/>
      <c r="H25" s="69"/>
      <c r="I25" s="69"/>
      <c r="J25" s="69"/>
      <c r="K25" s="69"/>
      <c r="L25" s="69"/>
      <c r="M25" s="69"/>
      <c r="N25" s="69"/>
      <c r="O25" s="19" t="str">
        <f t="shared" si="0"/>
        <v/>
      </c>
      <c r="P25" s="20" t="str">
        <f t="shared" si="1"/>
        <v>--</v>
      </c>
    </row>
    <row r="26" spans="1:16" ht="19.5" customHeight="1" x14ac:dyDescent="0.2">
      <c r="A26" s="70" t="str">
        <f>'Field Teams'!A26</f>
        <v>FT-022</v>
      </c>
      <c r="B26" s="18" t="str">
        <f>'Field Teams'!B26</f>
        <v>Flint Tree Surgeons</v>
      </c>
      <c r="C26" s="69"/>
      <c r="D26" s="69"/>
      <c r="E26" s="69"/>
      <c r="F26" s="69"/>
      <c r="G26" s="69"/>
      <c r="H26" s="69"/>
      <c r="I26" s="69"/>
      <c r="J26" s="69"/>
      <c r="K26" s="69"/>
      <c r="L26" s="69"/>
      <c r="M26" s="69"/>
      <c r="N26" s="69"/>
      <c r="O26" s="71" t="str">
        <f t="shared" si="0"/>
        <v/>
      </c>
      <c r="P26" s="70" t="str">
        <f t="shared" si="1"/>
        <v>--</v>
      </c>
    </row>
    <row r="27" spans="1:16" ht="19.5" customHeight="1" x14ac:dyDescent="0.2">
      <c r="A27" s="20" t="str">
        <f>'Field Teams'!A27</f>
        <v>FT-023</v>
      </c>
      <c r="B27" s="68" t="str">
        <f>'Field Teams'!B27</f>
        <v>George Harris Tree Services</v>
      </c>
      <c r="C27" s="69"/>
      <c r="D27" s="69"/>
      <c r="E27" s="69"/>
      <c r="F27" s="69"/>
      <c r="G27" s="69"/>
      <c r="H27" s="69"/>
      <c r="I27" s="69"/>
      <c r="J27" s="69"/>
      <c r="K27" s="69"/>
      <c r="L27" s="69"/>
      <c r="M27" s="69"/>
      <c r="N27" s="69"/>
      <c r="O27" s="19" t="str">
        <f t="shared" si="0"/>
        <v/>
      </c>
      <c r="P27" s="20" t="str">
        <f t="shared" si="1"/>
        <v>--</v>
      </c>
    </row>
    <row r="28" spans="1:16" ht="19.5" customHeight="1" x14ac:dyDescent="0.2">
      <c r="A28" s="70" t="str">
        <f>'Field Teams'!A28</f>
        <v>FT-024</v>
      </c>
      <c r="B28" s="18" t="str">
        <f>'Field Teams'!B28</f>
        <v>HJ Tree Services</v>
      </c>
      <c r="C28" s="69"/>
      <c r="D28" s="69"/>
      <c r="E28" s="69"/>
      <c r="F28" s="69"/>
      <c r="G28" s="69"/>
      <c r="H28" s="69"/>
      <c r="I28" s="69"/>
      <c r="J28" s="69"/>
      <c r="K28" s="69"/>
      <c r="L28" s="69"/>
      <c r="M28" s="69"/>
      <c r="N28" s="69"/>
      <c r="O28" s="71" t="str">
        <f t="shared" si="0"/>
        <v/>
      </c>
      <c r="P28" s="70" t="str">
        <f t="shared" si="1"/>
        <v>--</v>
      </c>
    </row>
    <row r="29" spans="1:16" ht="19.5" customHeight="1" x14ac:dyDescent="0.2">
      <c r="A29" s="20" t="str">
        <f>'Field Teams'!A29</f>
        <v>FT-025</v>
      </c>
      <c r="B29" s="68" t="str">
        <f>'Field Teams'!B29</f>
        <v>High Branch</v>
      </c>
      <c r="C29" s="69"/>
      <c r="D29" s="69"/>
      <c r="E29" s="69"/>
      <c r="F29" s="69"/>
      <c r="G29" s="69"/>
      <c r="H29" s="69"/>
      <c r="I29" s="69"/>
      <c r="J29" s="69"/>
      <c r="K29" s="69"/>
      <c r="L29" s="69"/>
      <c r="M29" s="69"/>
      <c r="N29" s="69"/>
      <c r="O29" s="19" t="str">
        <f t="shared" si="0"/>
        <v/>
      </c>
      <c r="P29" s="20" t="str">
        <f t="shared" si="1"/>
        <v>--</v>
      </c>
    </row>
    <row r="30" spans="1:16" ht="19.5" customHeight="1" x14ac:dyDescent="0.2">
      <c r="A30" s="70" t="str">
        <f>'Field Teams'!A30</f>
        <v>FT-026</v>
      </c>
      <c r="B30" s="18" t="str">
        <f>'Field Teams'!B30</f>
        <v>Housman Tree Services Ltd</v>
      </c>
      <c r="C30" s="69"/>
      <c r="D30" s="69"/>
      <c r="E30" s="69"/>
      <c r="F30" s="69"/>
      <c r="G30" s="69"/>
      <c r="H30" s="69"/>
      <c r="I30" s="69"/>
      <c r="J30" s="69"/>
      <c r="K30" s="69"/>
      <c r="L30" s="69"/>
      <c r="M30" s="69"/>
      <c r="N30" s="69"/>
      <c r="O30" s="71" t="str">
        <f t="shared" si="0"/>
        <v/>
      </c>
      <c r="P30" s="70" t="str">
        <f t="shared" si="1"/>
        <v>--</v>
      </c>
    </row>
    <row r="31" spans="1:16" ht="19.5" customHeight="1" x14ac:dyDescent="0.2">
      <c r="A31" s="20" t="str">
        <f>'Field Teams'!A31</f>
        <v>FT-027</v>
      </c>
      <c r="B31" s="68" t="str">
        <f>'Field Teams'!B31</f>
        <v>JPAS Contracting Ltd</v>
      </c>
      <c r="C31" s="69"/>
      <c r="D31" s="69"/>
      <c r="E31" s="69"/>
      <c r="F31" s="69"/>
      <c r="G31" s="69"/>
      <c r="H31" s="69"/>
      <c r="I31" s="69"/>
      <c r="J31" s="69"/>
      <c r="K31" s="69"/>
      <c r="L31" s="69"/>
      <c r="M31" s="69"/>
      <c r="N31" s="69"/>
      <c r="O31" s="19" t="str">
        <f t="shared" si="0"/>
        <v/>
      </c>
      <c r="P31" s="20" t="str">
        <f t="shared" si="1"/>
        <v>--</v>
      </c>
    </row>
    <row r="32" spans="1:16" ht="19.5" customHeight="1" x14ac:dyDescent="0.2">
      <c r="A32" s="70" t="str">
        <f>'Field Teams'!A32</f>
        <v>FT-028</v>
      </c>
      <c r="B32" s="18" t="str">
        <f>'Field Teams'!B32</f>
        <v>MJR Tree Works</v>
      </c>
      <c r="C32" s="69"/>
      <c r="D32" s="69"/>
      <c r="E32" s="69"/>
      <c r="F32" s="69"/>
      <c r="G32" s="69"/>
      <c r="H32" s="69"/>
      <c r="I32" s="69"/>
      <c r="J32" s="69"/>
      <c r="K32" s="69"/>
      <c r="L32" s="69"/>
      <c r="M32" s="69"/>
      <c r="N32" s="69"/>
      <c r="O32" s="71" t="str">
        <f t="shared" si="0"/>
        <v/>
      </c>
      <c r="P32" s="70" t="str">
        <f t="shared" si="1"/>
        <v>--</v>
      </c>
    </row>
    <row r="33" spans="1:16" ht="19.5" customHeight="1" x14ac:dyDescent="0.2">
      <c r="A33" s="20" t="str">
        <f>'Field Teams'!A33</f>
        <v>FT-029</v>
      </c>
      <c r="B33" s="68" t="str">
        <f>'Field Teams'!B33</f>
        <v>Mon &amp; Brec Tree Services Ltd</v>
      </c>
      <c r="C33" s="69"/>
      <c r="D33" s="69"/>
      <c r="E33" s="69"/>
      <c r="F33" s="69"/>
      <c r="G33" s="69"/>
      <c r="H33" s="69"/>
      <c r="I33" s="69"/>
      <c r="J33" s="69"/>
      <c r="K33" s="69"/>
      <c r="L33" s="69"/>
      <c r="M33" s="69"/>
      <c r="N33" s="69"/>
      <c r="O33" s="19" t="str">
        <f t="shared" si="0"/>
        <v/>
      </c>
      <c r="P33" s="20" t="str">
        <f t="shared" si="1"/>
        <v>--</v>
      </c>
    </row>
    <row r="34" spans="1:16" ht="19.5" customHeight="1" x14ac:dyDescent="0.2">
      <c r="A34" s="70" t="str">
        <f>'Field Teams'!A34</f>
        <v>FT-030</v>
      </c>
      <c r="B34" s="18" t="str">
        <f>'Field Teams'!B34</f>
        <v>Quill Hall Arboriculture Ltd</v>
      </c>
      <c r="C34" s="69"/>
      <c r="D34" s="69"/>
      <c r="E34" s="69"/>
      <c r="F34" s="69"/>
      <c r="G34" s="69"/>
      <c r="H34" s="69"/>
      <c r="I34" s="69"/>
      <c r="J34" s="69"/>
      <c r="K34" s="69"/>
      <c r="L34" s="69"/>
      <c r="M34" s="69"/>
      <c r="N34" s="69"/>
      <c r="O34" s="71" t="str">
        <f t="shared" si="0"/>
        <v/>
      </c>
      <c r="P34" s="70" t="str">
        <f t="shared" si="1"/>
        <v>--</v>
      </c>
    </row>
    <row r="35" spans="1:16" ht="19.5" customHeight="1" x14ac:dyDescent="0.2">
      <c r="A35" s="20" t="str">
        <f>'Field Teams'!A35</f>
        <v>FT-031</v>
      </c>
      <c r="B35" s="68" t="str">
        <f>'Field Teams'!B35</f>
        <v>RFP Tree and Landscape Services Ltd</v>
      </c>
      <c r="C35" s="69"/>
      <c r="D35" s="69"/>
      <c r="E35" s="69"/>
      <c r="F35" s="69"/>
      <c r="G35" s="69"/>
      <c r="H35" s="69"/>
      <c r="I35" s="69"/>
      <c r="J35" s="69"/>
      <c r="K35" s="69"/>
      <c r="L35" s="69"/>
      <c r="M35" s="69"/>
      <c r="N35" s="69"/>
      <c r="O35" s="19" t="str">
        <f t="shared" si="0"/>
        <v/>
      </c>
      <c r="P35" s="20" t="str">
        <f t="shared" si="1"/>
        <v>--</v>
      </c>
    </row>
    <row r="36" spans="1:16" ht="19.5" customHeight="1" x14ac:dyDescent="0.2">
      <c r="A36" s="70" t="str">
        <f>'Field Teams'!A36</f>
        <v>FT-032</v>
      </c>
      <c r="B36" s="18" t="str">
        <f>'Field Teams'!B36</f>
        <v>Roots 2 Shoots Tree Care Ltd</v>
      </c>
      <c r="C36" s="69"/>
      <c r="D36" s="69"/>
      <c r="E36" s="69"/>
      <c r="F36" s="69"/>
      <c r="G36" s="69"/>
      <c r="H36" s="69"/>
      <c r="I36" s="69"/>
      <c r="J36" s="69"/>
      <c r="K36" s="69"/>
      <c r="L36" s="69"/>
      <c r="M36" s="69"/>
      <c r="N36" s="69"/>
      <c r="O36" s="71" t="str">
        <f t="shared" si="0"/>
        <v/>
      </c>
      <c r="P36" s="70" t="str">
        <f t="shared" si="1"/>
        <v>--</v>
      </c>
    </row>
    <row r="37" spans="1:16" ht="19.5" customHeight="1" x14ac:dyDescent="0.2">
      <c r="A37" s="20" t="str">
        <f>'Field Teams'!A37</f>
        <v>FT-033</v>
      </c>
      <c r="B37" s="68" t="str">
        <f>'Field Teams'!B37</f>
        <v>TRACCS South West LTD</v>
      </c>
      <c r="C37" s="69"/>
      <c r="D37" s="69"/>
      <c r="E37" s="69"/>
      <c r="F37" s="69"/>
      <c r="G37" s="69"/>
      <c r="H37" s="69"/>
      <c r="I37" s="69"/>
      <c r="J37" s="69"/>
      <c r="K37" s="69"/>
      <c r="L37" s="69"/>
      <c r="M37" s="69"/>
      <c r="N37" s="69"/>
      <c r="O37" s="19" t="str">
        <f t="shared" ref="O37:O68" si="2">IFERROR(AVERAGE(C37:N37),"")</f>
        <v/>
      </c>
      <c r="P37" s="20" t="str">
        <f t="shared" ref="P37:P68" si="3">IFERROR(IF(AND(C37="",N37=""),"--",IF(N37&gt;C37," Worsening",IF(N37&lt;C37," Improving"," Stable"))),"--")</f>
        <v>--</v>
      </c>
    </row>
    <row r="38" spans="1:16" ht="19.5" customHeight="1" x14ac:dyDescent="0.2">
      <c r="A38" s="70" t="str">
        <f>'Field Teams'!A38</f>
        <v>FT-034</v>
      </c>
      <c r="B38" s="18" t="str">
        <f>'Field Teams'!B38</f>
        <v>Treerebral Ltd</v>
      </c>
      <c r="C38" s="69"/>
      <c r="D38" s="69"/>
      <c r="E38" s="69"/>
      <c r="F38" s="69"/>
      <c r="G38" s="69"/>
      <c r="H38" s="69"/>
      <c r="I38" s="69"/>
      <c r="J38" s="69"/>
      <c r="K38" s="69"/>
      <c r="L38" s="69"/>
      <c r="M38" s="69"/>
      <c r="N38" s="69"/>
      <c r="O38" s="71" t="str">
        <f t="shared" si="2"/>
        <v/>
      </c>
      <c r="P38" s="70" t="str">
        <f t="shared" si="3"/>
        <v>--</v>
      </c>
    </row>
    <row r="39" spans="1:16" ht="19.5" customHeight="1" x14ac:dyDescent="0.2">
      <c r="A39" s="20" t="str">
        <f>'Field Teams'!A39</f>
        <v>FT-035</v>
      </c>
      <c r="B39" s="68" t="str">
        <f>'Field Teams'!B39</f>
        <v>Two Counties Tree Care Ltd</v>
      </c>
      <c r="C39" s="69"/>
      <c r="D39" s="69"/>
      <c r="E39" s="69"/>
      <c r="F39" s="69"/>
      <c r="G39" s="69"/>
      <c r="H39" s="69"/>
      <c r="I39" s="69"/>
      <c r="J39" s="69"/>
      <c r="K39" s="69"/>
      <c r="L39" s="69"/>
      <c r="M39" s="69"/>
      <c r="N39" s="69"/>
      <c r="O39" s="19" t="str">
        <f t="shared" si="2"/>
        <v/>
      </c>
      <c r="P39" s="20" t="str">
        <f t="shared" si="3"/>
        <v>--</v>
      </c>
    </row>
    <row r="40" spans="1:16" ht="19.5" customHeight="1" x14ac:dyDescent="0.2">
      <c r="A40" s="70" t="str">
        <f>'Field Teams'!A40</f>
        <v>FT-036</v>
      </c>
      <c r="B40" s="18" t="str">
        <f>'Field Teams'!B40</f>
        <v>Vale Tree Surgeons</v>
      </c>
      <c r="C40" s="69"/>
      <c r="D40" s="69"/>
      <c r="E40" s="69"/>
      <c r="F40" s="69"/>
      <c r="G40" s="69"/>
      <c r="H40" s="69"/>
      <c r="I40" s="69"/>
      <c r="J40" s="69"/>
      <c r="K40" s="69"/>
      <c r="L40" s="69"/>
      <c r="M40" s="69"/>
      <c r="N40" s="69"/>
      <c r="O40" s="71" t="str">
        <f t="shared" si="2"/>
        <v/>
      </c>
      <c r="P40" s="70" t="str">
        <f t="shared" si="3"/>
        <v>--</v>
      </c>
    </row>
    <row r="41" spans="1:16" ht="19.5" customHeight="1" x14ac:dyDescent="0.2">
      <c r="A41" s="20" t="str">
        <f>'Field Teams'!A41</f>
        <v>FT-037</v>
      </c>
      <c r="B41" s="68" t="str">
        <f>'Field Teams'!B41</f>
        <v>LT Countryside Services Ltd</v>
      </c>
      <c r="C41" s="69"/>
      <c r="D41" s="69"/>
      <c r="E41" s="69"/>
      <c r="F41" s="69"/>
      <c r="G41" s="69"/>
      <c r="H41" s="69"/>
      <c r="I41" s="69"/>
      <c r="J41" s="69"/>
      <c r="K41" s="69"/>
      <c r="L41" s="69"/>
      <c r="M41" s="69"/>
      <c r="N41" s="69"/>
      <c r="O41" s="19" t="str">
        <f t="shared" si="2"/>
        <v/>
      </c>
      <c r="P41" s="20" t="str">
        <f t="shared" si="3"/>
        <v>--</v>
      </c>
    </row>
    <row r="42" spans="1:16" ht="19.5" customHeight="1" x14ac:dyDescent="0.2">
      <c r="A42" s="70" t="str">
        <f>'Field Teams'!A42</f>
        <v>FT-038</v>
      </c>
      <c r="B42" s="18" t="str">
        <f>'Field Teams'!B42</f>
        <v>ACME Arb Ltd (Pend Arb Utility)</v>
      </c>
      <c r="C42" s="69"/>
      <c r="D42" s="69"/>
      <c r="E42" s="69"/>
      <c r="F42" s="69"/>
      <c r="G42" s="69"/>
      <c r="H42" s="69"/>
      <c r="I42" s="69"/>
      <c r="J42" s="69"/>
      <c r="K42" s="69"/>
      <c r="L42" s="69"/>
      <c r="M42" s="69"/>
      <c r="N42" s="69"/>
      <c r="O42" s="71" t="str">
        <f t="shared" si="2"/>
        <v/>
      </c>
      <c r="P42" s="70" t="str">
        <f t="shared" si="3"/>
        <v>--</v>
      </c>
    </row>
    <row r="43" spans="1:16" ht="19.5" customHeight="1" x14ac:dyDescent="0.2">
      <c r="A43" s="20" t="str">
        <f>'Field Teams'!A43</f>
        <v>FT-039</v>
      </c>
      <c r="B43" s="68" t="str">
        <f>'Field Teams'!B43</f>
        <v>Astbury Tree Care</v>
      </c>
      <c r="C43" s="69"/>
      <c r="D43" s="69"/>
      <c r="E43" s="69"/>
      <c r="F43" s="69"/>
      <c r="G43" s="69"/>
      <c r="H43" s="69"/>
      <c r="I43" s="69"/>
      <c r="J43" s="69"/>
      <c r="K43" s="69"/>
      <c r="L43" s="69"/>
      <c r="M43" s="69"/>
      <c r="N43" s="69"/>
      <c r="O43" s="19" t="str">
        <f t="shared" si="2"/>
        <v/>
      </c>
      <c r="P43" s="20" t="str">
        <f t="shared" si="3"/>
        <v>--</v>
      </c>
    </row>
    <row r="44" spans="1:16" ht="19.5" customHeight="1" x14ac:dyDescent="0.2">
      <c r="A44" s="70" t="str">
        <f>'Field Teams'!A44</f>
        <v>FT-040</v>
      </c>
      <c r="B44" s="18" t="str">
        <f>'Field Teams'!B44</f>
        <v>Bathams Tree Care Ltd</v>
      </c>
      <c r="C44" s="69"/>
      <c r="D44" s="69"/>
      <c r="E44" s="69"/>
      <c r="F44" s="69"/>
      <c r="G44" s="69"/>
      <c r="H44" s="69"/>
      <c r="I44" s="69"/>
      <c r="J44" s="69"/>
      <c r="K44" s="69"/>
      <c r="L44" s="69"/>
      <c r="M44" s="69"/>
      <c r="N44" s="69"/>
      <c r="O44" s="71" t="str">
        <f t="shared" si="2"/>
        <v/>
      </c>
      <c r="P44" s="70" t="str">
        <f t="shared" si="3"/>
        <v>--</v>
      </c>
    </row>
    <row r="45" spans="1:16" ht="19.5" customHeight="1" x14ac:dyDescent="0.2">
      <c r="A45" s="20" t="str">
        <f>'Field Teams'!A45</f>
        <v>FT-041</v>
      </c>
      <c r="B45" s="68" t="str">
        <f>'Field Teams'!B45</f>
        <v>Belvoir Tree Care</v>
      </c>
      <c r="C45" s="69"/>
      <c r="D45" s="69"/>
      <c r="E45" s="69"/>
      <c r="F45" s="69"/>
      <c r="G45" s="69"/>
      <c r="H45" s="69"/>
      <c r="I45" s="69"/>
      <c r="J45" s="69"/>
      <c r="K45" s="69"/>
      <c r="L45" s="69"/>
      <c r="M45" s="69"/>
      <c r="N45" s="69"/>
      <c r="O45" s="19" t="str">
        <f t="shared" si="2"/>
        <v/>
      </c>
      <c r="P45" s="20" t="str">
        <f t="shared" si="3"/>
        <v>--</v>
      </c>
    </row>
    <row r="46" spans="1:16" ht="19.5" customHeight="1" x14ac:dyDescent="0.2">
      <c r="A46" s="70" t="str">
        <f>'Field Teams'!A46</f>
        <v>FT-042</v>
      </c>
      <c r="B46" s="18" t="str">
        <f>'Field Teams'!B46</f>
        <v>Cedar Park Tree Care Ltd</v>
      </c>
      <c r="C46" s="69"/>
      <c r="D46" s="69"/>
      <c r="E46" s="69"/>
      <c r="F46" s="69"/>
      <c r="G46" s="69"/>
      <c r="H46" s="69"/>
      <c r="I46" s="69"/>
      <c r="J46" s="69"/>
      <c r="K46" s="69"/>
      <c r="L46" s="69"/>
      <c r="M46" s="69"/>
      <c r="N46" s="69"/>
      <c r="O46" s="71" t="str">
        <f t="shared" si="2"/>
        <v/>
      </c>
      <c r="P46" s="70" t="str">
        <f t="shared" si="3"/>
        <v>--</v>
      </c>
    </row>
    <row r="47" spans="1:16" ht="19.5" customHeight="1" x14ac:dyDescent="0.2">
      <c r="A47" s="20" t="str">
        <f>'Field Teams'!A47</f>
        <v>FT-043</v>
      </c>
      <c r="B47" s="68" t="str">
        <f>'Field Teams'!B47</f>
        <v>Cliff Tree Services Ian</v>
      </c>
      <c r="C47" s="69"/>
      <c r="D47" s="69"/>
      <c r="E47" s="69"/>
      <c r="F47" s="69"/>
      <c r="G47" s="69"/>
      <c r="H47" s="69"/>
      <c r="I47" s="69"/>
      <c r="J47" s="69"/>
      <c r="K47" s="69"/>
      <c r="L47" s="69"/>
      <c r="M47" s="69"/>
      <c r="N47" s="69"/>
      <c r="O47" s="19" t="str">
        <f t="shared" si="2"/>
        <v/>
      </c>
      <c r="P47" s="20" t="str">
        <f t="shared" si="3"/>
        <v>--</v>
      </c>
    </row>
    <row r="48" spans="1:16" ht="19.5" customHeight="1" x14ac:dyDescent="0.2">
      <c r="A48" s="70" t="str">
        <f>'Field Teams'!A48</f>
        <v>FT-044</v>
      </c>
      <c r="B48" s="18" t="str">
        <f>'Field Teams'!B48</f>
        <v>Coxley Tree Care Ltd</v>
      </c>
      <c r="C48" s="69"/>
      <c r="D48" s="69"/>
      <c r="E48" s="69"/>
      <c r="F48" s="69"/>
      <c r="G48" s="69"/>
      <c r="H48" s="69"/>
      <c r="I48" s="69"/>
      <c r="J48" s="69"/>
      <c r="K48" s="69"/>
      <c r="L48" s="69"/>
      <c r="M48" s="69"/>
      <c r="N48" s="69"/>
      <c r="O48" s="71" t="str">
        <f t="shared" si="2"/>
        <v/>
      </c>
      <c r="P48" s="70" t="str">
        <f t="shared" si="3"/>
        <v>--</v>
      </c>
    </row>
    <row r="49" spans="1:16" ht="19.5" customHeight="1" x14ac:dyDescent="0.2">
      <c r="A49" s="20" t="str">
        <f>'Field Teams'!A49</f>
        <v>FT-045</v>
      </c>
      <c r="B49" s="68" t="str">
        <f>'Field Teams'!B49</f>
        <v>Crimson Kings (Midlands) Ltd</v>
      </c>
      <c r="C49" s="69"/>
      <c r="D49" s="69"/>
      <c r="E49" s="69"/>
      <c r="F49" s="69"/>
      <c r="G49" s="69"/>
      <c r="H49" s="69"/>
      <c r="I49" s="69"/>
      <c r="J49" s="69"/>
      <c r="K49" s="69"/>
      <c r="L49" s="69"/>
      <c r="M49" s="69"/>
      <c r="N49" s="69"/>
      <c r="O49" s="19" t="str">
        <f t="shared" si="2"/>
        <v/>
      </c>
      <c r="P49" s="20" t="str">
        <f t="shared" si="3"/>
        <v>--</v>
      </c>
    </row>
    <row r="50" spans="1:16" ht="19.5" customHeight="1" x14ac:dyDescent="0.2">
      <c r="A50" s="70" t="str">
        <f>'Field Teams'!A50</f>
        <v>FT-046</v>
      </c>
      <c r="B50" s="18" t="str">
        <f>'Field Teams'!B50</f>
        <v>Down To Earth Tree Management</v>
      </c>
      <c r="C50" s="69"/>
      <c r="D50" s="69"/>
      <c r="E50" s="69"/>
      <c r="F50" s="69"/>
      <c r="G50" s="69"/>
      <c r="H50" s="69"/>
      <c r="I50" s="69"/>
      <c r="J50" s="69"/>
      <c r="K50" s="69"/>
      <c r="L50" s="69"/>
      <c r="M50" s="69"/>
      <c r="N50" s="69"/>
      <c r="O50" s="71" t="str">
        <f t="shared" si="2"/>
        <v/>
      </c>
      <c r="P50" s="70" t="str">
        <f t="shared" si="3"/>
        <v>--</v>
      </c>
    </row>
    <row r="51" spans="1:16" ht="19.5" customHeight="1" x14ac:dyDescent="0.2">
      <c r="A51" s="20" t="str">
        <f>'Field Teams'!A51</f>
        <v>FT-047</v>
      </c>
      <c r="B51" s="68" t="str">
        <f>'Field Teams'!B51</f>
        <v>EWS Tree Services Ltd</v>
      </c>
      <c r="C51" s="69"/>
      <c r="D51" s="69"/>
      <c r="E51" s="69"/>
      <c r="F51" s="69"/>
      <c r="G51" s="69"/>
      <c r="H51" s="69"/>
      <c r="I51" s="69"/>
      <c r="J51" s="69"/>
      <c r="K51" s="69"/>
      <c r="L51" s="69"/>
      <c r="M51" s="69"/>
      <c r="N51" s="69"/>
      <c r="O51" s="19" t="str">
        <f t="shared" si="2"/>
        <v/>
      </c>
      <c r="P51" s="20" t="str">
        <f t="shared" si="3"/>
        <v>--</v>
      </c>
    </row>
    <row r="52" spans="1:16" ht="19.5" customHeight="1" x14ac:dyDescent="0.2">
      <c r="A52" s="70" t="str">
        <f>'Field Teams'!A52</f>
        <v>FT-048</v>
      </c>
      <c r="B52" s="18" t="str">
        <f>'Field Teams'!B52</f>
        <v>East Midlands Arb Ltd</v>
      </c>
      <c r="C52" s="69"/>
      <c r="D52" s="69"/>
      <c r="E52" s="69"/>
      <c r="F52" s="69"/>
      <c r="G52" s="69"/>
      <c r="H52" s="69"/>
      <c r="I52" s="69"/>
      <c r="J52" s="69"/>
      <c r="K52" s="69"/>
      <c r="L52" s="69"/>
      <c r="M52" s="69"/>
      <c r="N52" s="69"/>
      <c r="O52" s="71" t="str">
        <f t="shared" si="2"/>
        <v/>
      </c>
      <c r="P52" s="70" t="str">
        <f t="shared" si="3"/>
        <v>--</v>
      </c>
    </row>
    <row r="53" spans="1:16" ht="19.5" customHeight="1" x14ac:dyDescent="0.2">
      <c r="A53" s="20" t="str">
        <f>'Field Teams'!A53</f>
        <v>FT-049</v>
      </c>
      <c r="B53" s="68" t="str">
        <f>'Field Teams'!B53</f>
        <v>GB Construction (Herts) Ltd</v>
      </c>
      <c r="C53" s="69"/>
      <c r="D53" s="69"/>
      <c r="E53" s="69"/>
      <c r="F53" s="69"/>
      <c r="G53" s="69"/>
      <c r="H53" s="69"/>
      <c r="I53" s="69"/>
      <c r="J53" s="69"/>
      <c r="K53" s="69"/>
      <c r="L53" s="69"/>
      <c r="M53" s="69"/>
      <c r="N53" s="69"/>
      <c r="O53" s="19" t="str">
        <f t="shared" si="2"/>
        <v/>
      </c>
      <c r="P53" s="20" t="str">
        <f t="shared" si="3"/>
        <v>--</v>
      </c>
    </row>
    <row r="54" spans="1:16" ht="19.5" customHeight="1" x14ac:dyDescent="0.2">
      <c r="A54" s="70" t="str">
        <f>'Field Teams'!A54</f>
        <v>FT-050</v>
      </c>
      <c r="B54" s="18" t="str">
        <f>'Field Teams'!B54</f>
        <v>Greenland Services Ltd</v>
      </c>
      <c r="C54" s="69"/>
      <c r="D54" s="69"/>
      <c r="E54" s="69"/>
      <c r="F54" s="69"/>
      <c r="G54" s="69"/>
      <c r="H54" s="69"/>
      <c r="I54" s="69"/>
      <c r="J54" s="69"/>
      <c r="K54" s="69"/>
      <c r="L54" s="69"/>
      <c r="M54" s="69"/>
      <c r="N54" s="69"/>
      <c r="O54" s="71" t="str">
        <f t="shared" si="2"/>
        <v/>
      </c>
      <c r="P54" s="70" t="str">
        <f t="shared" si="3"/>
        <v>--</v>
      </c>
    </row>
    <row r="55" spans="1:16" ht="19.5" customHeight="1" x14ac:dyDescent="0.2">
      <c r="A55" s="20" t="str">
        <f>'Field Teams'!A55</f>
        <v>FT-051</v>
      </c>
      <c r="B55" s="68" t="str">
        <f>'Field Teams'!B55</f>
        <v>J Ashby Tree Services</v>
      </c>
      <c r="C55" s="69"/>
      <c r="D55" s="69"/>
      <c r="E55" s="69"/>
      <c r="F55" s="69"/>
      <c r="G55" s="69"/>
      <c r="H55" s="69"/>
      <c r="I55" s="69"/>
      <c r="J55" s="69"/>
      <c r="K55" s="69"/>
      <c r="L55" s="69"/>
      <c r="M55" s="69"/>
      <c r="N55" s="69"/>
      <c r="O55" s="19" t="str">
        <f t="shared" si="2"/>
        <v/>
      </c>
      <c r="P55" s="20" t="str">
        <f t="shared" si="3"/>
        <v>--</v>
      </c>
    </row>
    <row r="56" spans="1:16" ht="19.5" customHeight="1" x14ac:dyDescent="0.2">
      <c r="A56" s="70" t="str">
        <f>'Field Teams'!A56</f>
        <v>FT-052</v>
      </c>
      <c r="B56" s="18" t="str">
        <f>'Field Teams'!B56</f>
        <v>Lincolnshire Hardwoods Jim</v>
      </c>
      <c r="C56" s="69"/>
      <c r="D56" s="69"/>
      <c r="E56" s="69"/>
      <c r="F56" s="69"/>
      <c r="G56" s="69"/>
      <c r="H56" s="69"/>
      <c r="I56" s="69"/>
      <c r="J56" s="69"/>
      <c r="K56" s="69"/>
      <c r="L56" s="69"/>
      <c r="M56" s="69"/>
      <c r="N56" s="69"/>
      <c r="O56" s="71" t="str">
        <f t="shared" si="2"/>
        <v/>
      </c>
      <c r="P56" s="70" t="str">
        <f t="shared" si="3"/>
        <v>--</v>
      </c>
    </row>
    <row r="57" spans="1:16" ht="19.5" customHeight="1" x14ac:dyDescent="0.2">
      <c r="A57" s="20" t="str">
        <f>'Field Teams'!A57</f>
        <v>FT-053</v>
      </c>
      <c r="B57" s="68" t="str">
        <f>'Field Teams'!B57</f>
        <v>Mmtreescape Tree Services Ltd</v>
      </c>
      <c r="C57" s="69"/>
      <c r="D57" s="69"/>
      <c r="E57" s="69"/>
      <c r="F57" s="69"/>
      <c r="G57" s="69"/>
      <c r="H57" s="69"/>
      <c r="I57" s="69"/>
      <c r="J57" s="69"/>
      <c r="K57" s="69"/>
      <c r="L57" s="69"/>
      <c r="M57" s="69"/>
      <c r="N57" s="69"/>
      <c r="O57" s="19" t="str">
        <f t="shared" si="2"/>
        <v/>
      </c>
      <c r="P57" s="20" t="str">
        <f t="shared" si="3"/>
        <v>--</v>
      </c>
    </row>
    <row r="58" spans="1:16" ht="19.5" customHeight="1" x14ac:dyDescent="0.2">
      <c r="A58" s="70" t="str">
        <f>'Field Teams'!A58</f>
        <v>FT-054</v>
      </c>
      <c r="B58" s="18" t="str">
        <f>'Field Teams'!B58</f>
        <v>New Leaf Arb Ltd</v>
      </c>
      <c r="C58" s="69"/>
      <c r="D58" s="69"/>
      <c r="E58" s="69"/>
      <c r="F58" s="69"/>
      <c r="G58" s="69"/>
      <c r="H58" s="69"/>
      <c r="I58" s="69"/>
      <c r="J58" s="69"/>
      <c r="K58" s="69"/>
      <c r="L58" s="69"/>
      <c r="M58" s="69"/>
      <c r="N58" s="69"/>
      <c r="O58" s="71" t="str">
        <f t="shared" si="2"/>
        <v/>
      </c>
      <c r="P58" s="70" t="str">
        <f t="shared" si="3"/>
        <v>--</v>
      </c>
    </row>
    <row r="59" spans="1:16" ht="19.5" customHeight="1" x14ac:dyDescent="0.2">
      <c r="A59" s="20" t="str">
        <f>'Field Teams'!A59</f>
        <v>FT-055</v>
      </c>
      <c r="B59" s="68" t="str">
        <f>'Field Teams'!B59</f>
        <v>OJ Morgan Services Ltd</v>
      </c>
      <c r="C59" s="69"/>
      <c r="D59" s="69"/>
      <c r="E59" s="69"/>
      <c r="F59" s="69"/>
      <c r="G59" s="69"/>
      <c r="H59" s="69"/>
      <c r="I59" s="69"/>
      <c r="J59" s="69"/>
      <c r="K59" s="69"/>
      <c r="L59" s="69"/>
      <c r="M59" s="69"/>
      <c r="N59" s="69"/>
      <c r="O59" s="19" t="str">
        <f t="shared" si="2"/>
        <v/>
      </c>
      <c r="P59" s="20" t="str">
        <f t="shared" si="3"/>
        <v>--</v>
      </c>
    </row>
    <row r="60" spans="1:16" ht="19.5" customHeight="1" x14ac:dyDescent="0.2">
      <c r="A60" s="70" t="str">
        <f>'Field Teams'!A60</f>
        <v>FT-056</v>
      </c>
      <c r="B60" s="18" t="str">
        <f>'Field Teams'!B60</f>
        <v>Olney Landscapes</v>
      </c>
      <c r="C60" s="69"/>
      <c r="D60" s="69"/>
      <c r="E60" s="69"/>
      <c r="F60" s="69"/>
      <c r="G60" s="69"/>
      <c r="H60" s="69"/>
      <c r="I60" s="69"/>
      <c r="J60" s="69"/>
      <c r="K60" s="69"/>
      <c r="L60" s="69"/>
      <c r="M60" s="69"/>
      <c r="N60" s="69"/>
      <c r="O60" s="71" t="str">
        <f t="shared" si="2"/>
        <v/>
      </c>
      <c r="P60" s="70" t="str">
        <f t="shared" si="3"/>
        <v>--</v>
      </c>
    </row>
    <row r="61" spans="1:16" ht="19.5" customHeight="1" x14ac:dyDescent="0.2">
      <c r="A61" s="20" t="str">
        <f>'Field Teams'!A61</f>
        <v>FT-057</v>
      </c>
      <c r="B61" s="68" t="str">
        <f>'Field Teams'!B61</f>
        <v>PB Tree Contractors</v>
      </c>
      <c r="C61" s="69"/>
      <c r="D61" s="69"/>
      <c r="E61" s="69"/>
      <c r="F61" s="69"/>
      <c r="G61" s="69"/>
      <c r="H61" s="69"/>
      <c r="I61" s="69"/>
      <c r="J61" s="69"/>
      <c r="K61" s="69"/>
      <c r="L61" s="69"/>
      <c r="M61" s="69"/>
      <c r="N61" s="69"/>
      <c r="O61" s="19" t="str">
        <f t="shared" si="2"/>
        <v/>
      </c>
      <c r="P61" s="20" t="str">
        <f t="shared" si="3"/>
        <v>--</v>
      </c>
    </row>
    <row r="62" spans="1:16" ht="19.5" customHeight="1" x14ac:dyDescent="0.2">
      <c r="A62" s="70" t="str">
        <f>'Field Teams'!A62</f>
        <v>FT-058</v>
      </c>
      <c r="B62" s="18" t="str">
        <f>'Field Teams'!B62</f>
        <v>Watmough's Forestry Adam</v>
      </c>
      <c r="C62" s="69"/>
      <c r="D62" s="69"/>
      <c r="E62" s="69"/>
      <c r="F62" s="69"/>
      <c r="G62" s="69"/>
      <c r="H62" s="69"/>
      <c r="I62" s="69"/>
      <c r="J62" s="69"/>
      <c r="K62" s="69"/>
      <c r="L62" s="69"/>
      <c r="M62" s="69"/>
      <c r="N62" s="69"/>
      <c r="O62" s="71" t="str">
        <f t="shared" si="2"/>
        <v/>
      </c>
      <c r="P62" s="70" t="str">
        <f t="shared" si="3"/>
        <v>--</v>
      </c>
    </row>
    <row r="63" spans="1:16" ht="19.5" customHeight="1" x14ac:dyDescent="0.2">
      <c r="A63" s="20" t="str">
        <f>'Field Teams'!A63</f>
        <v>FT-059</v>
      </c>
      <c r="B63" s="68" t="str">
        <f>'Field Teams'!B63</f>
        <v>Jack Cotterill Tree Services Ltd</v>
      </c>
      <c r="C63" s="69"/>
      <c r="D63" s="69"/>
      <c r="E63" s="69"/>
      <c r="F63" s="69"/>
      <c r="G63" s="69"/>
      <c r="H63" s="69"/>
      <c r="I63" s="69"/>
      <c r="J63" s="69"/>
      <c r="K63" s="69"/>
      <c r="L63" s="69"/>
      <c r="M63" s="69"/>
      <c r="N63" s="69"/>
      <c r="O63" s="19" t="str">
        <f t="shared" si="2"/>
        <v/>
      </c>
      <c r="P63" s="20" t="str">
        <f t="shared" si="3"/>
        <v>--</v>
      </c>
    </row>
    <row r="64" spans="1:16" ht="19.5" customHeight="1" x14ac:dyDescent="0.2">
      <c r="A64" s="70" t="str">
        <f>'Field Teams'!A64</f>
        <v>FT-060</v>
      </c>
      <c r="B64" s="18" t="str">
        <f>'Field Teams'!B64</f>
        <v>Integrated Arb Solutions</v>
      </c>
      <c r="C64" s="69"/>
      <c r="D64" s="69"/>
      <c r="E64" s="69"/>
      <c r="F64" s="69"/>
      <c r="G64" s="69"/>
      <c r="H64" s="69"/>
      <c r="I64" s="69"/>
      <c r="J64" s="69"/>
      <c r="K64" s="69"/>
      <c r="L64" s="69"/>
      <c r="M64" s="69"/>
      <c r="N64" s="69"/>
      <c r="O64" s="71" t="str">
        <f t="shared" si="2"/>
        <v/>
      </c>
      <c r="P64" s="70" t="str">
        <f t="shared" si="3"/>
        <v>--</v>
      </c>
    </row>
    <row r="65" spans="1:16" ht="19.5" customHeight="1" x14ac:dyDescent="0.2">
      <c r="A65" s="20" t="str">
        <f>'Field Teams'!A65</f>
        <v>FT-061</v>
      </c>
      <c r="B65" s="68" t="str">
        <f>'Field Teams'!B65</f>
        <v>L&amp;L Group LTD</v>
      </c>
      <c r="C65" s="69"/>
      <c r="D65" s="69"/>
      <c r="E65" s="69"/>
      <c r="F65" s="69"/>
      <c r="G65" s="69"/>
      <c r="H65" s="69"/>
      <c r="I65" s="69"/>
      <c r="J65" s="69"/>
      <c r="K65" s="69"/>
      <c r="L65" s="69"/>
      <c r="M65" s="69"/>
      <c r="N65" s="69"/>
      <c r="O65" s="19" t="str">
        <f t="shared" si="2"/>
        <v/>
      </c>
      <c r="P65" s="20" t="str">
        <f t="shared" si="3"/>
        <v>--</v>
      </c>
    </row>
    <row r="66" spans="1:16" ht="19.5" customHeight="1" x14ac:dyDescent="0.2">
      <c r="A66" s="70" t="str">
        <f>'Field Teams'!A66</f>
        <v>FT-062</v>
      </c>
      <c r="B66" s="18" t="str">
        <f>'Field Teams'!B66</f>
        <v>Blue Sky Arboriculture Ltd</v>
      </c>
      <c r="C66" s="69"/>
      <c r="D66" s="69"/>
      <c r="E66" s="69"/>
      <c r="F66" s="69"/>
      <c r="G66" s="69"/>
      <c r="H66" s="69"/>
      <c r="I66" s="69"/>
      <c r="J66" s="69"/>
      <c r="K66" s="69"/>
      <c r="L66" s="69"/>
      <c r="M66" s="69"/>
      <c r="N66" s="69"/>
      <c r="O66" s="71" t="str">
        <f t="shared" si="2"/>
        <v/>
      </c>
      <c r="P66" s="70" t="str">
        <f t="shared" si="3"/>
        <v>--</v>
      </c>
    </row>
    <row r="67" spans="1:16" ht="19.5" customHeight="1" x14ac:dyDescent="0.2">
      <c r="A67" s="20" t="str">
        <f>'Field Teams'!A67</f>
        <v>FT-063</v>
      </c>
      <c r="B67" s="68" t="str">
        <f>'Field Teams'!B67</f>
        <v>Rother Valley Tree Services Ltd</v>
      </c>
      <c r="C67" s="69"/>
      <c r="D67" s="69"/>
      <c r="E67" s="69"/>
      <c r="F67" s="69"/>
      <c r="G67" s="69"/>
      <c r="H67" s="69"/>
      <c r="I67" s="69"/>
      <c r="J67" s="69"/>
      <c r="K67" s="69"/>
      <c r="L67" s="69"/>
      <c r="M67" s="69"/>
      <c r="N67" s="69"/>
      <c r="O67" s="19" t="str">
        <f t="shared" si="2"/>
        <v/>
      </c>
      <c r="P67" s="20" t="str">
        <f t="shared" si="3"/>
        <v>--</v>
      </c>
    </row>
    <row r="68" spans="1:16" ht="19.5" customHeight="1" x14ac:dyDescent="0.2">
      <c r="A68" s="70" t="str">
        <f>'Field Teams'!A68</f>
        <v>FT-064</v>
      </c>
      <c r="B68" s="18" t="str">
        <f>'Field Teams'!B68</f>
        <v>AAT Tree Services</v>
      </c>
      <c r="C68" s="69"/>
      <c r="D68" s="69"/>
      <c r="E68" s="69"/>
      <c r="F68" s="69"/>
      <c r="G68" s="69"/>
      <c r="H68" s="69"/>
      <c r="I68" s="69"/>
      <c r="J68" s="69"/>
      <c r="K68" s="69"/>
      <c r="L68" s="69"/>
      <c r="M68" s="69"/>
      <c r="N68" s="69"/>
      <c r="O68" s="71" t="str">
        <f t="shared" si="2"/>
        <v/>
      </c>
      <c r="P68" s="70" t="str">
        <f t="shared" si="3"/>
        <v>--</v>
      </c>
    </row>
    <row r="69" spans="1:16" ht="19.5" customHeight="1" x14ac:dyDescent="0.2">
      <c r="A69" s="20" t="str">
        <f>'Field Teams'!A69</f>
        <v>FT-065</v>
      </c>
      <c r="B69" s="68" t="str">
        <f>'Field Teams'!B69</f>
        <v>Electrification Construction Services Ltd</v>
      </c>
      <c r="C69" s="69"/>
      <c r="D69" s="69"/>
      <c r="E69" s="69"/>
      <c r="F69" s="69"/>
      <c r="G69" s="69"/>
      <c r="H69" s="69"/>
      <c r="I69" s="69"/>
      <c r="J69" s="69"/>
      <c r="K69" s="69"/>
      <c r="L69" s="69"/>
      <c r="M69" s="69"/>
      <c r="N69" s="69"/>
      <c r="O69" s="19" t="str">
        <f t="shared" ref="O69:O100" si="4">IFERROR(AVERAGE(C69:N69),"")</f>
        <v/>
      </c>
      <c r="P69" s="20" t="str">
        <f t="shared" ref="P69:P77" si="5">IFERROR(IF(AND(C69="",N69=""),"--",IF(N69&gt;C69," Worsening",IF(N69&lt;C69," Improving"," Stable"))),"--")</f>
        <v>--</v>
      </c>
    </row>
    <row r="70" spans="1:16" ht="19.5" customHeight="1" x14ac:dyDescent="0.2">
      <c r="A70" s="70" t="str">
        <f>'Field Teams'!A70</f>
        <v>FT-066</v>
      </c>
      <c r="B70" s="18" t="str">
        <f>'Field Teams'!B70</f>
        <v>Heartwood Tree Surgeons Ltd</v>
      </c>
      <c r="C70" s="69"/>
      <c r="D70" s="69"/>
      <c r="E70" s="69"/>
      <c r="F70" s="69"/>
      <c r="G70" s="69"/>
      <c r="H70" s="69"/>
      <c r="I70" s="69"/>
      <c r="J70" s="69"/>
      <c r="K70" s="69"/>
      <c r="L70" s="69"/>
      <c r="M70" s="69"/>
      <c r="N70" s="69"/>
      <c r="O70" s="71" t="str">
        <f t="shared" si="4"/>
        <v/>
      </c>
      <c r="P70" s="70" t="str">
        <f t="shared" si="5"/>
        <v>--</v>
      </c>
    </row>
    <row r="71" spans="1:16" ht="19.5" customHeight="1" x14ac:dyDescent="0.2">
      <c r="A71" s="20" t="str">
        <f>'Field Teams'!A71</f>
        <v>FT-067</v>
      </c>
      <c r="B71" s="68" t="str">
        <f>'Field Teams'!B71</f>
        <v>Keighley Tree Services</v>
      </c>
      <c r="C71" s="69"/>
      <c r="D71" s="69"/>
      <c r="E71" s="69"/>
      <c r="F71" s="69"/>
      <c r="G71" s="69"/>
      <c r="H71" s="69"/>
      <c r="I71" s="69"/>
      <c r="J71" s="69"/>
      <c r="K71" s="69"/>
      <c r="L71" s="69"/>
      <c r="M71" s="69"/>
      <c r="N71" s="69"/>
      <c r="O71" s="19" t="str">
        <f t="shared" si="4"/>
        <v/>
      </c>
      <c r="P71" s="20" t="str">
        <f t="shared" si="5"/>
        <v>--</v>
      </c>
    </row>
    <row r="72" spans="1:16" ht="19.5" customHeight="1" x14ac:dyDescent="0.2">
      <c r="A72" s="70" t="str">
        <f>'Field Teams'!A72</f>
        <v>FT-068</v>
      </c>
      <c r="B72" s="18" t="str">
        <f>'Field Teams'!B72</f>
        <v>MJP Tree Services Ltd</v>
      </c>
      <c r="C72" s="69"/>
      <c r="D72" s="69"/>
      <c r="E72" s="69"/>
      <c r="F72" s="69"/>
      <c r="G72" s="69"/>
      <c r="H72" s="69"/>
      <c r="I72" s="69"/>
      <c r="J72" s="69"/>
      <c r="K72" s="69"/>
      <c r="L72" s="69"/>
      <c r="M72" s="69"/>
      <c r="N72" s="69"/>
      <c r="O72" s="71" t="str">
        <f t="shared" si="4"/>
        <v/>
      </c>
      <c r="P72" s="70" t="str">
        <f t="shared" si="5"/>
        <v>--</v>
      </c>
    </row>
    <row r="73" spans="1:16" ht="19.5" customHeight="1" x14ac:dyDescent="0.2">
      <c r="A73" s="20" t="str">
        <f>'Field Teams'!A73</f>
        <v>FT-069</v>
      </c>
      <c r="B73" s="68" t="str">
        <f>'Field Teams'!B73</f>
        <v>MX2 Trees Ltd</v>
      </c>
      <c r="C73" s="69"/>
      <c r="D73" s="69"/>
      <c r="E73" s="69"/>
      <c r="F73" s="69"/>
      <c r="G73" s="69"/>
      <c r="H73" s="69"/>
      <c r="I73" s="69"/>
      <c r="J73" s="69"/>
      <c r="K73" s="69"/>
      <c r="L73" s="69"/>
      <c r="M73" s="69"/>
      <c r="N73" s="69"/>
      <c r="O73" s="19" t="str">
        <f t="shared" si="4"/>
        <v/>
      </c>
      <c r="P73" s="20" t="str">
        <f t="shared" si="5"/>
        <v>--</v>
      </c>
    </row>
    <row r="74" spans="1:16" ht="19.5" customHeight="1" x14ac:dyDescent="0.2">
      <c r="A74" s="70" t="str">
        <f>'Field Teams'!A74</f>
        <v>FT-070</v>
      </c>
      <c r="B74" s="18" t="str">
        <f>'Field Teams'!B74</f>
        <v>Ropes and Slopes Limited</v>
      </c>
      <c r="C74" s="69"/>
      <c r="D74" s="69"/>
      <c r="E74" s="69"/>
      <c r="F74" s="69"/>
      <c r="G74" s="69"/>
      <c r="H74" s="69"/>
      <c r="I74" s="69"/>
      <c r="J74" s="69"/>
      <c r="K74" s="69"/>
      <c r="L74" s="69"/>
      <c r="M74" s="69"/>
      <c r="N74" s="69"/>
      <c r="O74" s="71" t="str">
        <f t="shared" si="4"/>
        <v/>
      </c>
      <c r="P74" s="70" t="str">
        <f t="shared" si="5"/>
        <v>--</v>
      </c>
    </row>
    <row r="75" spans="1:16" ht="19.5" customHeight="1" x14ac:dyDescent="0.2">
      <c r="A75" s="20" t="str">
        <f>'Field Teams'!A75</f>
        <v>FT-071</v>
      </c>
      <c r="B75" s="68" t="str">
        <f>'Field Teams'!B75</f>
        <v>SJ Tree &amp; Security Maintenance</v>
      </c>
      <c r="C75" s="69"/>
      <c r="D75" s="69"/>
      <c r="E75" s="69"/>
      <c r="F75" s="69"/>
      <c r="G75" s="69"/>
      <c r="H75" s="69"/>
      <c r="I75" s="69"/>
      <c r="J75" s="69"/>
      <c r="K75" s="69"/>
      <c r="L75" s="69"/>
      <c r="M75" s="69"/>
      <c r="N75" s="69"/>
      <c r="O75" s="19" t="str">
        <f t="shared" si="4"/>
        <v/>
      </c>
      <c r="P75" s="20" t="str">
        <f t="shared" si="5"/>
        <v>--</v>
      </c>
    </row>
    <row r="76" spans="1:16" ht="19.5" customHeight="1" x14ac:dyDescent="0.2">
      <c r="A76" s="70" t="str">
        <f>'Field Teams'!A76</f>
        <v>FT-072</v>
      </c>
      <c r="B76" s="18" t="str">
        <f>'Field Teams'!B76</f>
        <v>Tree Flex Ltd</v>
      </c>
      <c r="C76" s="69"/>
      <c r="D76" s="69"/>
      <c r="E76" s="69"/>
      <c r="F76" s="69"/>
      <c r="G76" s="69"/>
      <c r="H76" s="69"/>
      <c r="I76" s="69"/>
      <c r="J76" s="69"/>
      <c r="K76" s="69"/>
      <c r="L76" s="69"/>
      <c r="M76" s="69"/>
      <c r="N76" s="69"/>
      <c r="O76" s="71" t="str">
        <f t="shared" si="4"/>
        <v/>
      </c>
      <c r="P76" s="70" t="str">
        <f t="shared" si="5"/>
        <v>--</v>
      </c>
    </row>
    <row r="77" spans="1:16" ht="15" customHeight="1" x14ac:dyDescent="0.2">
      <c r="A77" s="49" t="str">
        <f>'Field Teams'!A77</f>
        <v>FT-073</v>
      </c>
      <c r="B77" s="72" t="str">
        <f>'Field Teams'!B77</f>
        <v>Wootton Forestry &amp; Powerline Services Ltd</v>
      </c>
      <c r="C77"/>
      <c r="O77" s="49" t="str">
        <f t="shared" si="4"/>
        <v/>
      </c>
      <c r="P77" s="49" t="str">
        <f t="shared" si="5"/>
        <v>--</v>
      </c>
    </row>
    <row r="78" spans="1:16" ht="19.5" customHeight="1" x14ac:dyDescent="0.2">
      <c r="A78" s="73" t="s">
        <v>2355</v>
      </c>
      <c r="B78" s="73" t="s">
        <v>2356</v>
      </c>
      <c r="C78" s="74" t="str">
        <f t="shared" ref="C78:N78" si="6">IFERROR(AVERAGE(C4:C77),"")</f>
        <v/>
      </c>
      <c r="D78" s="74" t="str">
        <f t="shared" si="6"/>
        <v/>
      </c>
      <c r="E78" s="74" t="str">
        <f t="shared" si="6"/>
        <v/>
      </c>
      <c r="F78" s="74" t="str">
        <f t="shared" si="6"/>
        <v/>
      </c>
      <c r="G78" s="74" t="str">
        <f t="shared" si="6"/>
        <v/>
      </c>
      <c r="H78" s="74" t="str">
        <f t="shared" si="6"/>
        <v/>
      </c>
      <c r="I78" s="74" t="str">
        <f t="shared" si="6"/>
        <v/>
      </c>
      <c r="J78" s="74" t="str">
        <f t="shared" si="6"/>
        <v/>
      </c>
      <c r="K78" s="74" t="str">
        <f t="shared" si="6"/>
        <v/>
      </c>
      <c r="L78" s="74" t="str">
        <f t="shared" si="6"/>
        <v/>
      </c>
      <c r="M78" s="74" t="str">
        <f t="shared" si="6"/>
        <v/>
      </c>
      <c r="N78" s="74" t="str">
        <f t="shared" si="6"/>
        <v/>
      </c>
      <c r="O78" t="str">
        <f>IFERROR(AVERAGE(O5:O77),"")</f>
        <v/>
      </c>
      <c r="P78" t="s">
        <v>2357</v>
      </c>
    </row>
  </sheetData>
  <mergeCells count="4">
    <mergeCell ref="C3:N3"/>
    <mergeCell ref="A1:P1"/>
    <mergeCell ref="O3:P3"/>
    <mergeCell ref="A2:P2"/>
  </mergeCells>
  <conditionalFormatting sqref="C4:N76">
    <cfRule type="colorScale" priority="4">
      <colorScale>
        <cfvo type="num" val="0"/>
        <cfvo type="num" val="5"/>
        <cfvo type="num" val="10"/>
        <color rgb="FF00B050"/>
        <color rgb="FFFFC000"/>
        <color rgb="FFFF0000"/>
      </colorScale>
    </cfRule>
  </conditionalFormatting>
  <conditionalFormatting sqref="P4:P76">
    <cfRule type="containsText" dxfId="8" priority="2" operator="containsText" text="Worsening">
      <formula>NOT(ISERROR(SEARCH("Worsening",P4)))</formula>
    </cfRule>
    <cfRule type="containsText" dxfId="7" priority="3" operator="containsText" text="Improving">
      <formula>NOT(ISERROR(SEARCH("Improving",P4)))</formula>
    </cfRule>
  </conditionalFormatting>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392B"/>
  </sheetPr>
  <dimension ref="A1:Q203"/>
  <sheetViews>
    <sheetView showGridLines="0" zoomScaleNormal="100" workbookViewId="0"/>
  </sheetViews>
  <sheetFormatPr baseColWidth="10" defaultColWidth="8.6640625" defaultRowHeight="15" customHeight="1" x14ac:dyDescent="0.2"/>
  <cols>
    <col min="1" max="1" width="8" style="1" customWidth="1"/>
    <col min="2" max="2" width="9" style="1" customWidth="1"/>
    <col min="3" max="3" width="28" style="1" customWidth="1"/>
    <col min="4" max="5" width="16" style="1" customWidth="1"/>
    <col min="6" max="6" width="14" style="1" customWidth="1"/>
    <col min="7" max="8" width="13" style="1" customWidth="1"/>
    <col min="9" max="9" width="11" style="1" customWidth="1"/>
    <col min="10" max="10" width="12" style="1" customWidth="1"/>
    <col min="11" max="12" width="30" style="1" customWidth="1"/>
    <col min="13" max="17" width="13" style="1" customWidth="1"/>
  </cols>
  <sheetData>
    <row r="1" spans="1:17" ht="36" customHeight="1" x14ac:dyDescent="0.2">
      <c r="A1" s="121" t="s">
        <v>2358</v>
      </c>
      <c r="B1" s="122"/>
      <c r="C1" s="122"/>
      <c r="D1" s="122"/>
      <c r="E1" s="122"/>
      <c r="F1" s="122"/>
      <c r="G1" s="122"/>
      <c r="H1" s="122"/>
      <c r="I1" s="122"/>
      <c r="J1" s="122"/>
      <c r="K1" s="122"/>
      <c r="L1" s="122"/>
      <c r="M1" s="122"/>
      <c r="N1" s="122"/>
      <c r="O1" s="122"/>
    </row>
    <row r="2" spans="1:17" ht="30" customHeight="1" x14ac:dyDescent="0.2">
      <c r="A2" s="140" t="s">
        <v>2359</v>
      </c>
      <c r="B2" s="122"/>
      <c r="C2" s="122"/>
      <c r="D2" s="122"/>
      <c r="E2" s="122"/>
      <c r="F2" s="122"/>
      <c r="G2" s="122"/>
      <c r="H2" s="122"/>
      <c r="I2" s="122"/>
      <c r="J2" s="122"/>
      <c r="K2" s="122"/>
      <c r="L2" s="122"/>
      <c r="M2" s="122"/>
      <c r="N2" s="122"/>
      <c r="O2" s="122"/>
    </row>
    <row r="3" spans="1:17" ht="42" customHeight="1" x14ac:dyDescent="0.15">
      <c r="A3" s="5" t="s">
        <v>2360</v>
      </c>
      <c r="B3" s="5" t="s">
        <v>44</v>
      </c>
      <c r="C3" s="5" t="s">
        <v>290</v>
      </c>
      <c r="D3" s="5" t="s">
        <v>48</v>
      </c>
      <c r="E3" s="5" t="s">
        <v>47</v>
      </c>
      <c r="F3" s="5" t="s">
        <v>13</v>
      </c>
      <c r="G3" s="5" t="s">
        <v>2361</v>
      </c>
      <c r="H3" s="5" t="s">
        <v>2362</v>
      </c>
      <c r="I3" s="5" t="s">
        <v>15</v>
      </c>
      <c r="J3" s="5" t="s">
        <v>2363</v>
      </c>
      <c r="K3" s="5" t="s">
        <v>2364</v>
      </c>
      <c r="L3" s="5" t="s">
        <v>2365</v>
      </c>
      <c r="M3" s="5" t="s">
        <v>2366</v>
      </c>
      <c r="N3" s="5" t="s">
        <v>27</v>
      </c>
      <c r="O3" s="5" t="s">
        <v>2367</v>
      </c>
      <c r="P3" s="5" t="s">
        <v>2368</v>
      </c>
      <c r="Q3" s="5" t="s">
        <v>2369</v>
      </c>
    </row>
    <row r="4" spans="1:17" ht="21.75" customHeight="1" x14ac:dyDescent="0.15">
      <c r="A4" s="10" t="str">
        <f>IF(LARGE('Monthly Matrix'!$AH$4:$AH$76,1)&lt;0,"","IP-001")</f>
        <v>IP-001</v>
      </c>
      <c r="B4" s="10" t="str">
        <f>IFERROR(IF(LARGE('Monthly Matrix'!$AH$4:$AH$76,1)&lt;0,"",INDEX('Monthly Matrix'!$A$4:$A$76,MATCH(LARGE('Monthly Matrix'!$AH$4:$AH$76,1),'Monthly Matrix'!$AH$4:$AH$76,0))),"")</f>
        <v>FT-001</v>
      </c>
      <c r="C4" s="10" t="str">
        <f>IFERROR(IF(LARGE('Monthly Matrix'!$AH$4:$AH$76,1)&lt;0,"",INDEX('Monthly Matrix'!$B$4:$B$76,MATCH(LARGE('Monthly Matrix'!$AH$4:$AH$76,1),'Monthly Matrix'!$AH$4:$AH$76,0))),"")</f>
        <v>Kingfisher Tree Services Ltd</v>
      </c>
      <c r="D4" s="10">
        <f>IFERROR(IF(LARGE('Monthly Matrix'!$AH$4:$AH$76,1)&lt;0,"",INDEX('Monthly Matrix'!$G$4:$G$76,MATCH(LARGE('Monthly Matrix'!$AH$4:$AH$76,1),'Monthly Matrix'!$AH$4:$AH$76,0))),"")</f>
        <v>0</v>
      </c>
      <c r="E4" s="10">
        <f>IFERROR(IF(LARGE('Monthly Matrix'!$AH$4:$AH$76,1)&lt;0,"",INDEX('Monthly Matrix'!$F$4:$F$76,MATCH(LARGE('Monthly Matrix'!$AH$4:$AH$76,1),'Monthly Matrix'!$AH$4:$AH$76,0))),"")</f>
        <v>0</v>
      </c>
      <c r="F4" s="10" t="str">
        <f>IFERROR(IF(LARGE('Monthly Matrix'!$AH$4:$AH$76,1)&lt;0,"",INDEX('Monthly Matrix'!$E$4:$E$76,MATCH(LARGE('Monthly Matrix'!$AH$4:$AH$76,1),'Monthly Matrix'!$AH$4:$AH$76,0))),"")</f>
        <v>Jake Bolwell</v>
      </c>
      <c r="G4" s="10"/>
      <c r="H4" s="10" t="str">
        <f>IF(LARGE('Monthly Matrix'!$AH$4:$AH$76,1)&lt;0,"",'Monthly Matrix'!$AB$3)</f>
        <v>Rank
(high)</v>
      </c>
      <c r="I4" s="10" t="str">
        <f>IF(LARGE('Monthly Matrix'!$AH$4:$AH$76,1)&lt;0,"","HIGH")</f>
        <v>HIGH</v>
      </c>
      <c r="J4" s="10" t="str">
        <f>IFERROR(IF(LARGE('Monthly Matrix'!$AH$4:$AH$76,1)&lt;0,"",INDEX('Monthly Matrix'!$M$4:$M$76,MATCH(LARGE('Monthly Matrix'!$AH$4:$AH$76,1),'Monthly Matrix'!$AH$4:$AH$76,0))),"")</f>
        <v>NO</v>
      </c>
      <c r="K4" s="11"/>
      <c r="L4" s="11"/>
      <c r="M4" s="10"/>
      <c r="N4" s="10" t="str">
        <f>IF(LARGE('Monthly Matrix'!$AH$4:$AH$76,1)&lt;0,"","Open")</f>
        <v>Open</v>
      </c>
      <c r="O4" s="10"/>
      <c r="P4" s="10"/>
      <c r="Q4" s="10"/>
    </row>
    <row r="5" spans="1:17" ht="21.75" customHeight="1" x14ac:dyDescent="0.15">
      <c r="A5" s="6" t="str">
        <f>IF(LARGE('Monthly Matrix'!$AH$4:$AH$76,2)&lt;0,"","IP-002")</f>
        <v>IP-002</v>
      </c>
      <c r="B5" s="6" t="str">
        <f>IFERROR(IF(LARGE('Monthly Matrix'!$AH$4:$AH$76,2)&lt;0,"",INDEX('Monthly Matrix'!$A$4:$A$76,MATCH(LARGE('Monthly Matrix'!$AH$4:$AH$76,2),'Monthly Matrix'!$AH$4:$AH$76,0))),"")</f>
        <v>FT-001</v>
      </c>
      <c r="C5" s="6" t="str">
        <f>IFERROR(IF(LARGE('Monthly Matrix'!$AH$4:$AH$76,2)&lt;0,"",INDEX('Monthly Matrix'!$B$4:$B$76,MATCH(LARGE('Monthly Matrix'!$AH$4:$AH$76,2),'Monthly Matrix'!$AH$4:$AH$76,0))),"")</f>
        <v>Kingfisher Tree Services Ltd</v>
      </c>
      <c r="D5" s="6">
        <f>IFERROR(IF(LARGE('Monthly Matrix'!$AH$4:$AH$76,2)&lt;0,"",INDEX('Monthly Matrix'!$G$4:$G$76,MATCH(LARGE('Monthly Matrix'!$AH$4:$AH$76,2),'Monthly Matrix'!$AH$4:$AH$76,0))),"")</f>
        <v>0</v>
      </c>
      <c r="E5" s="6">
        <f>IFERROR(IF(LARGE('Monthly Matrix'!$AH$4:$AH$76,2)&lt;0,"",INDEX('Monthly Matrix'!$F$4:$F$76,MATCH(LARGE('Monthly Matrix'!$AH$4:$AH$76,2),'Monthly Matrix'!$AH$4:$AH$76,0))),"")</f>
        <v>0</v>
      </c>
      <c r="F5" s="6" t="str">
        <f>IFERROR(IF(LARGE('Monthly Matrix'!$AH$4:$AH$76,2)&lt;0,"",INDEX('Monthly Matrix'!$E$4:$E$76,MATCH(LARGE('Monthly Matrix'!$AH$4:$AH$76,2),'Monthly Matrix'!$AH$4:$AH$76,0))),"")</f>
        <v>Jake Bolwell</v>
      </c>
      <c r="G5" s="6"/>
      <c r="H5" s="6" t="str">
        <f>IF(LARGE('Monthly Matrix'!$AH$4:$AH$76,2)&lt;0,"",'Monthly Matrix'!$AB$3)</f>
        <v>Rank
(high)</v>
      </c>
      <c r="I5" s="6" t="str">
        <f>IF(LARGE('Monthly Matrix'!$AH$4:$AH$76,2)&lt;0,"","HIGH")</f>
        <v>HIGH</v>
      </c>
      <c r="J5" s="6" t="str">
        <f>IFERROR(IF(LARGE('Monthly Matrix'!$AH$4:$AH$76,2)&lt;0,"",INDEX('Monthly Matrix'!$M$4:$M$76,MATCH(LARGE('Monthly Matrix'!$AH$4:$AH$76,2),'Monthly Matrix'!$AH$4:$AH$76,0))),"")</f>
        <v>NO</v>
      </c>
      <c r="K5" s="7"/>
      <c r="L5" s="7"/>
      <c r="M5" s="6"/>
      <c r="N5" s="6" t="str">
        <f>IF(LARGE('Monthly Matrix'!$AH$4:$AH$76,2)&lt;0,"","Open")</f>
        <v>Open</v>
      </c>
      <c r="O5" s="6"/>
      <c r="P5" s="6"/>
      <c r="Q5" s="6"/>
    </row>
    <row r="6" spans="1:17" ht="21.75" customHeight="1" x14ac:dyDescent="0.15">
      <c r="A6" s="10" t="str">
        <f>IF(LARGE('Monthly Matrix'!$AH$4:$AH$76,3)&lt;0,"","IP-003")</f>
        <v>IP-003</v>
      </c>
      <c r="B6" s="10" t="str">
        <f>IFERROR(IF(LARGE('Monthly Matrix'!$AH$4:$AH$76,3)&lt;0,"",INDEX('Monthly Matrix'!$A$4:$A$76,MATCH(LARGE('Monthly Matrix'!$AH$4:$AH$76,3),'Monthly Matrix'!$AH$4:$AH$76,0))),"")</f>
        <v>FT-001</v>
      </c>
      <c r="C6" s="10" t="str">
        <f>IFERROR(IF(LARGE('Monthly Matrix'!$AH$4:$AH$76,3)&lt;0,"",INDEX('Monthly Matrix'!$B$4:$B$76,MATCH(LARGE('Monthly Matrix'!$AH$4:$AH$76,3),'Monthly Matrix'!$AH$4:$AH$76,0))),"")</f>
        <v>Kingfisher Tree Services Ltd</v>
      </c>
      <c r="D6" s="10">
        <f>IFERROR(IF(LARGE('Monthly Matrix'!$AH$4:$AH$76,3)&lt;0,"",INDEX('Monthly Matrix'!$G$4:$G$76,MATCH(LARGE('Monthly Matrix'!$AH$4:$AH$76,3),'Monthly Matrix'!$AH$4:$AH$76,0))),"")</f>
        <v>0</v>
      </c>
      <c r="E6" s="10">
        <f>IFERROR(IF(LARGE('Monthly Matrix'!$AH$4:$AH$76,3)&lt;0,"",INDEX('Monthly Matrix'!$F$4:$F$76,MATCH(LARGE('Monthly Matrix'!$AH$4:$AH$76,3),'Monthly Matrix'!$AH$4:$AH$76,0))),"")</f>
        <v>0</v>
      </c>
      <c r="F6" s="10" t="str">
        <f>IFERROR(IF(LARGE('Monthly Matrix'!$AH$4:$AH$76,3)&lt;0,"",INDEX('Monthly Matrix'!$E$4:$E$76,MATCH(LARGE('Monthly Matrix'!$AH$4:$AH$76,3),'Monthly Matrix'!$AH$4:$AH$76,0))),"")</f>
        <v>Jake Bolwell</v>
      </c>
      <c r="G6" s="10"/>
      <c r="H6" s="10" t="str">
        <f>IF(LARGE('Monthly Matrix'!$AH$4:$AH$76,3)&lt;0,"",'Monthly Matrix'!$AB$3)</f>
        <v>Rank
(high)</v>
      </c>
      <c r="I6" s="10" t="str">
        <f>IF(LARGE('Monthly Matrix'!$AH$4:$AH$76,3)&lt;0,"","HIGH")</f>
        <v>HIGH</v>
      </c>
      <c r="J6" s="10" t="str">
        <f>IFERROR(IF(LARGE('Monthly Matrix'!$AH$4:$AH$76,3)&lt;0,"",INDEX('Monthly Matrix'!$M$4:$M$76,MATCH(LARGE('Monthly Matrix'!$AH$4:$AH$76,3),'Monthly Matrix'!$AH$4:$AH$76,0))),"")</f>
        <v>NO</v>
      </c>
      <c r="K6" s="11"/>
      <c r="L6" s="11"/>
      <c r="M6" s="10"/>
      <c r="N6" s="10" t="str">
        <f>IF(LARGE('Monthly Matrix'!$AH$4:$AH$76,3)&lt;0,"","Open")</f>
        <v>Open</v>
      </c>
      <c r="O6" s="10"/>
      <c r="P6" s="10"/>
      <c r="Q6" s="10"/>
    </row>
    <row r="7" spans="1:17" ht="21.75" customHeight="1" x14ac:dyDescent="0.15">
      <c r="A7" s="6" t="str">
        <f>IF(LARGE('Monthly Matrix'!$AH$4:$AH$76,4)&lt;0,"","IP-004")</f>
        <v>IP-004</v>
      </c>
      <c r="B7" s="6" t="str">
        <f>IFERROR(IF(LARGE('Monthly Matrix'!$AH$4:$AH$76,4)&lt;0,"",INDEX('Monthly Matrix'!$A$4:$A$76,MATCH(LARGE('Monthly Matrix'!$AH$4:$AH$76,4),'Monthly Matrix'!$AH$4:$AH$76,0))),"")</f>
        <v>FT-001</v>
      </c>
      <c r="C7" s="6" t="str">
        <f>IFERROR(IF(LARGE('Monthly Matrix'!$AH$4:$AH$76,4)&lt;0,"",INDEX('Monthly Matrix'!$B$4:$B$76,MATCH(LARGE('Monthly Matrix'!$AH$4:$AH$76,4),'Monthly Matrix'!$AH$4:$AH$76,0))),"")</f>
        <v>Kingfisher Tree Services Ltd</v>
      </c>
      <c r="D7" s="6">
        <f>IFERROR(IF(LARGE('Monthly Matrix'!$AH$4:$AH$76,4)&lt;0,"",INDEX('Monthly Matrix'!$G$4:$G$76,MATCH(LARGE('Monthly Matrix'!$AH$4:$AH$76,4),'Monthly Matrix'!$AH$4:$AH$76,0))),"")</f>
        <v>0</v>
      </c>
      <c r="E7" s="6">
        <f>IFERROR(IF(LARGE('Monthly Matrix'!$AH$4:$AH$76,4)&lt;0,"",INDEX('Monthly Matrix'!$F$4:$F$76,MATCH(LARGE('Monthly Matrix'!$AH$4:$AH$76,4),'Monthly Matrix'!$AH$4:$AH$76,0))),"")</f>
        <v>0</v>
      </c>
      <c r="F7" s="6" t="str">
        <f>IFERROR(IF(LARGE('Monthly Matrix'!$AH$4:$AH$76,4)&lt;0,"",INDEX('Monthly Matrix'!$E$4:$E$76,MATCH(LARGE('Monthly Matrix'!$AH$4:$AH$76,4),'Monthly Matrix'!$AH$4:$AH$76,0))),"")</f>
        <v>Jake Bolwell</v>
      </c>
      <c r="G7" s="6"/>
      <c r="H7" s="6" t="str">
        <f>IF(LARGE('Monthly Matrix'!$AH$4:$AH$76,4)&lt;0,"",'Monthly Matrix'!$AB$3)</f>
        <v>Rank
(high)</v>
      </c>
      <c r="I7" s="6" t="str">
        <f>IF(LARGE('Monthly Matrix'!$AH$4:$AH$76,4)&lt;0,"","HIGH")</f>
        <v>HIGH</v>
      </c>
      <c r="J7" s="6" t="str">
        <f>IFERROR(IF(LARGE('Monthly Matrix'!$AH$4:$AH$76,4)&lt;0,"",INDEX('Monthly Matrix'!$M$4:$M$76,MATCH(LARGE('Monthly Matrix'!$AH$4:$AH$76,4),'Monthly Matrix'!$AH$4:$AH$76,0))),"")</f>
        <v>NO</v>
      </c>
      <c r="K7" s="7"/>
      <c r="L7" s="7"/>
      <c r="M7" s="6"/>
      <c r="N7" s="6" t="str">
        <f>IF(LARGE('Monthly Matrix'!$AH$4:$AH$76,4)&lt;0,"","Open")</f>
        <v>Open</v>
      </c>
      <c r="O7" s="6"/>
      <c r="P7" s="6"/>
      <c r="Q7" s="6"/>
    </row>
    <row r="8" spans="1:17" ht="21.75" customHeight="1" x14ac:dyDescent="0.15">
      <c r="A8" s="10" t="str">
        <f>IF(LARGE('Monthly Matrix'!$AH$4:$AH$76,5)&lt;0,"","IP-005")</f>
        <v>IP-005</v>
      </c>
      <c r="B8" s="10" t="str">
        <f>IFERROR(IF(LARGE('Monthly Matrix'!$AH$4:$AH$76,5)&lt;0,"",INDEX('Monthly Matrix'!$A$4:$A$76,MATCH(LARGE('Monthly Matrix'!$AH$4:$AH$76,5),'Monthly Matrix'!$AH$4:$AH$76,0))),"")</f>
        <v>FT-001</v>
      </c>
      <c r="C8" s="10" t="str">
        <f>IFERROR(IF(LARGE('Monthly Matrix'!$AH$4:$AH$76,5)&lt;0,"",INDEX('Monthly Matrix'!$B$4:$B$76,MATCH(LARGE('Monthly Matrix'!$AH$4:$AH$76,5),'Monthly Matrix'!$AH$4:$AH$76,0))),"")</f>
        <v>Kingfisher Tree Services Ltd</v>
      </c>
      <c r="D8" s="10">
        <f>IFERROR(IF(LARGE('Monthly Matrix'!$AH$4:$AH$76,5)&lt;0,"",INDEX('Monthly Matrix'!$G$4:$G$76,MATCH(LARGE('Monthly Matrix'!$AH$4:$AH$76,5),'Monthly Matrix'!$AH$4:$AH$76,0))),"")</f>
        <v>0</v>
      </c>
      <c r="E8" s="10">
        <f>IFERROR(IF(LARGE('Monthly Matrix'!$AH$4:$AH$76,5)&lt;0,"",INDEX('Monthly Matrix'!$F$4:$F$76,MATCH(LARGE('Monthly Matrix'!$AH$4:$AH$76,5),'Monthly Matrix'!$AH$4:$AH$76,0))),"")</f>
        <v>0</v>
      </c>
      <c r="F8" s="10" t="str">
        <f>IFERROR(IF(LARGE('Monthly Matrix'!$AH$4:$AH$76,5)&lt;0,"",INDEX('Monthly Matrix'!$E$4:$E$76,MATCH(LARGE('Monthly Matrix'!$AH$4:$AH$76,5),'Monthly Matrix'!$AH$4:$AH$76,0))),"")</f>
        <v>Jake Bolwell</v>
      </c>
      <c r="G8" s="10"/>
      <c r="H8" s="10" t="str">
        <f>IF(LARGE('Monthly Matrix'!$AH$4:$AH$76,5)&lt;0,"",'Monthly Matrix'!$AB$3)</f>
        <v>Rank
(high)</v>
      </c>
      <c r="I8" s="10" t="str">
        <f>IF(LARGE('Monthly Matrix'!$AH$4:$AH$76,5)&lt;0,"","HIGH")</f>
        <v>HIGH</v>
      </c>
      <c r="J8" s="10" t="str">
        <f>IFERROR(IF(LARGE('Monthly Matrix'!$AH$4:$AH$76,5)&lt;0,"",INDEX('Monthly Matrix'!$M$4:$M$76,MATCH(LARGE('Monthly Matrix'!$AH$4:$AH$76,5),'Monthly Matrix'!$AH$4:$AH$76,0))),"")</f>
        <v>NO</v>
      </c>
      <c r="K8" s="11"/>
      <c r="L8" s="11"/>
      <c r="M8" s="10"/>
      <c r="N8" s="10" t="str">
        <f>IF(LARGE('Monthly Matrix'!$AH$4:$AH$76,5)&lt;0,"","Open")</f>
        <v>Open</v>
      </c>
      <c r="O8" s="10"/>
      <c r="P8" s="10"/>
      <c r="Q8" s="10"/>
    </row>
    <row r="9" spans="1:17" ht="21.75" customHeight="1" x14ac:dyDescent="0.15">
      <c r="A9" s="6" t="str">
        <f>IF(LARGE('Monthly Matrix'!$AH$4:$AH$76,6)&lt;0,"","IP-006")</f>
        <v>IP-006</v>
      </c>
      <c r="B9" s="6" t="str">
        <f>IFERROR(IF(LARGE('Monthly Matrix'!$AH$4:$AH$76,6)&lt;0,"",INDEX('Monthly Matrix'!$A$4:$A$76,MATCH(LARGE('Monthly Matrix'!$AH$4:$AH$76,6),'Monthly Matrix'!$AH$4:$AH$76,0))),"")</f>
        <v>FT-001</v>
      </c>
      <c r="C9" s="6" t="str">
        <f>IFERROR(IF(LARGE('Monthly Matrix'!$AH$4:$AH$76,6)&lt;0,"",INDEX('Monthly Matrix'!$B$4:$B$76,MATCH(LARGE('Monthly Matrix'!$AH$4:$AH$76,6),'Monthly Matrix'!$AH$4:$AH$76,0))),"")</f>
        <v>Kingfisher Tree Services Ltd</v>
      </c>
      <c r="D9" s="6">
        <f>IFERROR(IF(LARGE('Monthly Matrix'!$AH$4:$AH$76,6)&lt;0,"",INDEX('Monthly Matrix'!$G$4:$G$76,MATCH(LARGE('Monthly Matrix'!$AH$4:$AH$76,6),'Monthly Matrix'!$AH$4:$AH$76,0))),"")</f>
        <v>0</v>
      </c>
      <c r="E9" s="6">
        <f>IFERROR(IF(LARGE('Monthly Matrix'!$AH$4:$AH$76,6)&lt;0,"",INDEX('Monthly Matrix'!$F$4:$F$76,MATCH(LARGE('Monthly Matrix'!$AH$4:$AH$76,6),'Monthly Matrix'!$AH$4:$AH$76,0))),"")</f>
        <v>0</v>
      </c>
      <c r="F9" s="6" t="str">
        <f>IFERROR(IF(LARGE('Monthly Matrix'!$AH$4:$AH$76,6)&lt;0,"",INDEX('Monthly Matrix'!$E$4:$E$76,MATCH(LARGE('Monthly Matrix'!$AH$4:$AH$76,6),'Monthly Matrix'!$AH$4:$AH$76,0))),"")</f>
        <v>Jake Bolwell</v>
      </c>
      <c r="G9" s="6"/>
      <c r="H9" s="6" t="str">
        <f>IF(LARGE('Monthly Matrix'!$AH$4:$AH$76,6)&lt;0,"",'Monthly Matrix'!$AB$3)</f>
        <v>Rank
(high)</v>
      </c>
      <c r="I9" s="6" t="str">
        <f>IF(LARGE('Monthly Matrix'!$AH$4:$AH$76,6)&lt;0,"","HIGH")</f>
        <v>HIGH</v>
      </c>
      <c r="J9" s="6" t="str">
        <f>IFERROR(IF(LARGE('Monthly Matrix'!$AH$4:$AH$76,6)&lt;0,"",INDEX('Monthly Matrix'!$M$4:$M$76,MATCH(LARGE('Monthly Matrix'!$AH$4:$AH$76,6),'Monthly Matrix'!$AH$4:$AH$76,0))),"")</f>
        <v>NO</v>
      </c>
      <c r="K9" s="7"/>
      <c r="L9" s="7"/>
      <c r="M9" s="6"/>
      <c r="N9" s="6" t="str">
        <f>IF(LARGE('Monthly Matrix'!$AH$4:$AH$76,6)&lt;0,"","Open")</f>
        <v>Open</v>
      </c>
      <c r="O9" s="6"/>
      <c r="P9" s="6"/>
      <c r="Q9" s="6"/>
    </row>
    <row r="10" spans="1:17" ht="21.75" customHeight="1" x14ac:dyDescent="0.15">
      <c r="A10" s="10" t="str">
        <f>IF(LARGE('Monthly Matrix'!$AH$4:$AH$76,7)&lt;0,"","IP-007")</f>
        <v>IP-007</v>
      </c>
      <c r="B10" s="10" t="str">
        <f>IFERROR(IF(LARGE('Monthly Matrix'!$AH$4:$AH$76,7)&lt;0,"",INDEX('Monthly Matrix'!$A$4:$A$76,MATCH(LARGE('Monthly Matrix'!$AH$4:$AH$76,7),'Monthly Matrix'!$AH$4:$AH$76,0))),"")</f>
        <v>FT-001</v>
      </c>
      <c r="C10" s="10" t="str">
        <f>IFERROR(IF(LARGE('Monthly Matrix'!$AH$4:$AH$76,7)&lt;0,"",INDEX('Monthly Matrix'!$B$4:$B$76,MATCH(LARGE('Monthly Matrix'!$AH$4:$AH$76,7),'Monthly Matrix'!$AH$4:$AH$76,0))),"")</f>
        <v>Kingfisher Tree Services Ltd</v>
      </c>
      <c r="D10" s="10">
        <f>IFERROR(IF(LARGE('Monthly Matrix'!$AH$4:$AH$76,7)&lt;0,"",INDEX('Monthly Matrix'!$G$4:$G$76,MATCH(LARGE('Monthly Matrix'!$AH$4:$AH$76,7),'Monthly Matrix'!$AH$4:$AH$76,0))),"")</f>
        <v>0</v>
      </c>
      <c r="E10" s="10">
        <f>IFERROR(IF(LARGE('Monthly Matrix'!$AH$4:$AH$76,7)&lt;0,"",INDEX('Monthly Matrix'!$F$4:$F$76,MATCH(LARGE('Monthly Matrix'!$AH$4:$AH$76,7),'Monthly Matrix'!$AH$4:$AH$76,0))),"")</f>
        <v>0</v>
      </c>
      <c r="F10" s="10" t="str">
        <f>IFERROR(IF(LARGE('Monthly Matrix'!$AH$4:$AH$76,7)&lt;0,"",INDEX('Monthly Matrix'!$E$4:$E$76,MATCH(LARGE('Monthly Matrix'!$AH$4:$AH$76,7),'Monthly Matrix'!$AH$4:$AH$76,0))),"")</f>
        <v>Jake Bolwell</v>
      </c>
      <c r="G10" s="10"/>
      <c r="H10" s="10" t="str">
        <f>IF(LARGE('Monthly Matrix'!$AH$4:$AH$76,7)&lt;0,"",'Monthly Matrix'!$AB$3)</f>
        <v>Rank
(high)</v>
      </c>
      <c r="I10" s="10" t="str">
        <f>IF(LARGE('Monthly Matrix'!$AH$4:$AH$76,7)&lt;0,"","HIGH")</f>
        <v>HIGH</v>
      </c>
      <c r="J10" s="10" t="str">
        <f>IFERROR(IF(LARGE('Monthly Matrix'!$AH$4:$AH$76,7)&lt;0,"",INDEX('Monthly Matrix'!$M$4:$M$76,MATCH(LARGE('Monthly Matrix'!$AH$4:$AH$76,7),'Monthly Matrix'!$AH$4:$AH$76,0))),"")</f>
        <v>NO</v>
      </c>
      <c r="K10" s="11"/>
      <c r="L10" s="11"/>
      <c r="M10" s="10"/>
      <c r="N10" s="10" t="str">
        <f>IF(LARGE('Monthly Matrix'!$AH$4:$AH$76,7)&lt;0,"","Open")</f>
        <v>Open</v>
      </c>
      <c r="O10" s="10"/>
      <c r="P10" s="10"/>
      <c r="Q10" s="10"/>
    </row>
    <row r="11" spans="1:17" ht="21.75" customHeight="1" x14ac:dyDescent="0.15">
      <c r="A11" s="6" t="str">
        <f>IF(LARGE('Monthly Matrix'!$AH$4:$AH$76,8)&lt;0,"","IP-008")</f>
        <v>IP-008</v>
      </c>
      <c r="B11" s="6" t="str">
        <f>IFERROR(IF(LARGE('Monthly Matrix'!$AH$4:$AH$76,8)&lt;0,"",INDEX('Monthly Matrix'!$A$4:$A$76,MATCH(LARGE('Monthly Matrix'!$AH$4:$AH$76,8),'Monthly Matrix'!$AH$4:$AH$76,0))),"")</f>
        <v>FT-001</v>
      </c>
      <c r="C11" s="6" t="str">
        <f>IFERROR(IF(LARGE('Monthly Matrix'!$AH$4:$AH$76,8)&lt;0,"",INDEX('Monthly Matrix'!$B$4:$B$76,MATCH(LARGE('Monthly Matrix'!$AH$4:$AH$76,8),'Monthly Matrix'!$AH$4:$AH$76,0))),"")</f>
        <v>Kingfisher Tree Services Ltd</v>
      </c>
      <c r="D11" s="6">
        <f>IFERROR(IF(LARGE('Monthly Matrix'!$AH$4:$AH$76,8)&lt;0,"",INDEX('Monthly Matrix'!$G$4:$G$76,MATCH(LARGE('Monthly Matrix'!$AH$4:$AH$76,8),'Monthly Matrix'!$AH$4:$AH$76,0))),"")</f>
        <v>0</v>
      </c>
      <c r="E11" s="6">
        <f>IFERROR(IF(LARGE('Monthly Matrix'!$AH$4:$AH$76,8)&lt;0,"",INDEX('Monthly Matrix'!$F$4:$F$76,MATCH(LARGE('Monthly Matrix'!$AH$4:$AH$76,8),'Monthly Matrix'!$AH$4:$AH$76,0))),"")</f>
        <v>0</v>
      </c>
      <c r="F11" s="6" t="str">
        <f>IFERROR(IF(LARGE('Monthly Matrix'!$AH$4:$AH$76,8)&lt;0,"",INDEX('Monthly Matrix'!$E$4:$E$76,MATCH(LARGE('Monthly Matrix'!$AH$4:$AH$76,8),'Monthly Matrix'!$AH$4:$AH$76,0))),"")</f>
        <v>Jake Bolwell</v>
      </c>
      <c r="G11" s="6"/>
      <c r="H11" s="6" t="str">
        <f>IF(LARGE('Monthly Matrix'!$AH$4:$AH$76,8)&lt;0,"",'Monthly Matrix'!$AB$3)</f>
        <v>Rank
(high)</v>
      </c>
      <c r="I11" s="6" t="str">
        <f>IF(LARGE('Monthly Matrix'!$AH$4:$AH$76,8)&lt;0,"","HIGH")</f>
        <v>HIGH</v>
      </c>
      <c r="J11" s="6" t="str">
        <f>IFERROR(IF(LARGE('Monthly Matrix'!$AH$4:$AH$76,8)&lt;0,"",INDEX('Monthly Matrix'!$M$4:$M$76,MATCH(LARGE('Monthly Matrix'!$AH$4:$AH$76,8),'Monthly Matrix'!$AH$4:$AH$76,0))),"")</f>
        <v>NO</v>
      </c>
      <c r="K11" s="7"/>
      <c r="L11" s="7"/>
      <c r="M11" s="6"/>
      <c r="N11" s="6" t="str">
        <f>IF(LARGE('Monthly Matrix'!$AH$4:$AH$76,8)&lt;0,"","Open")</f>
        <v>Open</v>
      </c>
      <c r="O11" s="6"/>
      <c r="P11" s="6"/>
      <c r="Q11" s="6"/>
    </row>
    <row r="12" spans="1:17" ht="21.75" customHeight="1" x14ac:dyDescent="0.15">
      <c r="A12" s="10" t="str">
        <f>IF(LARGE('Monthly Matrix'!$AH$4:$AH$76,9)&lt;0,"","IP-009")</f>
        <v>IP-009</v>
      </c>
      <c r="B12" s="10" t="str">
        <f>IFERROR(IF(LARGE('Monthly Matrix'!$AH$4:$AH$76,9)&lt;0,"",INDEX('Monthly Matrix'!$A$4:$A$76,MATCH(LARGE('Monthly Matrix'!$AH$4:$AH$76,9),'Monthly Matrix'!$AH$4:$AH$76,0))),"")</f>
        <v>FT-001</v>
      </c>
      <c r="C12" s="10" t="str">
        <f>IFERROR(IF(LARGE('Monthly Matrix'!$AH$4:$AH$76,9)&lt;0,"",INDEX('Monthly Matrix'!$B$4:$B$76,MATCH(LARGE('Monthly Matrix'!$AH$4:$AH$76,9),'Monthly Matrix'!$AH$4:$AH$76,0))),"")</f>
        <v>Kingfisher Tree Services Ltd</v>
      </c>
      <c r="D12" s="10">
        <f>IFERROR(IF(LARGE('Monthly Matrix'!$AH$4:$AH$76,9)&lt;0,"",INDEX('Monthly Matrix'!$G$4:$G$76,MATCH(LARGE('Monthly Matrix'!$AH$4:$AH$76,9),'Monthly Matrix'!$AH$4:$AH$76,0))),"")</f>
        <v>0</v>
      </c>
      <c r="E12" s="10">
        <f>IFERROR(IF(LARGE('Monthly Matrix'!$AH$4:$AH$76,9)&lt;0,"",INDEX('Monthly Matrix'!$F$4:$F$76,MATCH(LARGE('Monthly Matrix'!$AH$4:$AH$76,9),'Monthly Matrix'!$AH$4:$AH$76,0))),"")</f>
        <v>0</v>
      </c>
      <c r="F12" s="10" t="str">
        <f>IFERROR(IF(LARGE('Monthly Matrix'!$AH$4:$AH$76,9)&lt;0,"",INDEX('Monthly Matrix'!$E$4:$E$76,MATCH(LARGE('Monthly Matrix'!$AH$4:$AH$76,9),'Monthly Matrix'!$AH$4:$AH$76,0))),"")</f>
        <v>Jake Bolwell</v>
      </c>
      <c r="G12" s="10"/>
      <c r="H12" s="10" t="str">
        <f>IF(LARGE('Monthly Matrix'!$AH$4:$AH$76,9)&lt;0,"",'Monthly Matrix'!$AB$3)</f>
        <v>Rank
(high)</v>
      </c>
      <c r="I12" s="10" t="str">
        <f>IF(LARGE('Monthly Matrix'!$AH$4:$AH$76,9)&lt;0,"","HIGH")</f>
        <v>HIGH</v>
      </c>
      <c r="J12" s="10" t="str">
        <f>IFERROR(IF(LARGE('Monthly Matrix'!$AH$4:$AH$76,9)&lt;0,"",INDEX('Monthly Matrix'!$M$4:$M$76,MATCH(LARGE('Monthly Matrix'!$AH$4:$AH$76,9),'Monthly Matrix'!$AH$4:$AH$76,0))),"")</f>
        <v>NO</v>
      </c>
      <c r="K12" s="11"/>
      <c r="L12" s="11"/>
      <c r="M12" s="10"/>
      <c r="N12" s="10" t="str">
        <f>IF(LARGE('Monthly Matrix'!$AH$4:$AH$76,9)&lt;0,"","Open")</f>
        <v>Open</v>
      </c>
      <c r="O12" s="10"/>
      <c r="P12" s="10"/>
      <c r="Q12" s="10"/>
    </row>
    <row r="13" spans="1:17" ht="21.75" customHeight="1" x14ac:dyDescent="0.15">
      <c r="A13" s="6" t="str">
        <f>IF(LARGE('Monthly Matrix'!$AH$4:$AH$76,10)&lt;0,"","IP-010")</f>
        <v>IP-010</v>
      </c>
      <c r="B13" s="6" t="str">
        <f>IFERROR(IF(LARGE('Monthly Matrix'!$AH$4:$AH$76,10)&lt;0,"",INDEX('Monthly Matrix'!$A$4:$A$76,MATCH(LARGE('Monthly Matrix'!$AH$4:$AH$76,10),'Monthly Matrix'!$AH$4:$AH$76,0))),"")</f>
        <v>FT-001</v>
      </c>
      <c r="C13" s="6" t="str">
        <f>IFERROR(IF(LARGE('Monthly Matrix'!$AH$4:$AH$76,10)&lt;0,"",INDEX('Monthly Matrix'!$B$4:$B$76,MATCH(LARGE('Monthly Matrix'!$AH$4:$AH$76,10),'Monthly Matrix'!$AH$4:$AH$76,0))),"")</f>
        <v>Kingfisher Tree Services Ltd</v>
      </c>
      <c r="D13" s="6">
        <f>IFERROR(IF(LARGE('Monthly Matrix'!$AH$4:$AH$76,10)&lt;0,"",INDEX('Monthly Matrix'!$G$4:$G$76,MATCH(LARGE('Monthly Matrix'!$AH$4:$AH$76,10),'Monthly Matrix'!$AH$4:$AH$76,0))),"")</f>
        <v>0</v>
      </c>
      <c r="E13" s="6">
        <f>IFERROR(IF(LARGE('Monthly Matrix'!$AH$4:$AH$76,10)&lt;0,"",INDEX('Monthly Matrix'!$F$4:$F$76,MATCH(LARGE('Monthly Matrix'!$AH$4:$AH$76,10),'Monthly Matrix'!$AH$4:$AH$76,0))),"")</f>
        <v>0</v>
      </c>
      <c r="F13" s="6" t="str">
        <f>IFERROR(IF(LARGE('Monthly Matrix'!$AH$4:$AH$76,10)&lt;0,"",INDEX('Monthly Matrix'!$E$4:$E$76,MATCH(LARGE('Monthly Matrix'!$AH$4:$AH$76,10),'Monthly Matrix'!$AH$4:$AH$76,0))),"")</f>
        <v>Jake Bolwell</v>
      </c>
      <c r="G13" s="6"/>
      <c r="H13" s="6" t="str">
        <f>IF(LARGE('Monthly Matrix'!$AH$4:$AH$76,10)&lt;0,"",'Monthly Matrix'!$AB$3)</f>
        <v>Rank
(high)</v>
      </c>
      <c r="I13" s="6" t="str">
        <f>IF(LARGE('Monthly Matrix'!$AH$4:$AH$76,10)&lt;0,"","HIGH")</f>
        <v>HIGH</v>
      </c>
      <c r="J13" s="6" t="str">
        <f>IFERROR(IF(LARGE('Monthly Matrix'!$AH$4:$AH$76,10)&lt;0,"",INDEX('Monthly Matrix'!$M$4:$M$76,MATCH(LARGE('Monthly Matrix'!$AH$4:$AH$76,10),'Monthly Matrix'!$AH$4:$AH$76,0))),"")</f>
        <v>NO</v>
      </c>
      <c r="K13" s="7"/>
      <c r="L13" s="7"/>
      <c r="M13" s="6"/>
      <c r="N13" s="6" t="str">
        <f>IF(LARGE('Monthly Matrix'!$AH$4:$AH$76,10)&lt;0,"","Open")</f>
        <v>Open</v>
      </c>
      <c r="O13" s="6"/>
      <c r="P13" s="6"/>
      <c r="Q13" s="6"/>
    </row>
    <row r="14" spans="1:17" ht="21.75" customHeight="1" x14ac:dyDescent="0.15">
      <c r="A14" s="10" t="str">
        <f>IF(LARGE('Monthly Matrix'!$AH$4:$AH$76,11)&lt;0,"","IP-011")</f>
        <v>IP-011</v>
      </c>
      <c r="B14" s="10" t="str">
        <f>IFERROR(IF(LARGE('Monthly Matrix'!$AH$4:$AH$76,11)&lt;0,"",INDEX('Monthly Matrix'!$A$4:$A$76,MATCH(LARGE('Monthly Matrix'!$AH$4:$AH$76,11),'Monthly Matrix'!$AH$4:$AH$76,0))),"")</f>
        <v>FT-001</v>
      </c>
      <c r="C14" s="10" t="str">
        <f>IFERROR(IF(LARGE('Monthly Matrix'!$AH$4:$AH$76,11)&lt;0,"",INDEX('Monthly Matrix'!$B$4:$B$76,MATCH(LARGE('Monthly Matrix'!$AH$4:$AH$76,11),'Monthly Matrix'!$AH$4:$AH$76,0))),"")</f>
        <v>Kingfisher Tree Services Ltd</v>
      </c>
      <c r="D14" s="10">
        <f>IFERROR(IF(LARGE('Monthly Matrix'!$AH$4:$AH$76,11)&lt;0,"",INDEX('Monthly Matrix'!$G$4:$G$76,MATCH(LARGE('Monthly Matrix'!$AH$4:$AH$76,11),'Monthly Matrix'!$AH$4:$AH$76,0))),"")</f>
        <v>0</v>
      </c>
      <c r="E14" s="10">
        <f>IFERROR(IF(LARGE('Monthly Matrix'!$AH$4:$AH$76,11)&lt;0,"",INDEX('Monthly Matrix'!$F$4:$F$76,MATCH(LARGE('Monthly Matrix'!$AH$4:$AH$76,11),'Monthly Matrix'!$AH$4:$AH$76,0))),"")</f>
        <v>0</v>
      </c>
      <c r="F14" s="10" t="str">
        <f>IFERROR(IF(LARGE('Monthly Matrix'!$AH$4:$AH$76,11)&lt;0,"",INDEX('Monthly Matrix'!$E$4:$E$76,MATCH(LARGE('Monthly Matrix'!$AH$4:$AH$76,11),'Monthly Matrix'!$AH$4:$AH$76,0))),"")</f>
        <v>Jake Bolwell</v>
      </c>
      <c r="G14" s="10"/>
      <c r="H14" s="10" t="str">
        <f>IF(LARGE('Monthly Matrix'!$AH$4:$AH$76,11)&lt;0,"",'Monthly Matrix'!$AB$3)</f>
        <v>Rank
(high)</v>
      </c>
      <c r="I14" s="10" t="str">
        <f>IF(LARGE('Monthly Matrix'!$AH$4:$AH$76,11)&lt;0,"","HIGH")</f>
        <v>HIGH</v>
      </c>
      <c r="J14" s="10" t="str">
        <f>IFERROR(IF(LARGE('Monthly Matrix'!$AH$4:$AH$76,11)&lt;0,"",INDEX('Monthly Matrix'!$M$4:$M$76,MATCH(LARGE('Monthly Matrix'!$AH$4:$AH$76,11),'Monthly Matrix'!$AH$4:$AH$76,0))),"")</f>
        <v>NO</v>
      </c>
      <c r="K14" s="11"/>
      <c r="L14" s="11"/>
      <c r="M14" s="10"/>
      <c r="N14" s="10" t="str">
        <f>IF(LARGE('Monthly Matrix'!$AH$4:$AH$76,11)&lt;0,"","Open")</f>
        <v>Open</v>
      </c>
      <c r="O14" s="10"/>
      <c r="P14" s="10"/>
      <c r="Q14" s="10"/>
    </row>
    <row r="15" spans="1:17" ht="21.75" customHeight="1" x14ac:dyDescent="0.15">
      <c r="A15" s="6" t="str">
        <f>IF(LARGE('Monthly Matrix'!$AH$4:$AH$76,12)&lt;0,"","IP-012")</f>
        <v>IP-012</v>
      </c>
      <c r="B15" s="6" t="str">
        <f>IFERROR(IF(LARGE('Monthly Matrix'!$AH$4:$AH$76,12)&lt;0,"",INDEX('Monthly Matrix'!$A$4:$A$76,MATCH(LARGE('Monthly Matrix'!$AH$4:$AH$76,12),'Monthly Matrix'!$AH$4:$AH$76,0))),"")</f>
        <v>FT-001</v>
      </c>
      <c r="C15" s="6" t="str">
        <f>IFERROR(IF(LARGE('Monthly Matrix'!$AH$4:$AH$76,12)&lt;0,"",INDEX('Monthly Matrix'!$B$4:$B$76,MATCH(LARGE('Monthly Matrix'!$AH$4:$AH$76,12),'Monthly Matrix'!$AH$4:$AH$76,0))),"")</f>
        <v>Kingfisher Tree Services Ltd</v>
      </c>
      <c r="D15" s="6">
        <f>IFERROR(IF(LARGE('Monthly Matrix'!$AH$4:$AH$76,12)&lt;0,"",INDEX('Monthly Matrix'!$G$4:$G$76,MATCH(LARGE('Monthly Matrix'!$AH$4:$AH$76,12),'Monthly Matrix'!$AH$4:$AH$76,0))),"")</f>
        <v>0</v>
      </c>
      <c r="E15" s="6">
        <f>IFERROR(IF(LARGE('Monthly Matrix'!$AH$4:$AH$76,12)&lt;0,"",INDEX('Monthly Matrix'!$F$4:$F$76,MATCH(LARGE('Monthly Matrix'!$AH$4:$AH$76,12),'Monthly Matrix'!$AH$4:$AH$76,0))),"")</f>
        <v>0</v>
      </c>
      <c r="F15" s="6" t="str">
        <f>IFERROR(IF(LARGE('Monthly Matrix'!$AH$4:$AH$76,12)&lt;0,"",INDEX('Monthly Matrix'!$E$4:$E$76,MATCH(LARGE('Monthly Matrix'!$AH$4:$AH$76,12),'Monthly Matrix'!$AH$4:$AH$76,0))),"")</f>
        <v>Jake Bolwell</v>
      </c>
      <c r="G15" s="6"/>
      <c r="H15" s="6" t="str">
        <f>IF(LARGE('Monthly Matrix'!$AH$4:$AH$76,12)&lt;0,"",'Monthly Matrix'!$AB$3)</f>
        <v>Rank
(high)</v>
      </c>
      <c r="I15" s="6" t="str">
        <f>IF(LARGE('Monthly Matrix'!$AH$4:$AH$76,12)&lt;0,"","HIGH")</f>
        <v>HIGH</v>
      </c>
      <c r="J15" s="6" t="str">
        <f>IFERROR(IF(LARGE('Monthly Matrix'!$AH$4:$AH$76,12)&lt;0,"",INDEX('Monthly Matrix'!$M$4:$M$76,MATCH(LARGE('Monthly Matrix'!$AH$4:$AH$76,12),'Monthly Matrix'!$AH$4:$AH$76,0))),"")</f>
        <v>NO</v>
      </c>
      <c r="K15" s="7"/>
      <c r="L15" s="7"/>
      <c r="M15" s="6"/>
      <c r="N15" s="6" t="str">
        <f>IF(LARGE('Monthly Matrix'!$AH$4:$AH$76,12)&lt;0,"","Open")</f>
        <v>Open</v>
      </c>
      <c r="O15" s="6"/>
      <c r="P15" s="6"/>
      <c r="Q15" s="6"/>
    </row>
    <row r="16" spans="1:17" ht="21.75" customHeight="1" x14ac:dyDescent="0.15">
      <c r="A16" s="10" t="str">
        <f>IF(LARGE('Monthly Matrix'!$AH$4:$AH$76,13)&lt;0,"","IP-013")</f>
        <v>IP-013</v>
      </c>
      <c r="B16" s="10" t="str">
        <f>IFERROR(IF(LARGE('Monthly Matrix'!$AH$4:$AH$76,13)&lt;0,"",INDEX('Monthly Matrix'!$A$4:$A$76,MATCH(LARGE('Monthly Matrix'!$AH$4:$AH$76,13),'Monthly Matrix'!$AH$4:$AH$76,0))),"")</f>
        <v>FT-001</v>
      </c>
      <c r="C16" s="10" t="str">
        <f>IFERROR(IF(LARGE('Monthly Matrix'!$AH$4:$AH$76,13)&lt;0,"",INDEX('Monthly Matrix'!$B$4:$B$76,MATCH(LARGE('Monthly Matrix'!$AH$4:$AH$76,13),'Monthly Matrix'!$AH$4:$AH$76,0))),"")</f>
        <v>Kingfisher Tree Services Ltd</v>
      </c>
      <c r="D16" s="10">
        <f>IFERROR(IF(LARGE('Monthly Matrix'!$AH$4:$AH$76,13)&lt;0,"",INDEX('Monthly Matrix'!$G$4:$G$76,MATCH(LARGE('Monthly Matrix'!$AH$4:$AH$76,13),'Monthly Matrix'!$AH$4:$AH$76,0))),"")</f>
        <v>0</v>
      </c>
      <c r="E16" s="10">
        <f>IFERROR(IF(LARGE('Monthly Matrix'!$AH$4:$AH$76,13)&lt;0,"",INDEX('Monthly Matrix'!$F$4:$F$76,MATCH(LARGE('Monthly Matrix'!$AH$4:$AH$76,13),'Monthly Matrix'!$AH$4:$AH$76,0))),"")</f>
        <v>0</v>
      </c>
      <c r="F16" s="10" t="str">
        <f>IFERROR(IF(LARGE('Monthly Matrix'!$AH$4:$AH$76,13)&lt;0,"",INDEX('Monthly Matrix'!$E$4:$E$76,MATCH(LARGE('Monthly Matrix'!$AH$4:$AH$76,13),'Monthly Matrix'!$AH$4:$AH$76,0))),"")</f>
        <v>Jake Bolwell</v>
      </c>
      <c r="G16" s="10"/>
      <c r="H16" s="10" t="str">
        <f>IF(LARGE('Monthly Matrix'!$AH$4:$AH$76,13)&lt;0,"",'Monthly Matrix'!$AB$3)</f>
        <v>Rank
(high)</v>
      </c>
      <c r="I16" s="10" t="str">
        <f>IF(LARGE('Monthly Matrix'!$AH$4:$AH$76,13)&lt;0,"","HIGH")</f>
        <v>HIGH</v>
      </c>
      <c r="J16" s="10" t="str">
        <f>IFERROR(IF(LARGE('Monthly Matrix'!$AH$4:$AH$76,13)&lt;0,"",INDEX('Monthly Matrix'!$M$4:$M$76,MATCH(LARGE('Monthly Matrix'!$AH$4:$AH$76,13),'Monthly Matrix'!$AH$4:$AH$76,0))),"")</f>
        <v>NO</v>
      </c>
      <c r="K16" s="11"/>
      <c r="L16" s="11"/>
      <c r="M16" s="10"/>
      <c r="N16" s="10" t="str">
        <f>IF(LARGE('Monthly Matrix'!$AH$4:$AH$76,13)&lt;0,"","Open")</f>
        <v>Open</v>
      </c>
      <c r="O16" s="10"/>
      <c r="P16" s="10"/>
      <c r="Q16" s="10"/>
    </row>
    <row r="17" spans="1:17" ht="21.75" customHeight="1" x14ac:dyDescent="0.15">
      <c r="A17" s="6" t="str">
        <f>IF(LARGE('Monthly Matrix'!$AH$4:$AH$76,14)&lt;0,"","IP-014")</f>
        <v>IP-014</v>
      </c>
      <c r="B17" s="6" t="str">
        <f>IFERROR(IF(LARGE('Monthly Matrix'!$AH$4:$AH$76,14)&lt;0,"",INDEX('Monthly Matrix'!$A$4:$A$76,MATCH(LARGE('Monthly Matrix'!$AH$4:$AH$76,14),'Monthly Matrix'!$AH$4:$AH$76,0))),"")</f>
        <v>FT-001</v>
      </c>
      <c r="C17" s="6" t="str">
        <f>IFERROR(IF(LARGE('Monthly Matrix'!$AH$4:$AH$76,14)&lt;0,"",INDEX('Monthly Matrix'!$B$4:$B$76,MATCH(LARGE('Monthly Matrix'!$AH$4:$AH$76,14),'Monthly Matrix'!$AH$4:$AH$76,0))),"")</f>
        <v>Kingfisher Tree Services Ltd</v>
      </c>
      <c r="D17" s="6">
        <f>IFERROR(IF(LARGE('Monthly Matrix'!$AH$4:$AH$76,14)&lt;0,"",INDEX('Monthly Matrix'!$G$4:$G$76,MATCH(LARGE('Monthly Matrix'!$AH$4:$AH$76,14),'Monthly Matrix'!$AH$4:$AH$76,0))),"")</f>
        <v>0</v>
      </c>
      <c r="E17" s="6">
        <f>IFERROR(IF(LARGE('Monthly Matrix'!$AH$4:$AH$76,14)&lt;0,"",INDEX('Monthly Matrix'!$F$4:$F$76,MATCH(LARGE('Monthly Matrix'!$AH$4:$AH$76,14),'Monthly Matrix'!$AH$4:$AH$76,0))),"")</f>
        <v>0</v>
      </c>
      <c r="F17" s="6" t="str">
        <f>IFERROR(IF(LARGE('Monthly Matrix'!$AH$4:$AH$76,14)&lt;0,"",INDEX('Monthly Matrix'!$E$4:$E$76,MATCH(LARGE('Monthly Matrix'!$AH$4:$AH$76,14),'Monthly Matrix'!$AH$4:$AH$76,0))),"")</f>
        <v>Jake Bolwell</v>
      </c>
      <c r="G17" s="6"/>
      <c r="H17" s="6" t="str">
        <f>IF(LARGE('Monthly Matrix'!$AH$4:$AH$76,14)&lt;0,"",'Monthly Matrix'!$AB$3)</f>
        <v>Rank
(high)</v>
      </c>
      <c r="I17" s="6" t="str">
        <f>IF(LARGE('Monthly Matrix'!$AH$4:$AH$76,14)&lt;0,"","HIGH")</f>
        <v>HIGH</v>
      </c>
      <c r="J17" s="6" t="str">
        <f>IFERROR(IF(LARGE('Monthly Matrix'!$AH$4:$AH$76,14)&lt;0,"",INDEX('Monthly Matrix'!$M$4:$M$76,MATCH(LARGE('Monthly Matrix'!$AH$4:$AH$76,14),'Monthly Matrix'!$AH$4:$AH$76,0))),"")</f>
        <v>NO</v>
      </c>
      <c r="K17" s="7"/>
      <c r="L17" s="7"/>
      <c r="M17" s="6"/>
      <c r="N17" s="6" t="str">
        <f>IF(LARGE('Monthly Matrix'!$AH$4:$AH$76,14)&lt;0,"","Open")</f>
        <v>Open</v>
      </c>
      <c r="O17" s="6"/>
      <c r="P17" s="6"/>
      <c r="Q17" s="6"/>
    </row>
    <row r="18" spans="1:17" ht="21.75" customHeight="1" x14ac:dyDescent="0.15">
      <c r="A18" s="10" t="str">
        <f>IF(LARGE('Monthly Matrix'!$AH$4:$AH$76,15)&lt;0,"","IP-015")</f>
        <v>IP-015</v>
      </c>
      <c r="B18" s="10" t="str">
        <f>IFERROR(IF(LARGE('Monthly Matrix'!$AH$4:$AH$76,15)&lt;0,"",INDEX('Monthly Matrix'!$A$4:$A$76,MATCH(LARGE('Monthly Matrix'!$AH$4:$AH$76,15),'Monthly Matrix'!$AH$4:$AH$76,0))),"")</f>
        <v>FT-001</v>
      </c>
      <c r="C18" s="10" t="str">
        <f>IFERROR(IF(LARGE('Monthly Matrix'!$AH$4:$AH$76,15)&lt;0,"",INDEX('Monthly Matrix'!$B$4:$B$76,MATCH(LARGE('Monthly Matrix'!$AH$4:$AH$76,15),'Monthly Matrix'!$AH$4:$AH$76,0))),"")</f>
        <v>Kingfisher Tree Services Ltd</v>
      </c>
      <c r="D18" s="10">
        <f>IFERROR(IF(LARGE('Monthly Matrix'!$AH$4:$AH$76,15)&lt;0,"",INDEX('Monthly Matrix'!$G$4:$G$76,MATCH(LARGE('Monthly Matrix'!$AH$4:$AH$76,15),'Monthly Matrix'!$AH$4:$AH$76,0))),"")</f>
        <v>0</v>
      </c>
      <c r="E18" s="10">
        <f>IFERROR(IF(LARGE('Monthly Matrix'!$AH$4:$AH$76,15)&lt;0,"",INDEX('Monthly Matrix'!$F$4:$F$76,MATCH(LARGE('Monthly Matrix'!$AH$4:$AH$76,15),'Monthly Matrix'!$AH$4:$AH$76,0))),"")</f>
        <v>0</v>
      </c>
      <c r="F18" s="10" t="str">
        <f>IFERROR(IF(LARGE('Monthly Matrix'!$AH$4:$AH$76,15)&lt;0,"",INDEX('Monthly Matrix'!$E$4:$E$76,MATCH(LARGE('Monthly Matrix'!$AH$4:$AH$76,15),'Monthly Matrix'!$AH$4:$AH$76,0))),"")</f>
        <v>Jake Bolwell</v>
      </c>
      <c r="G18" s="10"/>
      <c r="H18" s="10" t="str">
        <f>IF(LARGE('Monthly Matrix'!$AH$4:$AH$76,15)&lt;0,"",'Monthly Matrix'!$AB$3)</f>
        <v>Rank
(high)</v>
      </c>
      <c r="I18" s="10" t="str">
        <f>IF(LARGE('Monthly Matrix'!$AH$4:$AH$76,15)&lt;0,"","HIGH")</f>
        <v>HIGH</v>
      </c>
      <c r="J18" s="10" t="str">
        <f>IFERROR(IF(LARGE('Monthly Matrix'!$AH$4:$AH$76,15)&lt;0,"",INDEX('Monthly Matrix'!$M$4:$M$76,MATCH(LARGE('Monthly Matrix'!$AH$4:$AH$76,15),'Monthly Matrix'!$AH$4:$AH$76,0))),"")</f>
        <v>NO</v>
      </c>
      <c r="K18" s="11"/>
      <c r="L18" s="11"/>
      <c r="M18" s="10"/>
      <c r="N18" s="10" t="str">
        <f>IF(LARGE('Monthly Matrix'!$AH$4:$AH$76,15)&lt;0,"","Open")</f>
        <v>Open</v>
      </c>
      <c r="O18" s="10"/>
      <c r="P18" s="10"/>
      <c r="Q18" s="10"/>
    </row>
    <row r="19" spans="1:17" ht="21.75" customHeight="1" x14ac:dyDescent="0.15">
      <c r="A19" s="6" t="str">
        <f>IF(LARGE('Monthly Matrix'!$AH$4:$AH$76,16)&lt;0,"","IP-016")</f>
        <v>IP-016</v>
      </c>
      <c r="B19" s="6" t="str">
        <f>IFERROR(IF(LARGE('Monthly Matrix'!$AH$4:$AH$76,16)&lt;0,"",INDEX('Monthly Matrix'!$A$4:$A$76,MATCH(LARGE('Monthly Matrix'!$AH$4:$AH$76,16),'Monthly Matrix'!$AH$4:$AH$76,0))),"")</f>
        <v>FT-001</v>
      </c>
      <c r="C19" s="6" t="str">
        <f>IFERROR(IF(LARGE('Monthly Matrix'!$AH$4:$AH$76,16)&lt;0,"",INDEX('Monthly Matrix'!$B$4:$B$76,MATCH(LARGE('Monthly Matrix'!$AH$4:$AH$76,16),'Monthly Matrix'!$AH$4:$AH$76,0))),"")</f>
        <v>Kingfisher Tree Services Ltd</v>
      </c>
      <c r="D19" s="6">
        <f>IFERROR(IF(LARGE('Monthly Matrix'!$AH$4:$AH$76,16)&lt;0,"",INDEX('Monthly Matrix'!$G$4:$G$76,MATCH(LARGE('Monthly Matrix'!$AH$4:$AH$76,16),'Monthly Matrix'!$AH$4:$AH$76,0))),"")</f>
        <v>0</v>
      </c>
      <c r="E19" s="6">
        <f>IFERROR(IF(LARGE('Monthly Matrix'!$AH$4:$AH$76,16)&lt;0,"",INDEX('Monthly Matrix'!$F$4:$F$76,MATCH(LARGE('Monthly Matrix'!$AH$4:$AH$76,16),'Monthly Matrix'!$AH$4:$AH$76,0))),"")</f>
        <v>0</v>
      </c>
      <c r="F19" s="6" t="str">
        <f>IFERROR(IF(LARGE('Monthly Matrix'!$AH$4:$AH$76,16)&lt;0,"",INDEX('Monthly Matrix'!$E$4:$E$76,MATCH(LARGE('Monthly Matrix'!$AH$4:$AH$76,16),'Monthly Matrix'!$AH$4:$AH$76,0))),"")</f>
        <v>Jake Bolwell</v>
      </c>
      <c r="G19" s="6"/>
      <c r="H19" s="6" t="str">
        <f>IF(LARGE('Monthly Matrix'!$AH$4:$AH$76,16)&lt;0,"",'Monthly Matrix'!$AB$3)</f>
        <v>Rank
(high)</v>
      </c>
      <c r="I19" s="6" t="str">
        <f>IF(LARGE('Monthly Matrix'!$AH$4:$AH$76,16)&lt;0,"","HIGH")</f>
        <v>HIGH</v>
      </c>
      <c r="J19" s="6" t="str">
        <f>IFERROR(IF(LARGE('Monthly Matrix'!$AH$4:$AH$76,16)&lt;0,"",INDEX('Monthly Matrix'!$M$4:$M$76,MATCH(LARGE('Monthly Matrix'!$AH$4:$AH$76,16),'Monthly Matrix'!$AH$4:$AH$76,0))),"")</f>
        <v>NO</v>
      </c>
      <c r="K19" s="7"/>
      <c r="L19" s="7"/>
      <c r="M19" s="6"/>
      <c r="N19" s="6" t="str">
        <f>IF(LARGE('Monthly Matrix'!$AH$4:$AH$76,16)&lt;0,"","Open")</f>
        <v>Open</v>
      </c>
      <c r="O19" s="6"/>
      <c r="P19" s="6"/>
      <c r="Q19" s="6"/>
    </row>
    <row r="20" spans="1:17" ht="21.75" customHeight="1" x14ac:dyDescent="0.15">
      <c r="A20" s="10" t="str">
        <f>IF(LARGE('Monthly Matrix'!$AH$4:$AH$76,17)&lt;0,"","IP-017")</f>
        <v>IP-017</v>
      </c>
      <c r="B20" s="10" t="str">
        <f>IFERROR(IF(LARGE('Monthly Matrix'!$AH$4:$AH$76,17)&lt;0,"",INDEX('Monthly Matrix'!$A$4:$A$76,MATCH(LARGE('Monthly Matrix'!$AH$4:$AH$76,17),'Monthly Matrix'!$AH$4:$AH$76,0))),"")</f>
        <v>FT-001</v>
      </c>
      <c r="C20" s="10" t="str">
        <f>IFERROR(IF(LARGE('Monthly Matrix'!$AH$4:$AH$76,17)&lt;0,"",INDEX('Monthly Matrix'!$B$4:$B$76,MATCH(LARGE('Monthly Matrix'!$AH$4:$AH$76,17),'Monthly Matrix'!$AH$4:$AH$76,0))),"")</f>
        <v>Kingfisher Tree Services Ltd</v>
      </c>
      <c r="D20" s="10">
        <f>IFERROR(IF(LARGE('Monthly Matrix'!$AH$4:$AH$76,17)&lt;0,"",INDEX('Monthly Matrix'!$G$4:$G$76,MATCH(LARGE('Monthly Matrix'!$AH$4:$AH$76,17),'Monthly Matrix'!$AH$4:$AH$76,0))),"")</f>
        <v>0</v>
      </c>
      <c r="E20" s="10">
        <f>IFERROR(IF(LARGE('Monthly Matrix'!$AH$4:$AH$76,17)&lt;0,"",INDEX('Monthly Matrix'!$F$4:$F$76,MATCH(LARGE('Monthly Matrix'!$AH$4:$AH$76,17),'Monthly Matrix'!$AH$4:$AH$76,0))),"")</f>
        <v>0</v>
      </c>
      <c r="F20" s="10" t="str">
        <f>IFERROR(IF(LARGE('Monthly Matrix'!$AH$4:$AH$76,17)&lt;0,"",INDEX('Monthly Matrix'!$E$4:$E$76,MATCH(LARGE('Monthly Matrix'!$AH$4:$AH$76,17),'Monthly Matrix'!$AH$4:$AH$76,0))),"")</f>
        <v>Jake Bolwell</v>
      </c>
      <c r="G20" s="10"/>
      <c r="H20" s="10" t="str">
        <f>IF(LARGE('Monthly Matrix'!$AH$4:$AH$76,17)&lt;0,"",'Monthly Matrix'!$AB$3)</f>
        <v>Rank
(high)</v>
      </c>
      <c r="I20" s="10" t="str">
        <f>IF(LARGE('Monthly Matrix'!$AH$4:$AH$76,17)&lt;0,"","HIGH")</f>
        <v>HIGH</v>
      </c>
      <c r="J20" s="10" t="str">
        <f>IFERROR(IF(LARGE('Monthly Matrix'!$AH$4:$AH$76,17)&lt;0,"",INDEX('Monthly Matrix'!$M$4:$M$76,MATCH(LARGE('Monthly Matrix'!$AH$4:$AH$76,17),'Monthly Matrix'!$AH$4:$AH$76,0))),"")</f>
        <v>NO</v>
      </c>
      <c r="K20" s="11"/>
      <c r="L20" s="11"/>
      <c r="M20" s="10"/>
      <c r="N20" s="10" t="str">
        <f>IF(LARGE('Monthly Matrix'!$AH$4:$AH$76,17)&lt;0,"","Open")</f>
        <v>Open</v>
      </c>
      <c r="O20" s="10"/>
      <c r="P20" s="10"/>
      <c r="Q20" s="10"/>
    </row>
    <row r="21" spans="1:17" ht="21.75" customHeight="1" x14ac:dyDescent="0.15">
      <c r="A21" s="6" t="str">
        <f>IF(LARGE('Monthly Matrix'!$AH$4:$AH$76,18)&lt;0,"","IP-018")</f>
        <v>IP-018</v>
      </c>
      <c r="B21" s="6" t="str">
        <f>IFERROR(IF(LARGE('Monthly Matrix'!$AH$4:$AH$76,18)&lt;0,"",INDEX('Monthly Matrix'!$A$4:$A$76,MATCH(LARGE('Monthly Matrix'!$AH$4:$AH$76,18),'Monthly Matrix'!$AH$4:$AH$76,0))),"")</f>
        <v>FT-001</v>
      </c>
      <c r="C21" s="6" t="str">
        <f>IFERROR(IF(LARGE('Monthly Matrix'!$AH$4:$AH$76,18)&lt;0,"",INDEX('Monthly Matrix'!$B$4:$B$76,MATCH(LARGE('Monthly Matrix'!$AH$4:$AH$76,18),'Monthly Matrix'!$AH$4:$AH$76,0))),"")</f>
        <v>Kingfisher Tree Services Ltd</v>
      </c>
      <c r="D21" s="6">
        <f>IFERROR(IF(LARGE('Monthly Matrix'!$AH$4:$AH$76,18)&lt;0,"",INDEX('Monthly Matrix'!$G$4:$G$76,MATCH(LARGE('Monthly Matrix'!$AH$4:$AH$76,18),'Monthly Matrix'!$AH$4:$AH$76,0))),"")</f>
        <v>0</v>
      </c>
      <c r="E21" s="6">
        <f>IFERROR(IF(LARGE('Monthly Matrix'!$AH$4:$AH$76,18)&lt;0,"",INDEX('Monthly Matrix'!$F$4:$F$76,MATCH(LARGE('Monthly Matrix'!$AH$4:$AH$76,18),'Monthly Matrix'!$AH$4:$AH$76,0))),"")</f>
        <v>0</v>
      </c>
      <c r="F21" s="6" t="str">
        <f>IFERROR(IF(LARGE('Monthly Matrix'!$AH$4:$AH$76,18)&lt;0,"",INDEX('Monthly Matrix'!$E$4:$E$76,MATCH(LARGE('Monthly Matrix'!$AH$4:$AH$76,18),'Monthly Matrix'!$AH$4:$AH$76,0))),"")</f>
        <v>Jake Bolwell</v>
      </c>
      <c r="G21" s="6"/>
      <c r="H21" s="6" t="str">
        <f>IF(LARGE('Monthly Matrix'!$AH$4:$AH$76,18)&lt;0,"",'Monthly Matrix'!$AB$3)</f>
        <v>Rank
(high)</v>
      </c>
      <c r="I21" s="6" t="str">
        <f>IF(LARGE('Monthly Matrix'!$AH$4:$AH$76,18)&lt;0,"","HIGH")</f>
        <v>HIGH</v>
      </c>
      <c r="J21" s="6" t="str">
        <f>IFERROR(IF(LARGE('Monthly Matrix'!$AH$4:$AH$76,18)&lt;0,"",INDEX('Monthly Matrix'!$M$4:$M$76,MATCH(LARGE('Monthly Matrix'!$AH$4:$AH$76,18),'Monthly Matrix'!$AH$4:$AH$76,0))),"")</f>
        <v>NO</v>
      </c>
      <c r="K21" s="7"/>
      <c r="L21" s="7"/>
      <c r="M21" s="6"/>
      <c r="N21" s="6" t="str">
        <f>IF(LARGE('Monthly Matrix'!$AH$4:$AH$76,18)&lt;0,"","Open")</f>
        <v>Open</v>
      </c>
      <c r="O21" s="6"/>
      <c r="P21" s="6"/>
      <c r="Q21" s="6"/>
    </row>
    <row r="22" spans="1:17" ht="21.75" customHeight="1" x14ac:dyDescent="0.15">
      <c r="A22" s="10" t="str">
        <f>IF(LARGE('Monthly Matrix'!$AH$4:$AH$76,19)&lt;0,"","IP-019")</f>
        <v>IP-019</v>
      </c>
      <c r="B22" s="10" t="str">
        <f>IFERROR(IF(LARGE('Monthly Matrix'!$AH$4:$AH$76,19)&lt;0,"",INDEX('Monthly Matrix'!$A$4:$A$76,MATCH(LARGE('Monthly Matrix'!$AH$4:$AH$76,19),'Monthly Matrix'!$AH$4:$AH$76,0))),"")</f>
        <v>FT-001</v>
      </c>
      <c r="C22" s="10" t="str">
        <f>IFERROR(IF(LARGE('Monthly Matrix'!$AH$4:$AH$76,19)&lt;0,"",INDEX('Monthly Matrix'!$B$4:$B$76,MATCH(LARGE('Monthly Matrix'!$AH$4:$AH$76,19),'Monthly Matrix'!$AH$4:$AH$76,0))),"")</f>
        <v>Kingfisher Tree Services Ltd</v>
      </c>
      <c r="D22" s="10">
        <f>IFERROR(IF(LARGE('Monthly Matrix'!$AH$4:$AH$76,19)&lt;0,"",INDEX('Monthly Matrix'!$G$4:$G$76,MATCH(LARGE('Monthly Matrix'!$AH$4:$AH$76,19),'Monthly Matrix'!$AH$4:$AH$76,0))),"")</f>
        <v>0</v>
      </c>
      <c r="E22" s="10">
        <f>IFERROR(IF(LARGE('Monthly Matrix'!$AH$4:$AH$76,19)&lt;0,"",INDEX('Monthly Matrix'!$F$4:$F$76,MATCH(LARGE('Monthly Matrix'!$AH$4:$AH$76,19),'Monthly Matrix'!$AH$4:$AH$76,0))),"")</f>
        <v>0</v>
      </c>
      <c r="F22" s="10" t="str">
        <f>IFERROR(IF(LARGE('Monthly Matrix'!$AH$4:$AH$76,19)&lt;0,"",INDEX('Monthly Matrix'!$E$4:$E$76,MATCH(LARGE('Monthly Matrix'!$AH$4:$AH$76,19),'Monthly Matrix'!$AH$4:$AH$76,0))),"")</f>
        <v>Jake Bolwell</v>
      </c>
      <c r="G22" s="10"/>
      <c r="H22" s="10" t="str">
        <f>IF(LARGE('Monthly Matrix'!$AH$4:$AH$76,19)&lt;0,"",'Monthly Matrix'!$AB$3)</f>
        <v>Rank
(high)</v>
      </c>
      <c r="I22" s="10" t="str">
        <f>IF(LARGE('Monthly Matrix'!$AH$4:$AH$76,19)&lt;0,"","HIGH")</f>
        <v>HIGH</v>
      </c>
      <c r="J22" s="10" t="str">
        <f>IFERROR(IF(LARGE('Monthly Matrix'!$AH$4:$AH$76,19)&lt;0,"",INDEX('Monthly Matrix'!$M$4:$M$76,MATCH(LARGE('Monthly Matrix'!$AH$4:$AH$76,19),'Monthly Matrix'!$AH$4:$AH$76,0))),"")</f>
        <v>NO</v>
      </c>
      <c r="K22" s="11"/>
      <c r="L22" s="11"/>
      <c r="M22" s="10"/>
      <c r="N22" s="10" t="str">
        <f>IF(LARGE('Monthly Matrix'!$AH$4:$AH$76,19)&lt;0,"","Open")</f>
        <v>Open</v>
      </c>
      <c r="O22" s="10"/>
      <c r="P22" s="10"/>
      <c r="Q22" s="10"/>
    </row>
    <row r="23" spans="1:17" ht="21.75" customHeight="1" x14ac:dyDescent="0.15">
      <c r="A23" s="6" t="str">
        <f>IF(LARGE('Monthly Matrix'!$AH$4:$AH$76,20)&lt;0,"","IP-020")</f>
        <v>IP-020</v>
      </c>
      <c r="B23" s="6" t="str">
        <f>IFERROR(IF(LARGE('Monthly Matrix'!$AH$4:$AH$76,20)&lt;0,"",INDEX('Monthly Matrix'!$A$4:$A$76,MATCH(LARGE('Monthly Matrix'!$AH$4:$AH$76,20),'Monthly Matrix'!$AH$4:$AH$76,0))),"")</f>
        <v>FT-001</v>
      </c>
      <c r="C23" s="6" t="str">
        <f>IFERROR(IF(LARGE('Monthly Matrix'!$AH$4:$AH$76,20)&lt;0,"",INDEX('Monthly Matrix'!$B$4:$B$76,MATCH(LARGE('Monthly Matrix'!$AH$4:$AH$76,20),'Monthly Matrix'!$AH$4:$AH$76,0))),"")</f>
        <v>Kingfisher Tree Services Ltd</v>
      </c>
      <c r="D23" s="6">
        <f>IFERROR(IF(LARGE('Monthly Matrix'!$AH$4:$AH$76,20)&lt;0,"",INDEX('Monthly Matrix'!$G$4:$G$76,MATCH(LARGE('Monthly Matrix'!$AH$4:$AH$76,20),'Monthly Matrix'!$AH$4:$AH$76,0))),"")</f>
        <v>0</v>
      </c>
      <c r="E23" s="6">
        <f>IFERROR(IF(LARGE('Monthly Matrix'!$AH$4:$AH$76,20)&lt;0,"",INDEX('Monthly Matrix'!$F$4:$F$76,MATCH(LARGE('Monthly Matrix'!$AH$4:$AH$76,20),'Monthly Matrix'!$AH$4:$AH$76,0))),"")</f>
        <v>0</v>
      </c>
      <c r="F23" s="6" t="str">
        <f>IFERROR(IF(LARGE('Monthly Matrix'!$AH$4:$AH$76,20)&lt;0,"",INDEX('Monthly Matrix'!$E$4:$E$76,MATCH(LARGE('Monthly Matrix'!$AH$4:$AH$76,20),'Monthly Matrix'!$AH$4:$AH$76,0))),"")</f>
        <v>Jake Bolwell</v>
      </c>
      <c r="G23" s="6"/>
      <c r="H23" s="6" t="str">
        <f>IF(LARGE('Monthly Matrix'!$AH$4:$AH$76,20)&lt;0,"",'Monthly Matrix'!$AB$3)</f>
        <v>Rank
(high)</v>
      </c>
      <c r="I23" s="6" t="str">
        <f>IF(LARGE('Monthly Matrix'!$AH$4:$AH$76,20)&lt;0,"","HIGH")</f>
        <v>HIGH</v>
      </c>
      <c r="J23" s="6" t="str">
        <f>IFERROR(IF(LARGE('Monthly Matrix'!$AH$4:$AH$76,20)&lt;0,"",INDEX('Monthly Matrix'!$M$4:$M$76,MATCH(LARGE('Monthly Matrix'!$AH$4:$AH$76,20),'Monthly Matrix'!$AH$4:$AH$76,0))),"")</f>
        <v>NO</v>
      </c>
      <c r="K23" s="7"/>
      <c r="L23" s="7"/>
      <c r="M23" s="6"/>
      <c r="N23" s="6" t="str">
        <f>IF(LARGE('Monthly Matrix'!$AH$4:$AH$76,20)&lt;0,"","Open")</f>
        <v>Open</v>
      </c>
      <c r="O23" s="6"/>
      <c r="P23" s="6"/>
      <c r="Q23" s="6"/>
    </row>
    <row r="24" spans="1:17" ht="21.75" customHeight="1" x14ac:dyDescent="0.15">
      <c r="A24" s="10" t="str">
        <f>IF(LARGE('Monthly Matrix'!$AH$4:$AH$76,21)&lt;0,"","IP-021")</f>
        <v>IP-021</v>
      </c>
      <c r="B24" s="10" t="str">
        <f>IFERROR(IF(LARGE('Monthly Matrix'!$AH$4:$AH$76,21)&lt;0,"",INDEX('Monthly Matrix'!$A$4:$A$76,MATCH(LARGE('Monthly Matrix'!$AH$4:$AH$76,21),'Monthly Matrix'!$AH$4:$AH$76,0))),"")</f>
        <v>FT-001</v>
      </c>
      <c r="C24" s="10" t="str">
        <f>IFERROR(IF(LARGE('Monthly Matrix'!$AH$4:$AH$76,21)&lt;0,"",INDEX('Monthly Matrix'!$B$4:$B$76,MATCH(LARGE('Monthly Matrix'!$AH$4:$AH$76,21),'Monthly Matrix'!$AH$4:$AH$76,0))),"")</f>
        <v>Kingfisher Tree Services Ltd</v>
      </c>
      <c r="D24" s="10">
        <f>IFERROR(IF(LARGE('Monthly Matrix'!$AH$4:$AH$76,21)&lt;0,"",INDEX('Monthly Matrix'!$G$4:$G$76,MATCH(LARGE('Monthly Matrix'!$AH$4:$AH$76,21),'Monthly Matrix'!$AH$4:$AH$76,0))),"")</f>
        <v>0</v>
      </c>
      <c r="E24" s="10">
        <f>IFERROR(IF(LARGE('Monthly Matrix'!$AH$4:$AH$76,21)&lt;0,"",INDEX('Monthly Matrix'!$F$4:$F$76,MATCH(LARGE('Monthly Matrix'!$AH$4:$AH$76,21),'Monthly Matrix'!$AH$4:$AH$76,0))),"")</f>
        <v>0</v>
      </c>
      <c r="F24" s="10" t="str">
        <f>IFERROR(IF(LARGE('Monthly Matrix'!$AH$4:$AH$76,21)&lt;0,"",INDEX('Monthly Matrix'!$E$4:$E$76,MATCH(LARGE('Monthly Matrix'!$AH$4:$AH$76,21),'Monthly Matrix'!$AH$4:$AH$76,0))),"")</f>
        <v>Jake Bolwell</v>
      </c>
      <c r="G24" s="10"/>
      <c r="H24" s="10" t="str">
        <f>IF(LARGE('Monthly Matrix'!$AH$4:$AH$76,21)&lt;0,"",'Monthly Matrix'!$AB$3)</f>
        <v>Rank
(high)</v>
      </c>
      <c r="I24" s="10" t="str">
        <f>IF(LARGE('Monthly Matrix'!$AH$4:$AH$76,21)&lt;0,"","HIGH")</f>
        <v>HIGH</v>
      </c>
      <c r="J24" s="10" t="str">
        <f>IFERROR(IF(LARGE('Monthly Matrix'!$AH$4:$AH$76,21)&lt;0,"",INDEX('Monthly Matrix'!$M$4:$M$76,MATCH(LARGE('Monthly Matrix'!$AH$4:$AH$76,21),'Monthly Matrix'!$AH$4:$AH$76,0))),"")</f>
        <v>NO</v>
      </c>
      <c r="K24" s="11"/>
      <c r="L24" s="11"/>
      <c r="M24" s="10"/>
      <c r="N24" s="10" t="str">
        <f>IF(LARGE('Monthly Matrix'!$AH$4:$AH$76,21)&lt;0,"","Open")</f>
        <v>Open</v>
      </c>
      <c r="O24" s="10"/>
      <c r="P24" s="10"/>
      <c r="Q24" s="10"/>
    </row>
    <row r="25" spans="1:17" ht="21.75" customHeight="1" x14ac:dyDescent="0.15">
      <c r="A25" s="6" t="str">
        <f>IF(LARGE('Monthly Matrix'!$AH$4:$AH$76,22)&lt;0,"","IP-022")</f>
        <v>IP-022</v>
      </c>
      <c r="B25" s="6" t="str">
        <f>IFERROR(IF(LARGE('Monthly Matrix'!$AH$4:$AH$76,22)&lt;0,"",INDEX('Monthly Matrix'!$A$4:$A$76,MATCH(LARGE('Monthly Matrix'!$AH$4:$AH$76,22),'Monthly Matrix'!$AH$4:$AH$76,0))),"")</f>
        <v>FT-001</v>
      </c>
      <c r="C25" s="6" t="str">
        <f>IFERROR(IF(LARGE('Monthly Matrix'!$AH$4:$AH$76,22)&lt;0,"",INDEX('Monthly Matrix'!$B$4:$B$76,MATCH(LARGE('Monthly Matrix'!$AH$4:$AH$76,22),'Monthly Matrix'!$AH$4:$AH$76,0))),"")</f>
        <v>Kingfisher Tree Services Ltd</v>
      </c>
      <c r="D25" s="6">
        <f>IFERROR(IF(LARGE('Monthly Matrix'!$AH$4:$AH$76,22)&lt;0,"",INDEX('Monthly Matrix'!$G$4:$G$76,MATCH(LARGE('Monthly Matrix'!$AH$4:$AH$76,22),'Monthly Matrix'!$AH$4:$AH$76,0))),"")</f>
        <v>0</v>
      </c>
      <c r="E25" s="6">
        <f>IFERROR(IF(LARGE('Monthly Matrix'!$AH$4:$AH$76,22)&lt;0,"",INDEX('Monthly Matrix'!$F$4:$F$76,MATCH(LARGE('Monthly Matrix'!$AH$4:$AH$76,22),'Monthly Matrix'!$AH$4:$AH$76,0))),"")</f>
        <v>0</v>
      </c>
      <c r="F25" s="6" t="str">
        <f>IFERROR(IF(LARGE('Monthly Matrix'!$AH$4:$AH$76,22)&lt;0,"",INDEX('Monthly Matrix'!$E$4:$E$76,MATCH(LARGE('Monthly Matrix'!$AH$4:$AH$76,22),'Monthly Matrix'!$AH$4:$AH$76,0))),"")</f>
        <v>Jake Bolwell</v>
      </c>
      <c r="G25" s="6"/>
      <c r="H25" s="6" t="str">
        <f>IF(LARGE('Monthly Matrix'!$AH$4:$AH$76,22)&lt;0,"",'Monthly Matrix'!$AB$3)</f>
        <v>Rank
(high)</v>
      </c>
      <c r="I25" s="6" t="str">
        <f>IF(LARGE('Monthly Matrix'!$AH$4:$AH$76,22)&lt;0,"","HIGH")</f>
        <v>HIGH</v>
      </c>
      <c r="J25" s="6" t="str">
        <f>IFERROR(IF(LARGE('Monthly Matrix'!$AH$4:$AH$76,22)&lt;0,"",INDEX('Monthly Matrix'!$M$4:$M$76,MATCH(LARGE('Monthly Matrix'!$AH$4:$AH$76,22),'Monthly Matrix'!$AH$4:$AH$76,0))),"")</f>
        <v>NO</v>
      </c>
      <c r="K25" s="7"/>
      <c r="L25" s="7"/>
      <c r="M25" s="6"/>
      <c r="N25" s="6" t="str">
        <f>IF(LARGE('Monthly Matrix'!$AH$4:$AH$76,22)&lt;0,"","Open")</f>
        <v>Open</v>
      </c>
      <c r="O25" s="6"/>
      <c r="P25" s="6"/>
      <c r="Q25" s="6"/>
    </row>
    <row r="26" spans="1:17" ht="21.75" customHeight="1" x14ac:dyDescent="0.15">
      <c r="A26" s="10" t="str">
        <f>IF(LARGE('Monthly Matrix'!$AH$4:$AH$76,23)&lt;0,"","IP-023")</f>
        <v>IP-023</v>
      </c>
      <c r="B26" s="10" t="str">
        <f>IFERROR(IF(LARGE('Monthly Matrix'!$AH$4:$AH$76,23)&lt;0,"",INDEX('Monthly Matrix'!$A$4:$A$76,MATCH(LARGE('Monthly Matrix'!$AH$4:$AH$76,23),'Monthly Matrix'!$AH$4:$AH$76,0))),"")</f>
        <v>FT-001</v>
      </c>
      <c r="C26" s="10" t="str">
        <f>IFERROR(IF(LARGE('Monthly Matrix'!$AH$4:$AH$76,23)&lt;0,"",INDEX('Monthly Matrix'!$B$4:$B$76,MATCH(LARGE('Monthly Matrix'!$AH$4:$AH$76,23),'Monthly Matrix'!$AH$4:$AH$76,0))),"")</f>
        <v>Kingfisher Tree Services Ltd</v>
      </c>
      <c r="D26" s="10">
        <f>IFERROR(IF(LARGE('Monthly Matrix'!$AH$4:$AH$76,23)&lt;0,"",INDEX('Monthly Matrix'!$G$4:$G$76,MATCH(LARGE('Monthly Matrix'!$AH$4:$AH$76,23),'Monthly Matrix'!$AH$4:$AH$76,0))),"")</f>
        <v>0</v>
      </c>
      <c r="E26" s="10">
        <f>IFERROR(IF(LARGE('Monthly Matrix'!$AH$4:$AH$76,23)&lt;0,"",INDEX('Monthly Matrix'!$F$4:$F$76,MATCH(LARGE('Monthly Matrix'!$AH$4:$AH$76,23),'Monthly Matrix'!$AH$4:$AH$76,0))),"")</f>
        <v>0</v>
      </c>
      <c r="F26" s="10" t="str">
        <f>IFERROR(IF(LARGE('Monthly Matrix'!$AH$4:$AH$76,23)&lt;0,"",INDEX('Monthly Matrix'!$E$4:$E$76,MATCH(LARGE('Monthly Matrix'!$AH$4:$AH$76,23),'Monthly Matrix'!$AH$4:$AH$76,0))),"")</f>
        <v>Jake Bolwell</v>
      </c>
      <c r="G26" s="10"/>
      <c r="H26" s="10" t="str">
        <f>IF(LARGE('Monthly Matrix'!$AH$4:$AH$76,23)&lt;0,"",'Monthly Matrix'!$AB$3)</f>
        <v>Rank
(high)</v>
      </c>
      <c r="I26" s="10" t="str">
        <f>IF(LARGE('Monthly Matrix'!$AH$4:$AH$76,23)&lt;0,"","HIGH")</f>
        <v>HIGH</v>
      </c>
      <c r="J26" s="10" t="str">
        <f>IFERROR(IF(LARGE('Monthly Matrix'!$AH$4:$AH$76,23)&lt;0,"",INDEX('Monthly Matrix'!$M$4:$M$76,MATCH(LARGE('Monthly Matrix'!$AH$4:$AH$76,23),'Monthly Matrix'!$AH$4:$AH$76,0))),"")</f>
        <v>NO</v>
      </c>
      <c r="K26" s="11"/>
      <c r="L26" s="11"/>
      <c r="M26" s="10"/>
      <c r="N26" s="10" t="str">
        <f>IF(LARGE('Monthly Matrix'!$AH$4:$AH$76,23)&lt;0,"","Open")</f>
        <v>Open</v>
      </c>
      <c r="O26" s="10"/>
      <c r="P26" s="10"/>
      <c r="Q26" s="10"/>
    </row>
    <row r="27" spans="1:17" ht="21.75" customHeight="1" x14ac:dyDescent="0.15">
      <c r="A27" s="6" t="str">
        <f>IF(LARGE('Monthly Matrix'!$AH$4:$AH$76,24)&lt;0,"","IP-024")</f>
        <v>IP-024</v>
      </c>
      <c r="B27" s="6" t="str">
        <f>IFERROR(IF(LARGE('Monthly Matrix'!$AH$4:$AH$76,24)&lt;0,"",INDEX('Monthly Matrix'!$A$4:$A$76,MATCH(LARGE('Monthly Matrix'!$AH$4:$AH$76,24),'Monthly Matrix'!$AH$4:$AH$76,0))),"")</f>
        <v>FT-001</v>
      </c>
      <c r="C27" s="6" t="str">
        <f>IFERROR(IF(LARGE('Monthly Matrix'!$AH$4:$AH$76,24)&lt;0,"",INDEX('Monthly Matrix'!$B$4:$B$76,MATCH(LARGE('Monthly Matrix'!$AH$4:$AH$76,24),'Monthly Matrix'!$AH$4:$AH$76,0))),"")</f>
        <v>Kingfisher Tree Services Ltd</v>
      </c>
      <c r="D27" s="6">
        <f>IFERROR(IF(LARGE('Monthly Matrix'!$AH$4:$AH$76,24)&lt;0,"",INDEX('Monthly Matrix'!$G$4:$G$76,MATCH(LARGE('Monthly Matrix'!$AH$4:$AH$76,24),'Monthly Matrix'!$AH$4:$AH$76,0))),"")</f>
        <v>0</v>
      </c>
      <c r="E27" s="6">
        <f>IFERROR(IF(LARGE('Monthly Matrix'!$AH$4:$AH$76,24)&lt;0,"",INDEX('Monthly Matrix'!$F$4:$F$76,MATCH(LARGE('Monthly Matrix'!$AH$4:$AH$76,24),'Monthly Matrix'!$AH$4:$AH$76,0))),"")</f>
        <v>0</v>
      </c>
      <c r="F27" s="6" t="str">
        <f>IFERROR(IF(LARGE('Monthly Matrix'!$AH$4:$AH$76,24)&lt;0,"",INDEX('Monthly Matrix'!$E$4:$E$76,MATCH(LARGE('Monthly Matrix'!$AH$4:$AH$76,24),'Monthly Matrix'!$AH$4:$AH$76,0))),"")</f>
        <v>Jake Bolwell</v>
      </c>
      <c r="G27" s="6"/>
      <c r="H27" s="6" t="str">
        <f>IF(LARGE('Monthly Matrix'!$AH$4:$AH$76,24)&lt;0,"",'Monthly Matrix'!$AB$3)</f>
        <v>Rank
(high)</v>
      </c>
      <c r="I27" s="6" t="str">
        <f>IF(LARGE('Monthly Matrix'!$AH$4:$AH$76,24)&lt;0,"","HIGH")</f>
        <v>HIGH</v>
      </c>
      <c r="J27" s="6" t="str">
        <f>IFERROR(IF(LARGE('Monthly Matrix'!$AH$4:$AH$76,24)&lt;0,"",INDEX('Monthly Matrix'!$M$4:$M$76,MATCH(LARGE('Monthly Matrix'!$AH$4:$AH$76,24),'Monthly Matrix'!$AH$4:$AH$76,0))),"")</f>
        <v>NO</v>
      </c>
      <c r="K27" s="7"/>
      <c r="L27" s="7"/>
      <c r="M27" s="6"/>
      <c r="N27" s="6" t="str">
        <f>IF(LARGE('Monthly Matrix'!$AH$4:$AH$76,24)&lt;0,"","Open")</f>
        <v>Open</v>
      </c>
      <c r="O27" s="6"/>
      <c r="P27" s="6"/>
      <c r="Q27" s="6"/>
    </row>
    <row r="28" spans="1:17" ht="21.75" customHeight="1" x14ac:dyDescent="0.15">
      <c r="A28" s="10" t="str">
        <f>IF(LARGE('Monthly Matrix'!$AH$4:$AH$76,25)&lt;0,"","IP-025")</f>
        <v>IP-025</v>
      </c>
      <c r="B28" s="10" t="str">
        <f>IFERROR(IF(LARGE('Monthly Matrix'!$AH$4:$AH$76,25)&lt;0,"",INDEX('Monthly Matrix'!$A$4:$A$76,MATCH(LARGE('Monthly Matrix'!$AH$4:$AH$76,25),'Monthly Matrix'!$AH$4:$AH$76,0))),"")</f>
        <v>FT-001</v>
      </c>
      <c r="C28" s="10" t="str">
        <f>IFERROR(IF(LARGE('Monthly Matrix'!$AH$4:$AH$76,25)&lt;0,"",INDEX('Monthly Matrix'!$B$4:$B$76,MATCH(LARGE('Monthly Matrix'!$AH$4:$AH$76,25),'Monthly Matrix'!$AH$4:$AH$76,0))),"")</f>
        <v>Kingfisher Tree Services Ltd</v>
      </c>
      <c r="D28" s="10">
        <f>IFERROR(IF(LARGE('Monthly Matrix'!$AH$4:$AH$76,25)&lt;0,"",INDEX('Monthly Matrix'!$G$4:$G$76,MATCH(LARGE('Monthly Matrix'!$AH$4:$AH$76,25),'Monthly Matrix'!$AH$4:$AH$76,0))),"")</f>
        <v>0</v>
      </c>
      <c r="E28" s="10">
        <f>IFERROR(IF(LARGE('Monthly Matrix'!$AH$4:$AH$76,25)&lt;0,"",INDEX('Monthly Matrix'!$F$4:$F$76,MATCH(LARGE('Monthly Matrix'!$AH$4:$AH$76,25),'Monthly Matrix'!$AH$4:$AH$76,0))),"")</f>
        <v>0</v>
      </c>
      <c r="F28" s="10" t="str">
        <f>IFERROR(IF(LARGE('Monthly Matrix'!$AH$4:$AH$76,25)&lt;0,"",INDEX('Monthly Matrix'!$E$4:$E$76,MATCH(LARGE('Monthly Matrix'!$AH$4:$AH$76,25),'Monthly Matrix'!$AH$4:$AH$76,0))),"")</f>
        <v>Jake Bolwell</v>
      </c>
      <c r="G28" s="10"/>
      <c r="H28" s="10" t="str">
        <f>IF(LARGE('Monthly Matrix'!$AH$4:$AH$76,25)&lt;0,"",'Monthly Matrix'!$AB$3)</f>
        <v>Rank
(high)</v>
      </c>
      <c r="I28" s="10" t="str">
        <f>IF(LARGE('Monthly Matrix'!$AH$4:$AH$76,25)&lt;0,"","HIGH")</f>
        <v>HIGH</v>
      </c>
      <c r="J28" s="10" t="str">
        <f>IFERROR(IF(LARGE('Monthly Matrix'!$AH$4:$AH$76,25)&lt;0,"",INDEX('Monthly Matrix'!$M$4:$M$76,MATCH(LARGE('Monthly Matrix'!$AH$4:$AH$76,25),'Monthly Matrix'!$AH$4:$AH$76,0))),"")</f>
        <v>NO</v>
      </c>
      <c r="K28" s="11"/>
      <c r="L28" s="11"/>
      <c r="M28" s="10"/>
      <c r="N28" s="10" t="str">
        <f>IF(LARGE('Monthly Matrix'!$AH$4:$AH$76,25)&lt;0,"","Open")</f>
        <v>Open</v>
      </c>
      <c r="O28" s="10"/>
      <c r="P28" s="10"/>
      <c r="Q28" s="10"/>
    </row>
    <row r="29" spans="1:17" ht="21.75" customHeight="1" x14ac:dyDescent="0.15">
      <c r="A29" s="6" t="str">
        <f>IF(LARGE('Monthly Matrix'!$AH$4:$AH$76,26)&lt;0,"","IP-026")</f>
        <v>IP-026</v>
      </c>
      <c r="B29" s="6" t="str">
        <f>IFERROR(IF(LARGE('Monthly Matrix'!$AH$4:$AH$76,26)&lt;0,"",INDEX('Monthly Matrix'!$A$4:$A$76,MATCH(LARGE('Monthly Matrix'!$AH$4:$AH$76,26),'Monthly Matrix'!$AH$4:$AH$76,0))),"")</f>
        <v>FT-001</v>
      </c>
      <c r="C29" s="6" t="str">
        <f>IFERROR(IF(LARGE('Monthly Matrix'!$AH$4:$AH$76,26)&lt;0,"",INDEX('Monthly Matrix'!$B$4:$B$76,MATCH(LARGE('Monthly Matrix'!$AH$4:$AH$76,26),'Monthly Matrix'!$AH$4:$AH$76,0))),"")</f>
        <v>Kingfisher Tree Services Ltd</v>
      </c>
      <c r="D29" s="6">
        <f>IFERROR(IF(LARGE('Monthly Matrix'!$AH$4:$AH$76,26)&lt;0,"",INDEX('Monthly Matrix'!$G$4:$G$76,MATCH(LARGE('Monthly Matrix'!$AH$4:$AH$76,26),'Monthly Matrix'!$AH$4:$AH$76,0))),"")</f>
        <v>0</v>
      </c>
      <c r="E29" s="6">
        <f>IFERROR(IF(LARGE('Monthly Matrix'!$AH$4:$AH$76,26)&lt;0,"",INDEX('Monthly Matrix'!$F$4:$F$76,MATCH(LARGE('Monthly Matrix'!$AH$4:$AH$76,26),'Monthly Matrix'!$AH$4:$AH$76,0))),"")</f>
        <v>0</v>
      </c>
      <c r="F29" s="6" t="str">
        <f>IFERROR(IF(LARGE('Monthly Matrix'!$AH$4:$AH$76,26)&lt;0,"",INDEX('Monthly Matrix'!$E$4:$E$76,MATCH(LARGE('Monthly Matrix'!$AH$4:$AH$76,26),'Monthly Matrix'!$AH$4:$AH$76,0))),"")</f>
        <v>Jake Bolwell</v>
      </c>
      <c r="G29" s="6"/>
      <c r="H29" s="6" t="str">
        <f>IF(LARGE('Monthly Matrix'!$AH$4:$AH$76,26)&lt;0,"",'Monthly Matrix'!$AB$3)</f>
        <v>Rank
(high)</v>
      </c>
      <c r="I29" s="6" t="str">
        <f>IF(LARGE('Monthly Matrix'!$AH$4:$AH$76,26)&lt;0,"","HIGH")</f>
        <v>HIGH</v>
      </c>
      <c r="J29" s="6" t="str">
        <f>IFERROR(IF(LARGE('Monthly Matrix'!$AH$4:$AH$76,26)&lt;0,"",INDEX('Monthly Matrix'!$M$4:$M$76,MATCH(LARGE('Monthly Matrix'!$AH$4:$AH$76,26),'Monthly Matrix'!$AH$4:$AH$76,0))),"")</f>
        <v>NO</v>
      </c>
      <c r="K29" s="7"/>
      <c r="L29" s="7"/>
      <c r="M29" s="6"/>
      <c r="N29" s="6" t="str">
        <f>IF(LARGE('Monthly Matrix'!$AH$4:$AH$76,26)&lt;0,"","Open")</f>
        <v>Open</v>
      </c>
      <c r="O29" s="6"/>
      <c r="P29" s="6"/>
      <c r="Q29" s="6"/>
    </row>
    <row r="30" spans="1:17" ht="21.75" customHeight="1" x14ac:dyDescent="0.15">
      <c r="A30" s="10" t="str">
        <f>IF(LARGE('Monthly Matrix'!$AH$4:$AH$76,27)&lt;0,"","IP-027")</f>
        <v>IP-027</v>
      </c>
      <c r="B30" s="10" t="str">
        <f>IFERROR(IF(LARGE('Monthly Matrix'!$AH$4:$AH$76,27)&lt;0,"",INDEX('Monthly Matrix'!$A$4:$A$76,MATCH(LARGE('Monthly Matrix'!$AH$4:$AH$76,27),'Monthly Matrix'!$AH$4:$AH$76,0))),"")</f>
        <v>FT-001</v>
      </c>
      <c r="C30" s="10" t="str">
        <f>IFERROR(IF(LARGE('Monthly Matrix'!$AH$4:$AH$76,27)&lt;0,"",INDEX('Monthly Matrix'!$B$4:$B$76,MATCH(LARGE('Monthly Matrix'!$AH$4:$AH$76,27),'Monthly Matrix'!$AH$4:$AH$76,0))),"")</f>
        <v>Kingfisher Tree Services Ltd</v>
      </c>
      <c r="D30" s="10">
        <f>IFERROR(IF(LARGE('Monthly Matrix'!$AH$4:$AH$76,27)&lt;0,"",INDEX('Monthly Matrix'!$G$4:$G$76,MATCH(LARGE('Monthly Matrix'!$AH$4:$AH$76,27),'Monthly Matrix'!$AH$4:$AH$76,0))),"")</f>
        <v>0</v>
      </c>
      <c r="E30" s="10">
        <f>IFERROR(IF(LARGE('Monthly Matrix'!$AH$4:$AH$76,27)&lt;0,"",INDEX('Monthly Matrix'!$F$4:$F$76,MATCH(LARGE('Monthly Matrix'!$AH$4:$AH$76,27),'Monthly Matrix'!$AH$4:$AH$76,0))),"")</f>
        <v>0</v>
      </c>
      <c r="F30" s="10" t="str">
        <f>IFERROR(IF(LARGE('Monthly Matrix'!$AH$4:$AH$76,27)&lt;0,"",INDEX('Monthly Matrix'!$E$4:$E$76,MATCH(LARGE('Monthly Matrix'!$AH$4:$AH$76,27),'Monthly Matrix'!$AH$4:$AH$76,0))),"")</f>
        <v>Jake Bolwell</v>
      </c>
      <c r="G30" s="10"/>
      <c r="H30" s="10" t="str">
        <f>IF(LARGE('Monthly Matrix'!$AH$4:$AH$76,27)&lt;0,"",'Monthly Matrix'!$AB$3)</f>
        <v>Rank
(high)</v>
      </c>
      <c r="I30" s="10" t="str">
        <f>IF(LARGE('Monthly Matrix'!$AH$4:$AH$76,27)&lt;0,"","HIGH")</f>
        <v>HIGH</v>
      </c>
      <c r="J30" s="10" t="str">
        <f>IFERROR(IF(LARGE('Monthly Matrix'!$AH$4:$AH$76,27)&lt;0,"",INDEX('Monthly Matrix'!$M$4:$M$76,MATCH(LARGE('Monthly Matrix'!$AH$4:$AH$76,27),'Monthly Matrix'!$AH$4:$AH$76,0))),"")</f>
        <v>NO</v>
      </c>
      <c r="K30" s="11"/>
      <c r="L30" s="11"/>
      <c r="M30" s="10"/>
      <c r="N30" s="10" t="str">
        <f>IF(LARGE('Monthly Matrix'!$AH$4:$AH$76,27)&lt;0,"","Open")</f>
        <v>Open</v>
      </c>
      <c r="O30" s="10"/>
      <c r="P30" s="10"/>
      <c r="Q30" s="10"/>
    </row>
    <row r="31" spans="1:17" ht="21.75" customHeight="1" x14ac:dyDescent="0.15">
      <c r="A31" s="6" t="str">
        <f>IF(LARGE('Monthly Matrix'!$AH$4:$AH$76,28)&lt;0,"","IP-028")</f>
        <v>IP-028</v>
      </c>
      <c r="B31" s="6" t="str">
        <f>IFERROR(IF(LARGE('Monthly Matrix'!$AH$4:$AH$76,28)&lt;0,"",INDEX('Monthly Matrix'!$A$4:$A$76,MATCH(LARGE('Monthly Matrix'!$AH$4:$AH$76,28),'Monthly Matrix'!$AH$4:$AH$76,0))),"")</f>
        <v>FT-001</v>
      </c>
      <c r="C31" s="6" t="str">
        <f>IFERROR(IF(LARGE('Monthly Matrix'!$AH$4:$AH$76,28)&lt;0,"",INDEX('Monthly Matrix'!$B$4:$B$76,MATCH(LARGE('Monthly Matrix'!$AH$4:$AH$76,28),'Monthly Matrix'!$AH$4:$AH$76,0))),"")</f>
        <v>Kingfisher Tree Services Ltd</v>
      </c>
      <c r="D31" s="6">
        <f>IFERROR(IF(LARGE('Monthly Matrix'!$AH$4:$AH$76,28)&lt;0,"",INDEX('Monthly Matrix'!$G$4:$G$76,MATCH(LARGE('Monthly Matrix'!$AH$4:$AH$76,28),'Monthly Matrix'!$AH$4:$AH$76,0))),"")</f>
        <v>0</v>
      </c>
      <c r="E31" s="6">
        <f>IFERROR(IF(LARGE('Monthly Matrix'!$AH$4:$AH$76,28)&lt;0,"",INDEX('Monthly Matrix'!$F$4:$F$76,MATCH(LARGE('Monthly Matrix'!$AH$4:$AH$76,28),'Monthly Matrix'!$AH$4:$AH$76,0))),"")</f>
        <v>0</v>
      </c>
      <c r="F31" s="6" t="str">
        <f>IFERROR(IF(LARGE('Monthly Matrix'!$AH$4:$AH$76,28)&lt;0,"",INDEX('Monthly Matrix'!$E$4:$E$76,MATCH(LARGE('Monthly Matrix'!$AH$4:$AH$76,28),'Monthly Matrix'!$AH$4:$AH$76,0))),"")</f>
        <v>Jake Bolwell</v>
      </c>
      <c r="G31" s="6"/>
      <c r="H31" s="6" t="str">
        <f>IF(LARGE('Monthly Matrix'!$AH$4:$AH$76,28)&lt;0,"",'Monthly Matrix'!$AB$3)</f>
        <v>Rank
(high)</v>
      </c>
      <c r="I31" s="6" t="str">
        <f>IF(LARGE('Monthly Matrix'!$AH$4:$AH$76,28)&lt;0,"","HIGH")</f>
        <v>HIGH</v>
      </c>
      <c r="J31" s="6" t="str">
        <f>IFERROR(IF(LARGE('Monthly Matrix'!$AH$4:$AH$76,28)&lt;0,"",INDEX('Monthly Matrix'!$M$4:$M$76,MATCH(LARGE('Monthly Matrix'!$AH$4:$AH$76,28),'Monthly Matrix'!$AH$4:$AH$76,0))),"")</f>
        <v>NO</v>
      </c>
      <c r="K31" s="7"/>
      <c r="L31" s="7"/>
      <c r="M31" s="6"/>
      <c r="N31" s="6" t="str">
        <f>IF(LARGE('Monthly Matrix'!$AH$4:$AH$76,28)&lt;0,"","Open")</f>
        <v>Open</v>
      </c>
      <c r="O31" s="6"/>
      <c r="P31" s="6"/>
      <c r="Q31" s="6"/>
    </row>
    <row r="32" spans="1:17" ht="21.75" customHeight="1" x14ac:dyDescent="0.15">
      <c r="A32" s="10" t="str">
        <f>IF(LARGE('Monthly Matrix'!$AH$4:$AH$76,29)&lt;0,"","IP-029")</f>
        <v>IP-029</v>
      </c>
      <c r="B32" s="10" t="str">
        <f>IFERROR(IF(LARGE('Monthly Matrix'!$AH$4:$AH$76,29)&lt;0,"",INDEX('Monthly Matrix'!$A$4:$A$76,MATCH(LARGE('Monthly Matrix'!$AH$4:$AH$76,29),'Monthly Matrix'!$AH$4:$AH$76,0))),"")</f>
        <v>FT-001</v>
      </c>
      <c r="C32" s="10" t="str">
        <f>IFERROR(IF(LARGE('Monthly Matrix'!$AH$4:$AH$76,29)&lt;0,"",INDEX('Monthly Matrix'!$B$4:$B$76,MATCH(LARGE('Monthly Matrix'!$AH$4:$AH$76,29),'Monthly Matrix'!$AH$4:$AH$76,0))),"")</f>
        <v>Kingfisher Tree Services Ltd</v>
      </c>
      <c r="D32" s="10">
        <f>IFERROR(IF(LARGE('Monthly Matrix'!$AH$4:$AH$76,29)&lt;0,"",INDEX('Monthly Matrix'!$G$4:$G$76,MATCH(LARGE('Monthly Matrix'!$AH$4:$AH$76,29),'Monthly Matrix'!$AH$4:$AH$76,0))),"")</f>
        <v>0</v>
      </c>
      <c r="E32" s="10">
        <f>IFERROR(IF(LARGE('Monthly Matrix'!$AH$4:$AH$76,29)&lt;0,"",INDEX('Monthly Matrix'!$F$4:$F$76,MATCH(LARGE('Monthly Matrix'!$AH$4:$AH$76,29),'Monthly Matrix'!$AH$4:$AH$76,0))),"")</f>
        <v>0</v>
      </c>
      <c r="F32" s="10" t="str">
        <f>IFERROR(IF(LARGE('Monthly Matrix'!$AH$4:$AH$76,29)&lt;0,"",INDEX('Monthly Matrix'!$E$4:$E$76,MATCH(LARGE('Monthly Matrix'!$AH$4:$AH$76,29),'Monthly Matrix'!$AH$4:$AH$76,0))),"")</f>
        <v>Jake Bolwell</v>
      </c>
      <c r="G32" s="10"/>
      <c r="H32" s="10" t="str">
        <f>IF(LARGE('Monthly Matrix'!$AH$4:$AH$76,29)&lt;0,"",'Monthly Matrix'!$AB$3)</f>
        <v>Rank
(high)</v>
      </c>
      <c r="I32" s="10" t="str">
        <f>IF(LARGE('Monthly Matrix'!$AH$4:$AH$76,29)&lt;0,"","HIGH")</f>
        <v>HIGH</v>
      </c>
      <c r="J32" s="10" t="str">
        <f>IFERROR(IF(LARGE('Monthly Matrix'!$AH$4:$AH$76,29)&lt;0,"",INDEX('Monthly Matrix'!$M$4:$M$76,MATCH(LARGE('Monthly Matrix'!$AH$4:$AH$76,29),'Monthly Matrix'!$AH$4:$AH$76,0))),"")</f>
        <v>NO</v>
      </c>
      <c r="K32" s="11"/>
      <c r="L32" s="11"/>
      <c r="M32" s="10"/>
      <c r="N32" s="10" t="str">
        <f>IF(LARGE('Monthly Matrix'!$AH$4:$AH$76,29)&lt;0,"","Open")</f>
        <v>Open</v>
      </c>
      <c r="O32" s="10"/>
      <c r="P32" s="10"/>
      <c r="Q32" s="10"/>
    </row>
    <row r="33" spans="1:17" ht="21.75" customHeight="1" x14ac:dyDescent="0.15">
      <c r="A33" s="6" t="str">
        <f>IF(LARGE('Monthly Matrix'!$AH$4:$AH$76,30)&lt;0,"","IP-030")</f>
        <v>IP-030</v>
      </c>
      <c r="B33" s="6" t="str">
        <f>IFERROR(IF(LARGE('Monthly Matrix'!$AH$4:$AH$76,30)&lt;0,"",INDEX('Monthly Matrix'!$A$4:$A$76,MATCH(LARGE('Monthly Matrix'!$AH$4:$AH$76,30),'Monthly Matrix'!$AH$4:$AH$76,0))),"")</f>
        <v>FT-001</v>
      </c>
      <c r="C33" s="6" t="str">
        <f>IFERROR(IF(LARGE('Monthly Matrix'!$AH$4:$AH$76,30)&lt;0,"",INDEX('Monthly Matrix'!$B$4:$B$76,MATCH(LARGE('Monthly Matrix'!$AH$4:$AH$76,30),'Monthly Matrix'!$AH$4:$AH$76,0))),"")</f>
        <v>Kingfisher Tree Services Ltd</v>
      </c>
      <c r="D33" s="6">
        <f>IFERROR(IF(LARGE('Monthly Matrix'!$AH$4:$AH$76,30)&lt;0,"",INDEX('Monthly Matrix'!$G$4:$G$76,MATCH(LARGE('Monthly Matrix'!$AH$4:$AH$76,30),'Monthly Matrix'!$AH$4:$AH$76,0))),"")</f>
        <v>0</v>
      </c>
      <c r="E33" s="6">
        <f>IFERROR(IF(LARGE('Monthly Matrix'!$AH$4:$AH$76,30)&lt;0,"",INDEX('Monthly Matrix'!$F$4:$F$76,MATCH(LARGE('Monthly Matrix'!$AH$4:$AH$76,30),'Monthly Matrix'!$AH$4:$AH$76,0))),"")</f>
        <v>0</v>
      </c>
      <c r="F33" s="6" t="str">
        <f>IFERROR(IF(LARGE('Monthly Matrix'!$AH$4:$AH$76,30)&lt;0,"",INDEX('Monthly Matrix'!$E$4:$E$76,MATCH(LARGE('Monthly Matrix'!$AH$4:$AH$76,30),'Monthly Matrix'!$AH$4:$AH$76,0))),"")</f>
        <v>Jake Bolwell</v>
      </c>
      <c r="G33" s="6"/>
      <c r="H33" s="6" t="str">
        <f>IF(LARGE('Monthly Matrix'!$AH$4:$AH$76,30)&lt;0,"",'Monthly Matrix'!$AB$3)</f>
        <v>Rank
(high)</v>
      </c>
      <c r="I33" s="6" t="str">
        <f>IF(LARGE('Monthly Matrix'!$AH$4:$AH$76,30)&lt;0,"","HIGH")</f>
        <v>HIGH</v>
      </c>
      <c r="J33" s="6" t="str">
        <f>IFERROR(IF(LARGE('Monthly Matrix'!$AH$4:$AH$76,30)&lt;0,"",INDEX('Monthly Matrix'!$M$4:$M$76,MATCH(LARGE('Monthly Matrix'!$AH$4:$AH$76,30),'Monthly Matrix'!$AH$4:$AH$76,0))),"")</f>
        <v>NO</v>
      </c>
      <c r="K33" s="7"/>
      <c r="L33" s="7"/>
      <c r="M33" s="6"/>
      <c r="N33" s="6" t="str">
        <f>IF(LARGE('Monthly Matrix'!$AH$4:$AH$76,30)&lt;0,"","Open")</f>
        <v>Open</v>
      </c>
      <c r="O33" s="6"/>
      <c r="P33" s="6"/>
      <c r="Q33" s="6"/>
    </row>
    <row r="34" spans="1:17" ht="21.75" customHeight="1" x14ac:dyDescent="0.15">
      <c r="A34" s="10" t="str">
        <f>IF(LARGE('Monthly Matrix'!$AH$4:$AH$76,31)&lt;0,"","IP-031")</f>
        <v>IP-031</v>
      </c>
      <c r="B34" s="10" t="str">
        <f>IFERROR(IF(LARGE('Monthly Matrix'!$AH$4:$AH$76,31)&lt;0,"",INDEX('Monthly Matrix'!$A$4:$A$76,MATCH(LARGE('Monthly Matrix'!$AH$4:$AH$76,31),'Monthly Matrix'!$AH$4:$AH$76,0))),"")</f>
        <v>FT-001</v>
      </c>
      <c r="C34" s="10" t="str">
        <f>IFERROR(IF(LARGE('Monthly Matrix'!$AH$4:$AH$76,31)&lt;0,"",INDEX('Monthly Matrix'!$B$4:$B$76,MATCH(LARGE('Monthly Matrix'!$AH$4:$AH$76,31),'Monthly Matrix'!$AH$4:$AH$76,0))),"")</f>
        <v>Kingfisher Tree Services Ltd</v>
      </c>
      <c r="D34" s="10">
        <f>IFERROR(IF(LARGE('Monthly Matrix'!$AH$4:$AH$76,31)&lt;0,"",INDEX('Monthly Matrix'!$G$4:$G$76,MATCH(LARGE('Monthly Matrix'!$AH$4:$AH$76,31),'Monthly Matrix'!$AH$4:$AH$76,0))),"")</f>
        <v>0</v>
      </c>
      <c r="E34" s="10">
        <f>IFERROR(IF(LARGE('Monthly Matrix'!$AH$4:$AH$76,31)&lt;0,"",INDEX('Monthly Matrix'!$F$4:$F$76,MATCH(LARGE('Monthly Matrix'!$AH$4:$AH$76,31),'Monthly Matrix'!$AH$4:$AH$76,0))),"")</f>
        <v>0</v>
      </c>
      <c r="F34" s="10" t="str">
        <f>IFERROR(IF(LARGE('Monthly Matrix'!$AH$4:$AH$76,31)&lt;0,"",INDEX('Monthly Matrix'!$E$4:$E$76,MATCH(LARGE('Monthly Matrix'!$AH$4:$AH$76,31),'Monthly Matrix'!$AH$4:$AH$76,0))),"")</f>
        <v>Jake Bolwell</v>
      </c>
      <c r="G34" s="10"/>
      <c r="H34" s="10" t="str">
        <f>IF(LARGE('Monthly Matrix'!$AH$4:$AH$76,31)&lt;0,"",'Monthly Matrix'!$AB$3)</f>
        <v>Rank
(high)</v>
      </c>
      <c r="I34" s="10" t="str">
        <f>IF(LARGE('Monthly Matrix'!$AH$4:$AH$76,31)&lt;0,"","HIGH")</f>
        <v>HIGH</v>
      </c>
      <c r="J34" s="10" t="str">
        <f>IFERROR(IF(LARGE('Monthly Matrix'!$AH$4:$AH$76,31)&lt;0,"",INDEX('Monthly Matrix'!$M$4:$M$76,MATCH(LARGE('Monthly Matrix'!$AH$4:$AH$76,31),'Monthly Matrix'!$AH$4:$AH$76,0))),"")</f>
        <v>NO</v>
      </c>
      <c r="K34" s="11"/>
      <c r="L34" s="11"/>
      <c r="M34" s="10"/>
      <c r="N34" s="10" t="str">
        <f>IF(LARGE('Monthly Matrix'!$AH$4:$AH$76,31)&lt;0,"","Open")</f>
        <v>Open</v>
      </c>
      <c r="O34" s="10"/>
      <c r="P34" s="10"/>
      <c r="Q34" s="10"/>
    </row>
    <row r="35" spans="1:17" ht="21.75" customHeight="1" x14ac:dyDescent="0.15">
      <c r="A35" s="6" t="str">
        <f>IF(LARGE('Monthly Matrix'!$AH$4:$AH$76,32)&lt;0,"","IP-032")</f>
        <v>IP-032</v>
      </c>
      <c r="B35" s="6" t="str">
        <f>IFERROR(IF(LARGE('Monthly Matrix'!$AH$4:$AH$76,32)&lt;0,"",INDEX('Monthly Matrix'!$A$4:$A$76,MATCH(LARGE('Monthly Matrix'!$AH$4:$AH$76,32),'Monthly Matrix'!$AH$4:$AH$76,0))),"")</f>
        <v>FT-001</v>
      </c>
      <c r="C35" s="6" t="str">
        <f>IFERROR(IF(LARGE('Monthly Matrix'!$AH$4:$AH$76,32)&lt;0,"",INDEX('Monthly Matrix'!$B$4:$B$76,MATCH(LARGE('Monthly Matrix'!$AH$4:$AH$76,32),'Monthly Matrix'!$AH$4:$AH$76,0))),"")</f>
        <v>Kingfisher Tree Services Ltd</v>
      </c>
      <c r="D35" s="6">
        <f>IFERROR(IF(LARGE('Monthly Matrix'!$AH$4:$AH$76,32)&lt;0,"",INDEX('Monthly Matrix'!$G$4:$G$76,MATCH(LARGE('Monthly Matrix'!$AH$4:$AH$76,32),'Monthly Matrix'!$AH$4:$AH$76,0))),"")</f>
        <v>0</v>
      </c>
      <c r="E35" s="6">
        <f>IFERROR(IF(LARGE('Monthly Matrix'!$AH$4:$AH$76,32)&lt;0,"",INDEX('Monthly Matrix'!$F$4:$F$76,MATCH(LARGE('Monthly Matrix'!$AH$4:$AH$76,32),'Monthly Matrix'!$AH$4:$AH$76,0))),"")</f>
        <v>0</v>
      </c>
      <c r="F35" s="6" t="str">
        <f>IFERROR(IF(LARGE('Monthly Matrix'!$AH$4:$AH$76,32)&lt;0,"",INDEX('Monthly Matrix'!$E$4:$E$76,MATCH(LARGE('Monthly Matrix'!$AH$4:$AH$76,32),'Monthly Matrix'!$AH$4:$AH$76,0))),"")</f>
        <v>Jake Bolwell</v>
      </c>
      <c r="G35" s="6"/>
      <c r="H35" s="6" t="str">
        <f>IF(LARGE('Monthly Matrix'!$AH$4:$AH$76,32)&lt;0,"",'Monthly Matrix'!$AB$3)</f>
        <v>Rank
(high)</v>
      </c>
      <c r="I35" s="6" t="str">
        <f>IF(LARGE('Monthly Matrix'!$AH$4:$AH$76,32)&lt;0,"","HIGH")</f>
        <v>HIGH</v>
      </c>
      <c r="J35" s="6" t="str">
        <f>IFERROR(IF(LARGE('Monthly Matrix'!$AH$4:$AH$76,32)&lt;0,"",INDEX('Monthly Matrix'!$M$4:$M$76,MATCH(LARGE('Monthly Matrix'!$AH$4:$AH$76,32),'Monthly Matrix'!$AH$4:$AH$76,0))),"")</f>
        <v>NO</v>
      </c>
      <c r="K35" s="7"/>
      <c r="L35" s="7"/>
      <c r="M35" s="6"/>
      <c r="N35" s="6" t="str">
        <f>IF(LARGE('Monthly Matrix'!$AH$4:$AH$76,32)&lt;0,"","Open")</f>
        <v>Open</v>
      </c>
      <c r="O35" s="6"/>
      <c r="P35" s="6"/>
      <c r="Q35" s="6"/>
    </row>
    <row r="36" spans="1:17" ht="21.75" customHeight="1" x14ac:dyDescent="0.15">
      <c r="A36" s="10" t="str">
        <f>IF(LARGE('Monthly Matrix'!$AH$4:$AH$76,33)&lt;0,"","IP-033")</f>
        <v>IP-033</v>
      </c>
      <c r="B36" s="10" t="str">
        <f>IFERROR(IF(LARGE('Monthly Matrix'!$AH$4:$AH$76,33)&lt;0,"",INDEX('Monthly Matrix'!$A$4:$A$76,MATCH(LARGE('Monthly Matrix'!$AH$4:$AH$76,33),'Monthly Matrix'!$AH$4:$AH$76,0))),"")</f>
        <v>FT-001</v>
      </c>
      <c r="C36" s="10" t="str">
        <f>IFERROR(IF(LARGE('Monthly Matrix'!$AH$4:$AH$76,33)&lt;0,"",INDEX('Monthly Matrix'!$B$4:$B$76,MATCH(LARGE('Monthly Matrix'!$AH$4:$AH$76,33),'Monthly Matrix'!$AH$4:$AH$76,0))),"")</f>
        <v>Kingfisher Tree Services Ltd</v>
      </c>
      <c r="D36" s="10">
        <f>IFERROR(IF(LARGE('Monthly Matrix'!$AH$4:$AH$76,33)&lt;0,"",INDEX('Monthly Matrix'!$G$4:$G$76,MATCH(LARGE('Monthly Matrix'!$AH$4:$AH$76,33),'Monthly Matrix'!$AH$4:$AH$76,0))),"")</f>
        <v>0</v>
      </c>
      <c r="E36" s="10">
        <f>IFERROR(IF(LARGE('Monthly Matrix'!$AH$4:$AH$76,33)&lt;0,"",INDEX('Monthly Matrix'!$F$4:$F$76,MATCH(LARGE('Monthly Matrix'!$AH$4:$AH$76,33),'Monthly Matrix'!$AH$4:$AH$76,0))),"")</f>
        <v>0</v>
      </c>
      <c r="F36" s="10" t="str">
        <f>IFERROR(IF(LARGE('Monthly Matrix'!$AH$4:$AH$76,33)&lt;0,"",INDEX('Monthly Matrix'!$E$4:$E$76,MATCH(LARGE('Monthly Matrix'!$AH$4:$AH$76,33),'Monthly Matrix'!$AH$4:$AH$76,0))),"")</f>
        <v>Jake Bolwell</v>
      </c>
      <c r="G36" s="10"/>
      <c r="H36" s="10" t="str">
        <f>IF(LARGE('Monthly Matrix'!$AH$4:$AH$76,33)&lt;0,"",'Monthly Matrix'!$AB$3)</f>
        <v>Rank
(high)</v>
      </c>
      <c r="I36" s="10" t="str">
        <f>IF(LARGE('Monthly Matrix'!$AH$4:$AH$76,33)&lt;0,"","HIGH")</f>
        <v>HIGH</v>
      </c>
      <c r="J36" s="10" t="str">
        <f>IFERROR(IF(LARGE('Monthly Matrix'!$AH$4:$AH$76,33)&lt;0,"",INDEX('Monthly Matrix'!$M$4:$M$76,MATCH(LARGE('Monthly Matrix'!$AH$4:$AH$76,33),'Monthly Matrix'!$AH$4:$AH$76,0))),"")</f>
        <v>NO</v>
      </c>
      <c r="K36" s="11"/>
      <c r="L36" s="11"/>
      <c r="M36" s="10"/>
      <c r="N36" s="10" t="str">
        <f>IF(LARGE('Monthly Matrix'!$AH$4:$AH$76,33)&lt;0,"","Open")</f>
        <v>Open</v>
      </c>
      <c r="O36" s="10"/>
      <c r="P36" s="10"/>
      <c r="Q36" s="10"/>
    </row>
    <row r="37" spans="1:17" ht="21.75" customHeight="1" x14ac:dyDescent="0.15">
      <c r="A37" s="6" t="str">
        <f>IF(LARGE('Monthly Matrix'!$AH$4:$AH$76,34)&lt;0,"","IP-034")</f>
        <v>IP-034</v>
      </c>
      <c r="B37" s="6" t="str">
        <f>IFERROR(IF(LARGE('Monthly Matrix'!$AH$4:$AH$76,34)&lt;0,"",INDEX('Monthly Matrix'!$A$4:$A$76,MATCH(LARGE('Monthly Matrix'!$AH$4:$AH$76,34),'Monthly Matrix'!$AH$4:$AH$76,0))),"")</f>
        <v>FT-001</v>
      </c>
      <c r="C37" s="6" t="str">
        <f>IFERROR(IF(LARGE('Monthly Matrix'!$AH$4:$AH$76,34)&lt;0,"",INDEX('Monthly Matrix'!$B$4:$B$76,MATCH(LARGE('Monthly Matrix'!$AH$4:$AH$76,34),'Monthly Matrix'!$AH$4:$AH$76,0))),"")</f>
        <v>Kingfisher Tree Services Ltd</v>
      </c>
      <c r="D37" s="6">
        <f>IFERROR(IF(LARGE('Monthly Matrix'!$AH$4:$AH$76,34)&lt;0,"",INDEX('Monthly Matrix'!$G$4:$G$76,MATCH(LARGE('Monthly Matrix'!$AH$4:$AH$76,34),'Monthly Matrix'!$AH$4:$AH$76,0))),"")</f>
        <v>0</v>
      </c>
      <c r="E37" s="6">
        <f>IFERROR(IF(LARGE('Monthly Matrix'!$AH$4:$AH$76,34)&lt;0,"",INDEX('Monthly Matrix'!$F$4:$F$76,MATCH(LARGE('Monthly Matrix'!$AH$4:$AH$76,34),'Monthly Matrix'!$AH$4:$AH$76,0))),"")</f>
        <v>0</v>
      </c>
      <c r="F37" s="6" t="str">
        <f>IFERROR(IF(LARGE('Monthly Matrix'!$AH$4:$AH$76,34)&lt;0,"",INDEX('Monthly Matrix'!$E$4:$E$76,MATCH(LARGE('Monthly Matrix'!$AH$4:$AH$76,34),'Monthly Matrix'!$AH$4:$AH$76,0))),"")</f>
        <v>Jake Bolwell</v>
      </c>
      <c r="G37" s="6"/>
      <c r="H37" s="6" t="str">
        <f>IF(LARGE('Monthly Matrix'!$AH$4:$AH$76,34)&lt;0,"",'Monthly Matrix'!$AB$3)</f>
        <v>Rank
(high)</v>
      </c>
      <c r="I37" s="6" t="str">
        <f>IF(LARGE('Monthly Matrix'!$AH$4:$AH$76,34)&lt;0,"","HIGH")</f>
        <v>HIGH</v>
      </c>
      <c r="J37" s="6" t="str">
        <f>IFERROR(IF(LARGE('Monthly Matrix'!$AH$4:$AH$76,34)&lt;0,"",INDEX('Monthly Matrix'!$M$4:$M$76,MATCH(LARGE('Monthly Matrix'!$AH$4:$AH$76,34),'Monthly Matrix'!$AH$4:$AH$76,0))),"")</f>
        <v>NO</v>
      </c>
      <c r="K37" s="7"/>
      <c r="L37" s="7"/>
      <c r="M37" s="6"/>
      <c r="N37" s="6" t="str">
        <f>IF(LARGE('Monthly Matrix'!$AH$4:$AH$76,34)&lt;0,"","Open")</f>
        <v>Open</v>
      </c>
      <c r="O37" s="6"/>
      <c r="P37" s="6"/>
      <c r="Q37" s="6"/>
    </row>
    <row r="38" spans="1:17" ht="21.75" customHeight="1" x14ac:dyDescent="0.15">
      <c r="A38" s="10" t="str">
        <f>IF(LARGE('Monthly Matrix'!$AH$4:$AH$76,35)&lt;0,"","IP-035")</f>
        <v>IP-035</v>
      </c>
      <c r="B38" s="10" t="str">
        <f>IFERROR(IF(LARGE('Monthly Matrix'!$AH$4:$AH$76,35)&lt;0,"",INDEX('Monthly Matrix'!$A$4:$A$76,MATCH(LARGE('Monthly Matrix'!$AH$4:$AH$76,35),'Monthly Matrix'!$AH$4:$AH$76,0))),"")</f>
        <v>FT-001</v>
      </c>
      <c r="C38" s="10" t="str">
        <f>IFERROR(IF(LARGE('Monthly Matrix'!$AH$4:$AH$76,35)&lt;0,"",INDEX('Monthly Matrix'!$B$4:$B$76,MATCH(LARGE('Monthly Matrix'!$AH$4:$AH$76,35),'Monthly Matrix'!$AH$4:$AH$76,0))),"")</f>
        <v>Kingfisher Tree Services Ltd</v>
      </c>
      <c r="D38" s="10">
        <f>IFERROR(IF(LARGE('Monthly Matrix'!$AH$4:$AH$76,35)&lt;0,"",INDEX('Monthly Matrix'!$G$4:$G$76,MATCH(LARGE('Monthly Matrix'!$AH$4:$AH$76,35),'Monthly Matrix'!$AH$4:$AH$76,0))),"")</f>
        <v>0</v>
      </c>
      <c r="E38" s="10">
        <f>IFERROR(IF(LARGE('Monthly Matrix'!$AH$4:$AH$76,35)&lt;0,"",INDEX('Monthly Matrix'!$F$4:$F$76,MATCH(LARGE('Monthly Matrix'!$AH$4:$AH$76,35),'Monthly Matrix'!$AH$4:$AH$76,0))),"")</f>
        <v>0</v>
      </c>
      <c r="F38" s="10" t="str">
        <f>IFERROR(IF(LARGE('Monthly Matrix'!$AH$4:$AH$76,35)&lt;0,"",INDEX('Monthly Matrix'!$E$4:$E$76,MATCH(LARGE('Monthly Matrix'!$AH$4:$AH$76,35),'Monthly Matrix'!$AH$4:$AH$76,0))),"")</f>
        <v>Jake Bolwell</v>
      </c>
      <c r="G38" s="10"/>
      <c r="H38" s="10" t="str">
        <f>IF(LARGE('Monthly Matrix'!$AH$4:$AH$76,35)&lt;0,"",'Monthly Matrix'!$AB$3)</f>
        <v>Rank
(high)</v>
      </c>
      <c r="I38" s="10" t="str">
        <f>IF(LARGE('Monthly Matrix'!$AH$4:$AH$76,35)&lt;0,"","HIGH")</f>
        <v>HIGH</v>
      </c>
      <c r="J38" s="10" t="str">
        <f>IFERROR(IF(LARGE('Monthly Matrix'!$AH$4:$AH$76,35)&lt;0,"",INDEX('Monthly Matrix'!$M$4:$M$76,MATCH(LARGE('Monthly Matrix'!$AH$4:$AH$76,35),'Monthly Matrix'!$AH$4:$AH$76,0))),"")</f>
        <v>NO</v>
      </c>
      <c r="K38" s="11"/>
      <c r="L38" s="11"/>
      <c r="M38" s="10"/>
      <c r="N38" s="10" t="str">
        <f>IF(LARGE('Monthly Matrix'!$AH$4:$AH$76,35)&lt;0,"","Open")</f>
        <v>Open</v>
      </c>
      <c r="O38" s="10"/>
      <c r="P38" s="10"/>
      <c r="Q38" s="10"/>
    </row>
    <row r="39" spans="1:17" ht="21.75" customHeight="1" x14ac:dyDescent="0.15">
      <c r="A39" s="6" t="str">
        <f>IF(LARGE('Monthly Matrix'!$AH$4:$AH$76,36)&lt;0,"","IP-036")</f>
        <v>IP-036</v>
      </c>
      <c r="B39" s="6" t="str">
        <f>IFERROR(IF(LARGE('Monthly Matrix'!$AH$4:$AH$76,36)&lt;0,"",INDEX('Monthly Matrix'!$A$4:$A$76,MATCH(LARGE('Monthly Matrix'!$AH$4:$AH$76,36),'Monthly Matrix'!$AH$4:$AH$76,0))),"")</f>
        <v>FT-001</v>
      </c>
      <c r="C39" s="6" t="str">
        <f>IFERROR(IF(LARGE('Monthly Matrix'!$AH$4:$AH$76,36)&lt;0,"",INDEX('Monthly Matrix'!$B$4:$B$76,MATCH(LARGE('Monthly Matrix'!$AH$4:$AH$76,36),'Monthly Matrix'!$AH$4:$AH$76,0))),"")</f>
        <v>Kingfisher Tree Services Ltd</v>
      </c>
      <c r="D39" s="6">
        <f>IFERROR(IF(LARGE('Monthly Matrix'!$AH$4:$AH$76,36)&lt;0,"",INDEX('Monthly Matrix'!$G$4:$G$76,MATCH(LARGE('Monthly Matrix'!$AH$4:$AH$76,36),'Monthly Matrix'!$AH$4:$AH$76,0))),"")</f>
        <v>0</v>
      </c>
      <c r="E39" s="6">
        <f>IFERROR(IF(LARGE('Monthly Matrix'!$AH$4:$AH$76,36)&lt;0,"",INDEX('Monthly Matrix'!$F$4:$F$76,MATCH(LARGE('Monthly Matrix'!$AH$4:$AH$76,36),'Monthly Matrix'!$AH$4:$AH$76,0))),"")</f>
        <v>0</v>
      </c>
      <c r="F39" s="6" t="str">
        <f>IFERROR(IF(LARGE('Monthly Matrix'!$AH$4:$AH$76,36)&lt;0,"",INDEX('Monthly Matrix'!$E$4:$E$76,MATCH(LARGE('Monthly Matrix'!$AH$4:$AH$76,36),'Monthly Matrix'!$AH$4:$AH$76,0))),"")</f>
        <v>Jake Bolwell</v>
      </c>
      <c r="G39" s="6"/>
      <c r="H39" s="6" t="str">
        <f>IF(LARGE('Monthly Matrix'!$AH$4:$AH$76,36)&lt;0,"",'Monthly Matrix'!$AB$3)</f>
        <v>Rank
(high)</v>
      </c>
      <c r="I39" s="6" t="str">
        <f>IF(LARGE('Monthly Matrix'!$AH$4:$AH$76,36)&lt;0,"","HIGH")</f>
        <v>HIGH</v>
      </c>
      <c r="J39" s="6" t="str">
        <f>IFERROR(IF(LARGE('Monthly Matrix'!$AH$4:$AH$76,36)&lt;0,"",INDEX('Monthly Matrix'!$M$4:$M$76,MATCH(LARGE('Monthly Matrix'!$AH$4:$AH$76,36),'Monthly Matrix'!$AH$4:$AH$76,0))),"")</f>
        <v>NO</v>
      </c>
      <c r="K39" s="7"/>
      <c r="L39" s="7"/>
      <c r="M39" s="6"/>
      <c r="N39" s="6" t="str">
        <f>IF(LARGE('Monthly Matrix'!$AH$4:$AH$76,36)&lt;0,"","Open")</f>
        <v>Open</v>
      </c>
      <c r="O39" s="6"/>
      <c r="P39" s="6"/>
      <c r="Q39" s="6"/>
    </row>
    <row r="40" spans="1:17" ht="21.75" customHeight="1" x14ac:dyDescent="0.15">
      <c r="A40" s="10" t="str">
        <f>IF(LARGE('Monthly Matrix'!$AH$4:$AH$76,37)&lt;0,"","IP-037")</f>
        <v>IP-037</v>
      </c>
      <c r="B40" s="10" t="str">
        <f>IFERROR(IF(LARGE('Monthly Matrix'!$AH$4:$AH$76,37)&lt;0,"",INDEX('Monthly Matrix'!$A$4:$A$76,MATCH(LARGE('Monthly Matrix'!$AH$4:$AH$76,37),'Monthly Matrix'!$AH$4:$AH$76,0))),"")</f>
        <v>FT-001</v>
      </c>
      <c r="C40" s="10" t="str">
        <f>IFERROR(IF(LARGE('Monthly Matrix'!$AH$4:$AH$76,37)&lt;0,"",INDEX('Monthly Matrix'!$B$4:$B$76,MATCH(LARGE('Monthly Matrix'!$AH$4:$AH$76,37),'Monthly Matrix'!$AH$4:$AH$76,0))),"")</f>
        <v>Kingfisher Tree Services Ltd</v>
      </c>
      <c r="D40" s="10">
        <f>IFERROR(IF(LARGE('Monthly Matrix'!$AH$4:$AH$76,37)&lt;0,"",INDEX('Monthly Matrix'!$G$4:$G$76,MATCH(LARGE('Monthly Matrix'!$AH$4:$AH$76,37),'Monthly Matrix'!$AH$4:$AH$76,0))),"")</f>
        <v>0</v>
      </c>
      <c r="E40" s="10">
        <f>IFERROR(IF(LARGE('Monthly Matrix'!$AH$4:$AH$76,37)&lt;0,"",INDEX('Monthly Matrix'!$F$4:$F$76,MATCH(LARGE('Monthly Matrix'!$AH$4:$AH$76,37),'Monthly Matrix'!$AH$4:$AH$76,0))),"")</f>
        <v>0</v>
      </c>
      <c r="F40" s="10" t="str">
        <f>IFERROR(IF(LARGE('Monthly Matrix'!$AH$4:$AH$76,37)&lt;0,"",INDEX('Monthly Matrix'!$E$4:$E$76,MATCH(LARGE('Monthly Matrix'!$AH$4:$AH$76,37),'Monthly Matrix'!$AH$4:$AH$76,0))),"")</f>
        <v>Jake Bolwell</v>
      </c>
      <c r="G40" s="10"/>
      <c r="H40" s="10" t="str">
        <f>IF(LARGE('Monthly Matrix'!$AH$4:$AH$76,37)&lt;0,"",'Monthly Matrix'!$AB$3)</f>
        <v>Rank
(high)</v>
      </c>
      <c r="I40" s="10" t="str">
        <f>IF(LARGE('Monthly Matrix'!$AH$4:$AH$76,37)&lt;0,"","HIGH")</f>
        <v>HIGH</v>
      </c>
      <c r="J40" s="10" t="str">
        <f>IFERROR(IF(LARGE('Monthly Matrix'!$AH$4:$AH$76,37)&lt;0,"",INDEX('Monthly Matrix'!$M$4:$M$76,MATCH(LARGE('Monthly Matrix'!$AH$4:$AH$76,37),'Monthly Matrix'!$AH$4:$AH$76,0))),"")</f>
        <v>NO</v>
      </c>
      <c r="K40" s="11"/>
      <c r="L40" s="11"/>
      <c r="M40" s="10"/>
      <c r="N40" s="10" t="str">
        <f>IF(LARGE('Monthly Matrix'!$AH$4:$AH$76,37)&lt;0,"","Open")</f>
        <v>Open</v>
      </c>
      <c r="O40" s="10"/>
      <c r="P40" s="10"/>
      <c r="Q40" s="10"/>
    </row>
    <row r="41" spans="1:17" ht="21.75" customHeight="1" x14ac:dyDescent="0.15">
      <c r="A41" s="6" t="str">
        <f>IF(LARGE('Monthly Matrix'!$AH$4:$AH$76,38)&lt;0,"","IP-038")</f>
        <v>IP-038</v>
      </c>
      <c r="B41" s="6" t="str">
        <f>IFERROR(IF(LARGE('Monthly Matrix'!$AH$4:$AH$76,38)&lt;0,"",INDEX('Monthly Matrix'!$A$4:$A$76,MATCH(LARGE('Monthly Matrix'!$AH$4:$AH$76,38),'Monthly Matrix'!$AH$4:$AH$76,0))),"")</f>
        <v>FT-001</v>
      </c>
      <c r="C41" s="6" t="str">
        <f>IFERROR(IF(LARGE('Monthly Matrix'!$AH$4:$AH$76,38)&lt;0,"",INDEX('Monthly Matrix'!$B$4:$B$76,MATCH(LARGE('Monthly Matrix'!$AH$4:$AH$76,38),'Monthly Matrix'!$AH$4:$AH$76,0))),"")</f>
        <v>Kingfisher Tree Services Ltd</v>
      </c>
      <c r="D41" s="6">
        <f>IFERROR(IF(LARGE('Monthly Matrix'!$AH$4:$AH$76,38)&lt;0,"",INDEX('Monthly Matrix'!$G$4:$G$76,MATCH(LARGE('Monthly Matrix'!$AH$4:$AH$76,38),'Monthly Matrix'!$AH$4:$AH$76,0))),"")</f>
        <v>0</v>
      </c>
      <c r="E41" s="6">
        <f>IFERROR(IF(LARGE('Monthly Matrix'!$AH$4:$AH$76,38)&lt;0,"",INDEX('Monthly Matrix'!$F$4:$F$76,MATCH(LARGE('Monthly Matrix'!$AH$4:$AH$76,38),'Monthly Matrix'!$AH$4:$AH$76,0))),"")</f>
        <v>0</v>
      </c>
      <c r="F41" s="6" t="str">
        <f>IFERROR(IF(LARGE('Monthly Matrix'!$AH$4:$AH$76,38)&lt;0,"",INDEX('Monthly Matrix'!$E$4:$E$76,MATCH(LARGE('Monthly Matrix'!$AH$4:$AH$76,38),'Monthly Matrix'!$AH$4:$AH$76,0))),"")</f>
        <v>Jake Bolwell</v>
      </c>
      <c r="G41" s="6"/>
      <c r="H41" s="6" t="str">
        <f>IF(LARGE('Monthly Matrix'!$AH$4:$AH$76,38)&lt;0,"",'Monthly Matrix'!$AB$3)</f>
        <v>Rank
(high)</v>
      </c>
      <c r="I41" s="6" t="str">
        <f>IF(LARGE('Monthly Matrix'!$AH$4:$AH$76,38)&lt;0,"","HIGH")</f>
        <v>HIGH</v>
      </c>
      <c r="J41" s="6" t="str">
        <f>IFERROR(IF(LARGE('Monthly Matrix'!$AH$4:$AH$76,38)&lt;0,"",INDEX('Monthly Matrix'!$M$4:$M$76,MATCH(LARGE('Monthly Matrix'!$AH$4:$AH$76,38),'Monthly Matrix'!$AH$4:$AH$76,0))),"")</f>
        <v>NO</v>
      </c>
      <c r="K41" s="7"/>
      <c r="L41" s="7"/>
      <c r="M41" s="6"/>
      <c r="N41" s="6" t="str">
        <f>IF(LARGE('Monthly Matrix'!$AH$4:$AH$76,38)&lt;0,"","Open")</f>
        <v>Open</v>
      </c>
      <c r="O41" s="6"/>
      <c r="P41" s="6"/>
      <c r="Q41" s="6"/>
    </row>
    <row r="42" spans="1:17" ht="21.75" customHeight="1" x14ac:dyDescent="0.15">
      <c r="A42" s="10" t="str">
        <f>IF(LARGE('Monthly Matrix'!$AH$4:$AH$76,39)&lt;0,"","IP-039")</f>
        <v>IP-039</v>
      </c>
      <c r="B42" s="10" t="str">
        <f>IFERROR(IF(LARGE('Monthly Matrix'!$AH$4:$AH$76,39)&lt;0,"",INDEX('Monthly Matrix'!$A$4:$A$76,MATCH(LARGE('Monthly Matrix'!$AH$4:$AH$76,39),'Monthly Matrix'!$AH$4:$AH$76,0))),"")</f>
        <v>FT-001</v>
      </c>
      <c r="C42" s="10" t="str">
        <f>IFERROR(IF(LARGE('Monthly Matrix'!$AH$4:$AH$76,39)&lt;0,"",INDEX('Monthly Matrix'!$B$4:$B$76,MATCH(LARGE('Monthly Matrix'!$AH$4:$AH$76,39),'Monthly Matrix'!$AH$4:$AH$76,0))),"")</f>
        <v>Kingfisher Tree Services Ltd</v>
      </c>
      <c r="D42" s="10">
        <f>IFERROR(IF(LARGE('Monthly Matrix'!$AH$4:$AH$76,39)&lt;0,"",INDEX('Monthly Matrix'!$G$4:$G$76,MATCH(LARGE('Monthly Matrix'!$AH$4:$AH$76,39),'Monthly Matrix'!$AH$4:$AH$76,0))),"")</f>
        <v>0</v>
      </c>
      <c r="E42" s="10">
        <f>IFERROR(IF(LARGE('Monthly Matrix'!$AH$4:$AH$76,39)&lt;0,"",INDEX('Monthly Matrix'!$F$4:$F$76,MATCH(LARGE('Monthly Matrix'!$AH$4:$AH$76,39),'Monthly Matrix'!$AH$4:$AH$76,0))),"")</f>
        <v>0</v>
      </c>
      <c r="F42" s="10" t="str">
        <f>IFERROR(IF(LARGE('Monthly Matrix'!$AH$4:$AH$76,39)&lt;0,"",INDEX('Monthly Matrix'!$E$4:$E$76,MATCH(LARGE('Monthly Matrix'!$AH$4:$AH$76,39),'Monthly Matrix'!$AH$4:$AH$76,0))),"")</f>
        <v>Jake Bolwell</v>
      </c>
      <c r="G42" s="10"/>
      <c r="H42" s="10" t="str">
        <f>IF(LARGE('Monthly Matrix'!$AH$4:$AH$76,39)&lt;0,"",'Monthly Matrix'!$AB$3)</f>
        <v>Rank
(high)</v>
      </c>
      <c r="I42" s="10" t="str">
        <f>IF(LARGE('Monthly Matrix'!$AH$4:$AH$76,39)&lt;0,"","HIGH")</f>
        <v>HIGH</v>
      </c>
      <c r="J42" s="10" t="str">
        <f>IFERROR(IF(LARGE('Monthly Matrix'!$AH$4:$AH$76,39)&lt;0,"",INDEX('Monthly Matrix'!$M$4:$M$76,MATCH(LARGE('Monthly Matrix'!$AH$4:$AH$76,39),'Monthly Matrix'!$AH$4:$AH$76,0))),"")</f>
        <v>NO</v>
      </c>
      <c r="K42" s="11"/>
      <c r="L42" s="11"/>
      <c r="M42" s="10"/>
      <c r="N42" s="10" t="str">
        <f>IF(LARGE('Monthly Matrix'!$AH$4:$AH$76,39)&lt;0,"","Open")</f>
        <v>Open</v>
      </c>
      <c r="O42" s="10"/>
      <c r="P42" s="10"/>
      <c r="Q42" s="10"/>
    </row>
    <row r="43" spans="1:17" ht="21.75" customHeight="1" x14ac:dyDescent="0.15">
      <c r="A43" s="6" t="str">
        <f>IF(LARGE('Monthly Matrix'!$AH$4:$AH$76,40)&lt;0,"","IP-040")</f>
        <v>IP-040</v>
      </c>
      <c r="B43" s="6" t="str">
        <f>IFERROR(IF(LARGE('Monthly Matrix'!$AH$4:$AH$76,40)&lt;0,"",INDEX('Monthly Matrix'!$A$4:$A$76,MATCH(LARGE('Monthly Matrix'!$AH$4:$AH$76,40),'Monthly Matrix'!$AH$4:$AH$76,0))),"")</f>
        <v>FT-001</v>
      </c>
      <c r="C43" s="6" t="str">
        <f>IFERROR(IF(LARGE('Monthly Matrix'!$AH$4:$AH$76,40)&lt;0,"",INDEX('Monthly Matrix'!$B$4:$B$76,MATCH(LARGE('Monthly Matrix'!$AH$4:$AH$76,40),'Monthly Matrix'!$AH$4:$AH$76,0))),"")</f>
        <v>Kingfisher Tree Services Ltd</v>
      </c>
      <c r="D43" s="6">
        <f>IFERROR(IF(LARGE('Monthly Matrix'!$AH$4:$AH$76,40)&lt;0,"",INDEX('Monthly Matrix'!$G$4:$G$76,MATCH(LARGE('Monthly Matrix'!$AH$4:$AH$76,40),'Monthly Matrix'!$AH$4:$AH$76,0))),"")</f>
        <v>0</v>
      </c>
      <c r="E43" s="6">
        <f>IFERROR(IF(LARGE('Monthly Matrix'!$AH$4:$AH$76,40)&lt;0,"",INDEX('Monthly Matrix'!$F$4:$F$76,MATCH(LARGE('Monthly Matrix'!$AH$4:$AH$76,40),'Monthly Matrix'!$AH$4:$AH$76,0))),"")</f>
        <v>0</v>
      </c>
      <c r="F43" s="6" t="str">
        <f>IFERROR(IF(LARGE('Monthly Matrix'!$AH$4:$AH$76,40)&lt;0,"",INDEX('Monthly Matrix'!$E$4:$E$76,MATCH(LARGE('Monthly Matrix'!$AH$4:$AH$76,40),'Monthly Matrix'!$AH$4:$AH$76,0))),"")</f>
        <v>Jake Bolwell</v>
      </c>
      <c r="G43" s="6"/>
      <c r="H43" s="6" t="str">
        <f>IF(LARGE('Monthly Matrix'!$AH$4:$AH$76,40)&lt;0,"",'Monthly Matrix'!$AB$3)</f>
        <v>Rank
(high)</v>
      </c>
      <c r="I43" s="6" t="str">
        <f>IF(LARGE('Monthly Matrix'!$AH$4:$AH$76,40)&lt;0,"","HIGH")</f>
        <v>HIGH</v>
      </c>
      <c r="J43" s="6" t="str">
        <f>IFERROR(IF(LARGE('Monthly Matrix'!$AH$4:$AH$76,40)&lt;0,"",INDEX('Monthly Matrix'!$M$4:$M$76,MATCH(LARGE('Monthly Matrix'!$AH$4:$AH$76,40),'Monthly Matrix'!$AH$4:$AH$76,0))),"")</f>
        <v>NO</v>
      </c>
      <c r="K43" s="7"/>
      <c r="L43" s="7"/>
      <c r="M43" s="6"/>
      <c r="N43" s="6" t="str">
        <f>IF(LARGE('Monthly Matrix'!$AH$4:$AH$76,40)&lt;0,"","Open")</f>
        <v>Open</v>
      </c>
      <c r="O43" s="6"/>
      <c r="P43" s="6"/>
      <c r="Q43" s="6"/>
    </row>
    <row r="44" spans="1:17" ht="21.75" customHeight="1" x14ac:dyDescent="0.15">
      <c r="A44" s="10" t="str">
        <f>IF(LARGE('Monthly Matrix'!$AH$4:$AH$76,41)&lt;0,"","IP-041")</f>
        <v>IP-041</v>
      </c>
      <c r="B44" s="10" t="str">
        <f>IFERROR(IF(LARGE('Monthly Matrix'!$AH$4:$AH$76,41)&lt;0,"",INDEX('Monthly Matrix'!$A$4:$A$76,MATCH(LARGE('Monthly Matrix'!$AH$4:$AH$76,41),'Monthly Matrix'!$AH$4:$AH$76,0))),"")</f>
        <v>FT-001</v>
      </c>
      <c r="C44" s="10" t="str">
        <f>IFERROR(IF(LARGE('Monthly Matrix'!$AH$4:$AH$76,41)&lt;0,"",INDEX('Monthly Matrix'!$B$4:$B$76,MATCH(LARGE('Monthly Matrix'!$AH$4:$AH$76,41),'Monthly Matrix'!$AH$4:$AH$76,0))),"")</f>
        <v>Kingfisher Tree Services Ltd</v>
      </c>
      <c r="D44" s="10">
        <f>IFERROR(IF(LARGE('Monthly Matrix'!$AH$4:$AH$76,41)&lt;0,"",INDEX('Monthly Matrix'!$G$4:$G$76,MATCH(LARGE('Monthly Matrix'!$AH$4:$AH$76,41),'Monthly Matrix'!$AH$4:$AH$76,0))),"")</f>
        <v>0</v>
      </c>
      <c r="E44" s="10">
        <f>IFERROR(IF(LARGE('Monthly Matrix'!$AH$4:$AH$76,41)&lt;0,"",INDEX('Monthly Matrix'!$F$4:$F$76,MATCH(LARGE('Monthly Matrix'!$AH$4:$AH$76,41),'Monthly Matrix'!$AH$4:$AH$76,0))),"")</f>
        <v>0</v>
      </c>
      <c r="F44" s="10" t="str">
        <f>IFERROR(IF(LARGE('Monthly Matrix'!$AH$4:$AH$76,41)&lt;0,"",INDEX('Monthly Matrix'!$E$4:$E$76,MATCH(LARGE('Monthly Matrix'!$AH$4:$AH$76,41),'Monthly Matrix'!$AH$4:$AH$76,0))),"")</f>
        <v>Jake Bolwell</v>
      </c>
      <c r="G44" s="10"/>
      <c r="H44" s="10" t="str">
        <f>IF(LARGE('Monthly Matrix'!$AH$4:$AH$76,41)&lt;0,"",'Monthly Matrix'!$AB$3)</f>
        <v>Rank
(high)</v>
      </c>
      <c r="I44" s="10" t="str">
        <f>IF(LARGE('Monthly Matrix'!$AH$4:$AH$76,41)&lt;0,"","HIGH")</f>
        <v>HIGH</v>
      </c>
      <c r="J44" s="10" t="str">
        <f>IFERROR(IF(LARGE('Monthly Matrix'!$AH$4:$AH$76,41)&lt;0,"",INDEX('Monthly Matrix'!$M$4:$M$76,MATCH(LARGE('Monthly Matrix'!$AH$4:$AH$76,41),'Monthly Matrix'!$AH$4:$AH$76,0))),"")</f>
        <v>NO</v>
      </c>
      <c r="K44" s="11"/>
      <c r="L44" s="11"/>
      <c r="M44" s="10"/>
      <c r="N44" s="10" t="str">
        <f>IF(LARGE('Monthly Matrix'!$AH$4:$AH$76,41)&lt;0,"","Open")</f>
        <v>Open</v>
      </c>
      <c r="O44" s="10"/>
      <c r="P44" s="10"/>
      <c r="Q44" s="10"/>
    </row>
    <row r="45" spans="1:17" ht="21.75" customHeight="1" x14ac:dyDescent="0.15">
      <c r="A45" s="6" t="str">
        <f>IF(LARGE('Monthly Matrix'!$AH$4:$AH$76,42)&lt;0,"","IP-042")</f>
        <v>IP-042</v>
      </c>
      <c r="B45" s="6" t="str">
        <f>IFERROR(IF(LARGE('Monthly Matrix'!$AH$4:$AH$76,42)&lt;0,"",INDEX('Monthly Matrix'!$A$4:$A$76,MATCH(LARGE('Monthly Matrix'!$AH$4:$AH$76,42),'Monthly Matrix'!$AH$4:$AH$76,0))),"")</f>
        <v>FT-001</v>
      </c>
      <c r="C45" s="6" t="str">
        <f>IFERROR(IF(LARGE('Monthly Matrix'!$AH$4:$AH$76,42)&lt;0,"",INDEX('Monthly Matrix'!$B$4:$B$76,MATCH(LARGE('Monthly Matrix'!$AH$4:$AH$76,42),'Monthly Matrix'!$AH$4:$AH$76,0))),"")</f>
        <v>Kingfisher Tree Services Ltd</v>
      </c>
      <c r="D45" s="6">
        <f>IFERROR(IF(LARGE('Monthly Matrix'!$AH$4:$AH$76,42)&lt;0,"",INDEX('Monthly Matrix'!$G$4:$G$76,MATCH(LARGE('Monthly Matrix'!$AH$4:$AH$76,42),'Monthly Matrix'!$AH$4:$AH$76,0))),"")</f>
        <v>0</v>
      </c>
      <c r="E45" s="6">
        <f>IFERROR(IF(LARGE('Monthly Matrix'!$AH$4:$AH$76,42)&lt;0,"",INDEX('Monthly Matrix'!$F$4:$F$76,MATCH(LARGE('Monthly Matrix'!$AH$4:$AH$76,42),'Monthly Matrix'!$AH$4:$AH$76,0))),"")</f>
        <v>0</v>
      </c>
      <c r="F45" s="6" t="str">
        <f>IFERROR(IF(LARGE('Monthly Matrix'!$AH$4:$AH$76,42)&lt;0,"",INDEX('Monthly Matrix'!$E$4:$E$76,MATCH(LARGE('Monthly Matrix'!$AH$4:$AH$76,42),'Monthly Matrix'!$AH$4:$AH$76,0))),"")</f>
        <v>Jake Bolwell</v>
      </c>
      <c r="G45" s="6"/>
      <c r="H45" s="6" t="str">
        <f>IF(LARGE('Monthly Matrix'!$AH$4:$AH$76,42)&lt;0,"",'Monthly Matrix'!$AB$3)</f>
        <v>Rank
(high)</v>
      </c>
      <c r="I45" s="6" t="str">
        <f>IF(LARGE('Monthly Matrix'!$AH$4:$AH$76,42)&lt;0,"","HIGH")</f>
        <v>HIGH</v>
      </c>
      <c r="J45" s="6" t="str">
        <f>IFERROR(IF(LARGE('Monthly Matrix'!$AH$4:$AH$76,42)&lt;0,"",INDEX('Monthly Matrix'!$M$4:$M$76,MATCH(LARGE('Monthly Matrix'!$AH$4:$AH$76,42),'Monthly Matrix'!$AH$4:$AH$76,0))),"")</f>
        <v>NO</v>
      </c>
      <c r="K45" s="7"/>
      <c r="L45" s="7"/>
      <c r="M45" s="6"/>
      <c r="N45" s="6" t="str">
        <f>IF(LARGE('Monthly Matrix'!$AH$4:$AH$76,42)&lt;0,"","Open")</f>
        <v>Open</v>
      </c>
      <c r="O45" s="6"/>
      <c r="P45" s="6"/>
      <c r="Q45" s="6"/>
    </row>
    <row r="46" spans="1:17" ht="21.75" customHeight="1" x14ac:dyDescent="0.15">
      <c r="A46" s="10" t="str">
        <f>IF(LARGE('Monthly Matrix'!$AH$4:$AH$76,43)&lt;0,"","IP-043")</f>
        <v>IP-043</v>
      </c>
      <c r="B46" s="10" t="str">
        <f>IFERROR(IF(LARGE('Monthly Matrix'!$AH$4:$AH$76,43)&lt;0,"",INDEX('Monthly Matrix'!$A$4:$A$76,MATCH(LARGE('Monthly Matrix'!$AH$4:$AH$76,43),'Monthly Matrix'!$AH$4:$AH$76,0))),"")</f>
        <v>FT-001</v>
      </c>
      <c r="C46" s="10" t="str">
        <f>IFERROR(IF(LARGE('Monthly Matrix'!$AH$4:$AH$76,43)&lt;0,"",INDEX('Monthly Matrix'!$B$4:$B$76,MATCH(LARGE('Monthly Matrix'!$AH$4:$AH$76,43),'Monthly Matrix'!$AH$4:$AH$76,0))),"")</f>
        <v>Kingfisher Tree Services Ltd</v>
      </c>
      <c r="D46" s="10">
        <f>IFERROR(IF(LARGE('Monthly Matrix'!$AH$4:$AH$76,43)&lt;0,"",INDEX('Monthly Matrix'!$G$4:$G$76,MATCH(LARGE('Monthly Matrix'!$AH$4:$AH$76,43),'Monthly Matrix'!$AH$4:$AH$76,0))),"")</f>
        <v>0</v>
      </c>
      <c r="E46" s="10">
        <f>IFERROR(IF(LARGE('Monthly Matrix'!$AH$4:$AH$76,43)&lt;0,"",INDEX('Monthly Matrix'!$F$4:$F$76,MATCH(LARGE('Monthly Matrix'!$AH$4:$AH$76,43),'Monthly Matrix'!$AH$4:$AH$76,0))),"")</f>
        <v>0</v>
      </c>
      <c r="F46" s="10" t="str">
        <f>IFERROR(IF(LARGE('Monthly Matrix'!$AH$4:$AH$76,43)&lt;0,"",INDEX('Monthly Matrix'!$E$4:$E$76,MATCH(LARGE('Monthly Matrix'!$AH$4:$AH$76,43),'Monthly Matrix'!$AH$4:$AH$76,0))),"")</f>
        <v>Jake Bolwell</v>
      </c>
      <c r="G46" s="10"/>
      <c r="H46" s="10" t="str">
        <f>IF(LARGE('Monthly Matrix'!$AH$4:$AH$76,43)&lt;0,"",'Monthly Matrix'!$AB$3)</f>
        <v>Rank
(high)</v>
      </c>
      <c r="I46" s="10" t="str">
        <f>IF(LARGE('Monthly Matrix'!$AH$4:$AH$76,43)&lt;0,"","HIGH")</f>
        <v>HIGH</v>
      </c>
      <c r="J46" s="10" t="str">
        <f>IFERROR(IF(LARGE('Monthly Matrix'!$AH$4:$AH$76,43)&lt;0,"",INDEX('Monthly Matrix'!$M$4:$M$76,MATCH(LARGE('Monthly Matrix'!$AH$4:$AH$76,43),'Monthly Matrix'!$AH$4:$AH$76,0))),"")</f>
        <v>NO</v>
      </c>
      <c r="K46" s="11"/>
      <c r="L46" s="11"/>
      <c r="M46" s="10"/>
      <c r="N46" s="10" t="str">
        <f>IF(LARGE('Monthly Matrix'!$AH$4:$AH$76,43)&lt;0,"","Open")</f>
        <v>Open</v>
      </c>
      <c r="O46" s="10"/>
      <c r="P46" s="10"/>
      <c r="Q46" s="10"/>
    </row>
    <row r="47" spans="1:17" ht="21.75" customHeight="1" x14ac:dyDescent="0.15">
      <c r="A47" s="6" t="str">
        <f>IF(LARGE('Monthly Matrix'!$AH$4:$AH$76,44)&lt;0,"","IP-044")</f>
        <v>IP-044</v>
      </c>
      <c r="B47" s="6" t="str">
        <f>IFERROR(IF(LARGE('Monthly Matrix'!$AH$4:$AH$76,44)&lt;0,"",INDEX('Monthly Matrix'!$A$4:$A$76,MATCH(LARGE('Monthly Matrix'!$AH$4:$AH$76,44),'Monthly Matrix'!$AH$4:$AH$76,0))),"")</f>
        <v>FT-001</v>
      </c>
      <c r="C47" s="6" t="str">
        <f>IFERROR(IF(LARGE('Monthly Matrix'!$AH$4:$AH$76,44)&lt;0,"",INDEX('Monthly Matrix'!$B$4:$B$76,MATCH(LARGE('Monthly Matrix'!$AH$4:$AH$76,44),'Monthly Matrix'!$AH$4:$AH$76,0))),"")</f>
        <v>Kingfisher Tree Services Ltd</v>
      </c>
      <c r="D47" s="6">
        <f>IFERROR(IF(LARGE('Monthly Matrix'!$AH$4:$AH$76,44)&lt;0,"",INDEX('Monthly Matrix'!$G$4:$G$76,MATCH(LARGE('Monthly Matrix'!$AH$4:$AH$76,44),'Monthly Matrix'!$AH$4:$AH$76,0))),"")</f>
        <v>0</v>
      </c>
      <c r="E47" s="6">
        <f>IFERROR(IF(LARGE('Monthly Matrix'!$AH$4:$AH$76,44)&lt;0,"",INDEX('Monthly Matrix'!$F$4:$F$76,MATCH(LARGE('Monthly Matrix'!$AH$4:$AH$76,44),'Monthly Matrix'!$AH$4:$AH$76,0))),"")</f>
        <v>0</v>
      </c>
      <c r="F47" s="6" t="str">
        <f>IFERROR(IF(LARGE('Monthly Matrix'!$AH$4:$AH$76,44)&lt;0,"",INDEX('Monthly Matrix'!$E$4:$E$76,MATCH(LARGE('Monthly Matrix'!$AH$4:$AH$76,44),'Monthly Matrix'!$AH$4:$AH$76,0))),"")</f>
        <v>Jake Bolwell</v>
      </c>
      <c r="G47" s="6"/>
      <c r="H47" s="6" t="str">
        <f>IF(LARGE('Monthly Matrix'!$AH$4:$AH$76,44)&lt;0,"",'Monthly Matrix'!$AB$3)</f>
        <v>Rank
(high)</v>
      </c>
      <c r="I47" s="6" t="str">
        <f>IF(LARGE('Monthly Matrix'!$AH$4:$AH$76,44)&lt;0,"","HIGH")</f>
        <v>HIGH</v>
      </c>
      <c r="J47" s="6" t="str">
        <f>IFERROR(IF(LARGE('Monthly Matrix'!$AH$4:$AH$76,44)&lt;0,"",INDEX('Monthly Matrix'!$M$4:$M$76,MATCH(LARGE('Monthly Matrix'!$AH$4:$AH$76,44),'Monthly Matrix'!$AH$4:$AH$76,0))),"")</f>
        <v>NO</v>
      </c>
      <c r="K47" s="7"/>
      <c r="L47" s="7"/>
      <c r="M47" s="6"/>
      <c r="N47" s="6" t="str">
        <f>IF(LARGE('Monthly Matrix'!$AH$4:$AH$76,44)&lt;0,"","Open")</f>
        <v>Open</v>
      </c>
      <c r="O47" s="6"/>
      <c r="P47" s="6"/>
      <c r="Q47" s="6"/>
    </row>
    <row r="48" spans="1:17" ht="21.75" customHeight="1" x14ac:dyDescent="0.15">
      <c r="A48" s="10" t="str">
        <f>IF(LARGE('Monthly Matrix'!$AH$4:$AH$76,45)&lt;0,"","IP-045")</f>
        <v>IP-045</v>
      </c>
      <c r="B48" s="10" t="str">
        <f>IFERROR(IF(LARGE('Monthly Matrix'!$AH$4:$AH$76,45)&lt;0,"",INDEX('Monthly Matrix'!$A$4:$A$76,MATCH(LARGE('Monthly Matrix'!$AH$4:$AH$76,45),'Monthly Matrix'!$AH$4:$AH$76,0))),"")</f>
        <v>FT-001</v>
      </c>
      <c r="C48" s="10" t="str">
        <f>IFERROR(IF(LARGE('Monthly Matrix'!$AH$4:$AH$76,45)&lt;0,"",INDEX('Monthly Matrix'!$B$4:$B$76,MATCH(LARGE('Monthly Matrix'!$AH$4:$AH$76,45),'Monthly Matrix'!$AH$4:$AH$76,0))),"")</f>
        <v>Kingfisher Tree Services Ltd</v>
      </c>
      <c r="D48" s="10">
        <f>IFERROR(IF(LARGE('Monthly Matrix'!$AH$4:$AH$76,45)&lt;0,"",INDEX('Monthly Matrix'!$G$4:$G$76,MATCH(LARGE('Monthly Matrix'!$AH$4:$AH$76,45),'Monthly Matrix'!$AH$4:$AH$76,0))),"")</f>
        <v>0</v>
      </c>
      <c r="E48" s="10">
        <f>IFERROR(IF(LARGE('Monthly Matrix'!$AH$4:$AH$76,45)&lt;0,"",INDEX('Monthly Matrix'!$F$4:$F$76,MATCH(LARGE('Monthly Matrix'!$AH$4:$AH$76,45),'Monthly Matrix'!$AH$4:$AH$76,0))),"")</f>
        <v>0</v>
      </c>
      <c r="F48" s="10" t="str">
        <f>IFERROR(IF(LARGE('Monthly Matrix'!$AH$4:$AH$76,45)&lt;0,"",INDEX('Monthly Matrix'!$E$4:$E$76,MATCH(LARGE('Monthly Matrix'!$AH$4:$AH$76,45),'Monthly Matrix'!$AH$4:$AH$76,0))),"")</f>
        <v>Jake Bolwell</v>
      </c>
      <c r="G48" s="10"/>
      <c r="H48" s="10" t="str">
        <f>IF(LARGE('Monthly Matrix'!$AH$4:$AH$76,45)&lt;0,"",'Monthly Matrix'!$AB$3)</f>
        <v>Rank
(high)</v>
      </c>
      <c r="I48" s="10" t="str">
        <f>IF(LARGE('Monthly Matrix'!$AH$4:$AH$76,45)&lt;0,"","HIGH")</f>
        <v>HIGH</v>
      </c>
      <c r="J48" s="10" t="str">
        <f>IFERROR(IF(LARGE('Monthly Matrix'!$AH$4:$AH$76,45)&lt;0,"",INDEX('Monthly Matrix'!$M$4:$M$76,MATCH(LARGE('Monthly Matrix'!$AH$4:$AH$76,45),'Monthly Matrix'!$AH$4:$AH$76,0))),"")</f>
        <v>NO</v>
      </c>
      <c r="K48" s="11"/>
      <c r="L48" s="11"/>
      <c r="M48" s="10"/>
      <c r="N48" s="10" t="str">
        <f>IF(LARGE('Monthly Matrix'!$AH$4:$AH$76,45)&lt;0,"","Open")</f>
        <v>Open</v>
      </c>
      <c r="O48" s="10"/>
      <c r="P48" s="10"/>
      <c r="Q48" s="10"/>
    </row>
    <row r="49" spans="1:17" ht="21.75" customHeight="1" x14ac:dyDescent="0.15">
      <c r="A49" s="6" t="str">
        <f>IF(LARGE('Monthly Matrix'!$AH$4:$AH$76,46)&lt;0,"","IP-046")</f>
        <v>IP-046</v>
      </c>
      <c r="B49" s="6" t="str">
        <f>IFERROR(IF(LARGE('Monthly Matrix'!$AH$4:$AH$76,46)&lt;0,"",INDEX('Monthly Matrix'!$A$4:$A$76,MATCH(LARGE('Monthly Matrix'!$AH$4:$AH$76,46),'Monthly Matrix'!$AH$4:$AH$76,0))),"")</f>
        <v>FT-001</v>
      </c>
      <c r="C49" s="6" t="str">
        <f>IFERROR(IF(LARGE('Monthly Matrix'!$AH$4:$AH$76,46)&lt;0,"",INDEX('Monthly Matrix'!$B$4:$B$76,MATCH(LARGE('Monthly Matrix'!$AH$4:$AH$76,46),'Monthly Matrix'!$AH$4:$AH$76,0))),"")</f>
        <v>Kingfisher Tree Services Ltd</v>
      </c>
      <c r="D49" s="6">
        <f>IFERROR(IF(LARGE('Monthly Matrix'!$AH$4:$AH$76,46)&lt;0,"",INDEX('Monthly Matrix'!$G$4:$G$76,MATCH(LARGE('Monthly Matrix'!$AH$4:$AH$76,46),'Monthly Matrix'!$AH$4:$AH$76,0))),"")</f>
        <v>0</v>
      </c>
      <c r="E49" s="6">
        <f>IFERROR(IF(LARGE('Monthly Matrix'!$AH$4:$AH$76,46)&lt;0,"",INDEX('Monthly Matrix'!$F$4:$F$76,MATCH(LARGE('Monthly Matrix'!$AH$4:$AH$76,46),'Monthly Matrix'!$AH$4:$AH$76,0))),"")</f>
        <v>0</v>
      </c>
      <c r="F49" s="6" t="str">
        <f>IFERROR(IF(LARGE('Monthly Matrix'!$AH$4:$AH$76,46)&lt;0,"",INDEX('Monthly Matrix'!$E$4:$E$76,MATCH(LARGE('Monthly Matrix'!$AH$4:$AH$76,46),'Monthly Matrix'!$AH$4:$AH$76,0))),"")</f>
        <v>Jake Bolwell</v>
      </c>
      <c r="G49" s="6"/>
      <c r="H49" s="6" t="str">
        <f>IF(LARGE('Monthly Matrix'!$AH$4:$AH$76,46)&lt;0,"",'Monthly Matrix'!$AB$3)</f>
        <v>Rank
(high)</v>
      </c>
      <c r="I49" s="6" t="str">
        <f>IF(LARGE('Monthly Matrix'!$AH$4:$AH$76,46)&lt;0,"","HIGH")</f>
        <v>HIGH</v>
      </c>
      <c r="J49" s="6" t="str">
        <f>IFERROR(IF(LARGE('Monthly Matrix'!$AH$4:$AH$76,46)&lt;0,"",INDEX('Monthly Matrix'!$M$4:$M$76,MATCH(LARGE('Monthly Matrix'!$AH$4:$AH$76,46),'Monthly Matrix'!$AH$4:$AH$76,0))),"")</f>
        <v>NO</v>
      </c>
      <c r="K49" s="7"/>
      <c r="L49" s="7"/>
      <c r="M49" s="6"/>
      <c r="N49" s="6" t="str">
        <f>IF(LARGE('Monthly Matrix'!$AH$4:$AH$76,46)&lt;0,"","Open")</f>
        <v>Open</v>
      </c>
      <c r="O49" s="6"/>
      <c r="P49" s="6"/>
      <c r="Q49" s="6"/>
    </row>
    <row r="50" spans="1:17" ht="21.75" customHeight="1" x14ac:dyDescent="0.15">
      <c r="A50" s="10" t="str">
        <f>IF(LARGE('Monthly Matrix'!$AH$4:$AH$76,47)&lt;0,"","IP-047")</f>
        <v>IP-047</v>
      </c>
      <c r="B50" s="10" t="str">
        <f>IFERROR(IF(LARGE('Monthly Matrix'!$AH$4:$AH$76,47)&lt;0,"",INDEX('Monthly Matrix'!$A$4:$A$76,MATCH(LARGE('Monthly Matrix'!$AH$4:$AH$76,47),'Monthly Matrix'!$AH$4:$AH$76,0))),"")</f>
        <v>FT-001</v>
      </c>
      <c r="C50" s="10" t="str">
        <f>IFERROR(IF(LARGE('Monthly Matrix'!$AH$4:$AH$76,47)&lt;0,"",INDEX('Monthly Matrix'!$B$4:$B$76,MATCH(LARGE('Monthly Matrix'!$AH$4:$AH$76,47),'Monthly Matrix'!$AH$4:$AH$76,0))),"")</f>
        <v>Kingfisher Tree Services Ltd</v>
      </c>
      <c r="D50" s="10">
        <f>IFERROR(IF(LARGE('Monthly Matrix'!$AH$4:$AH$76,47)&lt;0,"",INDEX('Monthly Matrix'!$G$4:$G$76,MATCH(LARGE('Monthly Matrix'!$AH$4:$AH$76,47),'Monthly Matrix'!$AH$4:$AH$76,0))),"")</f>
        <v>0</v>
      </c>
      <c r="E50" s="10">
        <f>IFERROR(IF(LARGE('Monthly Matrix'!$AH$4:$AH$76,47)&lt;0,"",INDEX('Monthly Matrix'!$F$4:$F$76,MATCH(LARGE('Monthly Matrix'!$AH$4:$AH$76,47),'Monthly Matrix'!$AH$4:$AH$76,0))),"")</f>
        <v>0</v>
      </c>
      <c r="F50" s="10" t="str">
        <f>IFERROR(IF(LARGE('Monthly Matrix'!$AH$4:$AH$76,47)&lt;0,"",INDEX('Monthly Matrix'!$E$4:$E$76,MATCH(LARGE('Monthly Matrix'!$AH$4:$AH$76,47),'Monthly Matrix'!$AH$4:$AH$76,0))),"")</f>
        <v>Jake Bolwell</v>
      </c>
      <c r="G50" s="10"/>
      <c r="H50" s="10" t="str">
        <f>IF(LARGE('Monthly Matrix'!$AH$4:$AH$76,47)&lt;0,"",'Monthly Matrix'!$AB$3)</f>
        <v>Rank
(high)</v>
      </c>
      <c r="I50" s="10" t="str">
        <f>IF(LARGE('Monthly Matrix'!$AH$4:$AH$76,47)&lt;0,"","HIGH")</f>
        <v>HIGH</v>
      </c>
      <c r="J50" s="10" t="str">
        <f>IFERROR(IF(LARGE('Monthly Matrix'!$AH$4:$AH$76,47)&lt;0,"",INDEX('Monthly Matrix'!$M$4:$M$76,MATCH(LARGE('Monthly Matrix'!$AH$4:$AH$76,47),'Monthly Matrix'!$AH$4:$AH$76,0))),"")</f>
        <v>NO</v>
      </c>
      <c r="K50" s="11"/>
      <c r="L50" s="11"/>
      <c r="M50" s="10"/>
      <c r="N50" s="10" t="str">
        <f>IF(LARGE('Monthly Matrix'!$AH$4:$AH$76,47)&lt;0,"","Open")</f>
        <v>Open</v>
      </c>
      <c r="O50" s="10"/>
      <c r="P50" s="10"/>
      <c r="Q50" s="10"/>
    </row>
    <row r="51" spans="1:17" ht="21.75" customHeight="1" x14ac:dyDescent="0.15">
      <c r="A51" s="6" t="str">
        <f>IF(LARGE('Monthly Matrix'!$AH$4:$AH$76,48)&lt;0,"","IP-048")</f>
        <v>IP-048</v>
      </c>
      <c r="B51" s="6" t="str">
        <f>IFERROR(IF(LARGE('Monthly Matrix'!$AH$4:$AH$76,48)&lt;0,"",INDEX('Monthly Matrix'!$A$4:$A$76,MATCH(LARGE('Monthly Matrix'!$AH$4:$AH$76,48),'Monthly Matrix'!$AH$4:$AH$76,0))),"")</f>
        <v>FT-001</v>
      </c>
      <c r="C51" s="6" t="str">
        <f>IFERROR(IF(LARGE('Monthly Matrix'!$AH$4:$AH$76,48)&lt;0,"",INDEX('Monthly Matrix'!$B$4:$B$76,MATCH(LARGE('Monthly Matrix'!$AH$4:$AH$76,48),'Monthly Matrix'!$AH$4:$AH$76,0))),"")</f>
        <v>Kingfisher Tree Services Ltd</v>
      </c>
      <c r="D51" s="6">
        <f>IFERROR(IF(LARGE('Monthly Matrix'!$AH$4:$AH$76,48)&lt;0,"",INDEX('Monthly Matrix'!$G$4:$G$76,MATCH(LARGE('Monthly Matrix'!$AH$4:$AH$76,48),'Monthly Matrix'!$AH$4:$AH$76,0))),"")</f>
        <v>0</v>
      </c>
      <c r="E51" s="6">
        <f>IFERROR(IF(LARGE('Monthly Matrix'!$AH$4:$AH$76,48)&lt;0,"",INDEX('Monthly Matrix'!$F$4:$F$76,MATCH(LARGE('Monthly Matrix'!$AH$4:$AH$76,48),'Monthly Matrix'!$AH$4:$AH$76,0))),"")</f>
        <v>0</v>
      </c>
      <c r="F51" s="6" t="str">
        <f>IFERROR(IF(LARGE('Monthly Matrix'!$AH$4:$AH$76,48)&lt;0,"",INDEX('Monthly Matrix'!$E$4:$E$76,MATCH(LARGE('Monthly Matrix'!$AH$4:$AH$76,48),'Monthly Matrix'!$AH$4:$AH$76,0))),"")</f>
        <v>Jake Bolwell</v>
      </c>
      <c r="G51" s="6"/>
      <c r="H51" s="6" t="str">
        <f>IF(LARGE('Monthly Matrix'!$AH$4:$AH$76,48)&lt;0,"",'Monthly Matrix'!$AB$3)</f>
        <v>Rank
(high)</v>
      </c>
      <c r="I51" s="6" t="str">
        <f>IF(LARGE('Monthly Matrix'!$AH$4:$AH$76,48)&lt;0,"","HIGH")</f>
        <v>HIGH</v>
      </c>
      <c r="J51" s="6" t="str">
        <f>IFERROR(IF(LARGE('Monthly Matrix'!$AH$4:$AH$76,48)&lt;0,"",INDEX('Monthly Matrix'!$M$4:$M$76,MATCH(LARGE('Monthly Matrix'!$AH$4:$AH$76,48),'Monthly Matrix'!$AH$4:$AH$76,0))),"")</f>
        <v>NO</v>
      </c>
      <c r="K51" s="7"/>
      <c r="L51" s="7"/>
      <c r="M51" s="6"/>
      <c r="N51" s="6" t="str">
        <f>IF(LARGE('Monthly Matrix'!$AH$4:$AH$76,48)&lt;0,"","Open")</f>
        <v>Open</v>
      </c>
      <c r="O51" s="6"/>
      <c r="P51" s="6"/>
      <c r="Q51" s="6"/>
    </row>
    <row r="52" spans="1:17" ht="21.75" customHeight="1" x14ac:dyDescent="0.15">
      <c r="A52" s="10" t="str">
        <f>IF(LARGE('Monthly Matrix'!$AH$4:$AH$76,49)&lt;0,"","IP-049")</f>
        <v>IP-049</v>
      </c>
      <c r="B52" s="10" t="str">
        <f>IFERROR(IF(LARGE('Monthly Matrix'!$AH$4:$AH$76,49)&lt;0,"",INDEX('Monthly Matrix'!$A$4:$A$76,MATCH(LARGE('Monthly Matrix'!$AH$4:$AH$76,49),'Monthly Matrix'!$AH$4:$AH$76,0))),"")</f>
        <v>FT-001</v>
      </c>
      <c r="C52" s="10" t="str">
        <f>IFERROR(IF(LARGE('Monthly Matrix'!$AH$4:$AH$76,49)&lt;0,"",INDEX('Monthly Matrix'!$B$4:$B$76,MATCH(LARGE('Monthly Matrix'!$AH$4:$AH$76,49),'Monthly Matrix'!$AH$4:$AH$76,0))),"")</f>
        <v>Kingfisher Tree Services Ltd</v>
      </c>
      <c r="D52" s="10">
        <f>IFERROR(IF(LARGE('Monthly Matrix'!$AH$4:$AH$76,49)&lt;0,"",INDEX('Monthly Matrix'!$G$4:$G$76,MATCH(LARGE('Monthly Matrix'!$AH$4:$AH$76,49),'Monthly Matrix'!$AH$4:$AH$76,0))),"")</f>
        <v>0</v>
      </c>
      <c r="E52" s="10">
        <f>IFERROR(IF(LARGE('Monthly Matrix'!$AH$4:$AH$76,49)&lt;0,"",INDEX('Monthly Matrix'!$F$4:$F$76,MATCH(LARGE('Monthly Matrix'!$AH$4:$AH$76,49),'Monthly Matrix'!$AH$4:$AH$76,0))),"")</f>
        <v>0</v>
      </c>
      <c r="F52" s="10" t="str">
        <f>IFERROR(IF(LARGE('Monthly Matrix'!$AH$4:$AH$76,49)&lt;0,"",INDEX('Monthly Matrix'!$E$4:$E$76,MATCH(LARGE('Monthly Matrix'!$AH$4:$AH$76,49),'Monthly Matrix'!$AH$4:$AH$76,0))),"")</f>
        <v>Jake Bolwell</v>
      </c>
      <c r="G52" s="10"/>
      <c r="H52" s="10" t="str">
        <f>IF(LARGE('Monthly Matrix'!$AH$4:$AH$76,49)&lt;0,"",'Monthly Matrix'!$AB$3)</f>
        <v>Rank
(high)</v>
      </c>
      <c r="I52" s="10" t="str">
        <f>IF(LARGE('Monthly Matrix'!$AH$4:$AH$76,49)&lt;0,"","HIGH")</f>
        <v>HIGH</v>
      </c>
      <c r="J52" s="10" t="str">
        <f>IFERROR(IF(LARGE('Monthly Matrix'!$AH$4:$AH$76,49)&lt;0,"",INDEX('Monthly Matrix'!$M$4:$M$76,MATCH(LARGE('Monthly Matrix'!$AH$4:$AH$76,49),'Monthly Matrix'!$AH$4:$AH$76,0))),"")</f>
        <v>NO</v>
      </c>
      <c r="K52" s="11"/>
      <c r="L52" s="11"/>
      <c r="M52" s="10"/>
      <c r="N52" s="10" t="str">
        <f>IF(LARGE('Monthly Matrix'!$AH$4:$AH$76,49)&lt;0,"","Open")</f>
        <v>Open</v>
      </c>
      <c r="O52" s="10"/>
      <c r="P52" s="10"/>
      <c r="Q52" s="10"/>
    </row>
    <row r="53" spans="1:17" ht="21.75" customHeight="1" x14ac:dyDescent="0.15">
      <c r="A53" s="6" t="str">
        <f>IF(LARGE('Monthly Matrix'!$AH$4:$AH$76,50)&lt;0,"","IP-050")</f>
        <v>IP-050</v>
      </c>
      <c r="B53" s="6" t="str">
        <f>IFERROR(IF(LARGE('Monthly Matrix'!$AH$4:$AH$76,50)&lt;0,"",INDEX('Monthly Matrix'!$A$4:$A$76,MATCH(LARGE('Monthly Matrix'!$AH$4:$AH$76,50),'Monthly Matrix'!$AH$4:$AH$76,0))),"")</f>
        <v>FT-001</v>
      </c>
      <c r="C53" s="6" t="str">
        <f>IFERROR(IF(LARGE('Monthly Matrix'!$AH$4:$AH$76,50)&lt;0,"",INDEX('Monthly Matrix'!$B$4:$B$76,MATCH(LARGE('Monthly Matrix'!$AH$4:$AH$76,50),'Monthly Matrix'!$AH$4:$AH$76,0))),"")</f>
        <v>Kingfisher Tree Services Ltd</v>
      </c>
      <c r="D53" s="6">
        <f>IFERROR(IF(LARGE('Monthly Matrix'!$AH$4:$AH$76,50)&lt;0,"",INDEX('Monthly Matrix'!$G$4:$G$76,MATCH(LARGE('Monthly Matrix'!$AH$4:$AH$76,50),'Monthly Matrix'!$AH$4:$AH$76,0))),"")</f>
        <v>0</v>
      </c>
      <c r="E53" s="6">
        <f>IFERROR(IF(LARGE('Monthly Matrix'!$AH$4:$AH$76,50)&lt;0,"",INDEX('Monthly Matrix'!$F$4:$F$76,MATCH(LARGE('Monthly Matrix'!$AH$4:$AH$76,50),'Monthly Matrix'!$AH$4:$AH$76,0))),"")</f>
        <v>0</v>
      </c>
      <c r="F53" s="6" t="str">
        <f>IFERROR(IF(LARGE('Monthly Matrix'!$AH$4:$AH$76,50)&lt;0,"",INDEX('Monthly Matrix'!$E$4:$E$76,MATCH(LARGE('Monthly Matrix'!$AH$4:$AH$76,50),'Monthly Matrix'!$AH$4:$AH$76,0))),"")</f>
        <v>Jake Bolwell</v>
      </c>
      <c r="G53" s="6"/>
      <c r="H53" s="6" t="str">
        <f>IF(LARGE('Monthly Matrix'!$AH$4:$AH$76,50)&lt;0,"",'Monthly Matrix'!$AB$3)</f>
        <v>Rank
(high)</v>
      </c>
      <c r="I53" s="6" t="str">
        <f>IF(LARGE('Monthly Matrix'!$AH$4:$AH$76,50)&lt;0,"","HIGH")</f>
        <v>HIGH</v>
      </c>
      <c r="J53" s="6" t="str">
        <f>IFERROR(IF(LARGE('Monthly Matrix'!$AH$4:$AH$76,50)&lt;0,"",INDEX('Monthly Matrix'!$M$4:$M$76,MATCH(LARGE('Monthly Matrix'!$AH$4:$AH$76,50),'Monthly Matrix'!$AH$4:$AH$76,0))),"")</f>
        <v>NO</v>
      </c>
      <c r="K53" s="7"/>
      <c r="L53" s="7"/>
      <c r="M53" s="6"/>
      <c r="N53" s="6" t="str">
        <f>IF(LARGE('Monthly Matrix'!$AH$4:$AH$76,50)&lt;0,"","Open")</f>
        <v>Open</v>
      </c>
      <c r="O53" s="6"/>
      <c r="P53" s="6"/>
      <c r="Q53" s="6"/>
    </row>
    <row r="54" spans="1:17" ht="21.75" customHeight="1" x14ac:dyDescent="0.15">
      <c r="A54" s="10" t="str">
        <f>IF(LARGE('Monthly Matrix'!$AH$4:$AH$76,51)&lt;0,"","IP-051")</f>
        <v>IP-051</v>
      </c>
      <c r="B54" s="10" t="str">
        <f>IFERROR(IF(LARGE('Monthly Matrix'!$AH$4:$AH$76,51)&lt;0,"",INDEX('Monthly Matrix'!$A$4:$A$76,MATCH(LARGE('Monthly Matrix'!$AH$4:$AH$76,51),'Monthly Matrix'!$AH$4:$AH$76,0))),"")</f>
        <v>FT-001</v>
      </c>
      <c r="C54" s="10" t="str">
        <f>IFERROR(IF(LARGE('Monthly Matrix'!$AH$4:$AH$76,51)&lt;0,"",INDEX('Monthly Matrix'!$B$4:$B$76,MATCH(LARGE('Monthly Matrix'!$AH$4:$AH$76,51),'Monthly Matrix'!$AH$4:$AH$76,0))),"")</f>
        <v>Kingfisher Tree Services Ltd</v>
      </c>
      <c r="D54" s="10">
        <f>IFERROR(IF(LARGE('Monthly Matrix'!$AH$4:$AH$76,51)&lt;0,"",INDEX('Monthly Matrix'!$G$4:$G$76,MATCH(LARGE('Monthly Matrix'!$AH$4:$AH$76,51),'Monthly Matrix'!$AH$4:$AH$76,0))),"")</f>
        <v>0</v>
      </c>
      <c r="E54" s="10">
        <f>IFERROR(IF(LARGE('Monthly Matrix'!$AH$4:$AH$76,51)&lt;0,"",INDEX('Monthly Matrix'!$F$4:$F$76,MATCH(LARGE('Monthly Matrix'!$AH$4:$AH$76,51),'Monthly Matrix'!$AH$4:$AH$76,0))),"")</f>
        <v>0</v>
      </c>
      <c r="F54" s="10" t="str">
        <f>IFERROR(IF(LARGE('Monthly Matrix'!$AH$4:$AH$76,51)&lt;0,"",INDEX('Monthly Matrix'!$E$4:$E$76,MATCH(LARGE('Monthly Matrix'!$AH$4:$AH$76,51),'Monthly Matrix'!$AH$4:$AH$76,0))),"")</f>
        <v>Jake Bolwell</v>
      </c>
      <c r="G54" s="10"/>
      <c r="H54" s="10" t="str">
        <f>IF(LARGE('Monthly Matrix'!$AH$4:$AH$76,51)&lt;0,"",'Monthly Matrix'!$AB$3)</f>
        <v>Rank
(high)</v>
      </c>
      <c r="I54" s="10" t="str">
        <f>IF(LARGE('Monthly Matrix'!$AH$4:$AH$76,51)&lt;0,"","HIGH")</f>
        <v>HIGH</v>
      </c>
      <c r="J54" s="10" t="str">
        <f>IFERROR(IF(LARGE('Monthly Matrix'!$AH$4:$AH$76,51)&lt;0,"",INDEX('Monthly Matrix'!$M$4:$M$76,MATCH(LARGE('Monthly Matrix'!$AH$4:$AH$76,51),'Monthly Matrix'!$AH$4:$AH$76,0))),"")</f>
        <v>NO</v>
      </c>
      <c r="K54" s="11"/>
      <c r="L54" s="11"/>
      <c r="M54" s="10"/>
      <c r="N54" s="10" t="str">
        <f>IF(LARGE('Monthly Matrix'!$AH$4:$AH$76,51)&lt;0,"","Open")</f>
        <v>Open</v>
      </c>
      <c r="O54" s="10"/>
      <c r="P54" s="10"/>
      <c r="Q54" s="10"/>
    </row>
    <row r="55" spans="1:17" ht="21.75" customHeight="1" x14ac:dyDescent="0.15">
      <c r="A55" s="6" t="str">
        <f>IF(LARGE('Monthly Matrix'!$AH$4:$AH$76,52)&lt;0,"","IP-052")</f>
        <v>IP-052</v>
      </c>
      <c r="B55" s="6" t="str">
        <f>IFERROR(IF(LARGE('Monthly Matrix'!$AH$4:$AH$76,52)&lt;0,"",INDEX('Monthly Matrix'!$A$4:$A$76,MATCH(LARGE('Monthly Matrix'!$AH$4:$AH$76,52),'Monthly Matrix'!$AH$4:$AH$76,0))),"")</f>
        <v>FT-001</v>
      </c>
      <c r="C55" s="6" t="str">
        <f>IFERROR(IF(LARGE('Monthly Matrix'!$AH$4:$AH$76,52)&lt;0,"",INDEX('Monthly Matrix'!$B$4:$B$76,MATCH(LARGE('Monthly Matrix'!$AH$4:$AH$76,52),'Monthly Matrix'!$AH$4:$AH$76,0))),"")</f>
        <v>Kingfisher Tree Services Ltd</v>
      </c>
      <c r="D55" s="6">
        <f>IFERROR(IF(LARGE('Monthly Matrix'!$AH$4:$AH$76,52)&lt;0,"",INDEX('Monthly Matrix'!$G$4:$G$76,MATCH(LARGE('Monthly Matrix'!$AH$4:$AH$76,52),'Monthly Matrix'!$AH$4:$AH$76,0))),"")</f>
        <v>0</v>
      </c>
      <c r="E55" s="6">
        <f>IFERROR(IF(LARGE('Monthly Matrix'!$AH$4:$AH$76,52)&lt;0,"",INDEX('Monthly Matrix'!$F$4:$F$76,MATCH(LARGE('Monthly Matrix'!$AH$4:$AH$76,52),'Monthly Matrix'!$AH$4:$AH$76,0))),"")</f>
        <v>0</v>
      </c>
      <c r="F55" s="6" t="str">
        <f>IFERROR(IF(LARGE('Monthly Matrix'!$AH$4:$AH$76,52)&lt;0,"",INDEX('Monthly Matrix'!$E$4:$E$76,MATCH(LARGE('Monthly Matrix'!$AH$4:$AH$76,52),'Monthly Matrix'!$AH$4:$AH$76,0))),"")</f>
        <v>Jake Bolwell</v>
      </c>
      <c r="G55" s="6"/>
      <c r="H55" s="6" t="str">
        <f>IF(LARGE('Monthly Matrix'!$AH$4:$AH$76,52)&lt;0,"",'Monthly Matrix'!$AB$3)</f>
        <v>Rank
(high)</v>
      </c>
      <c r="I55" s="6" t="str">
        <f>IF(LARGE('Monthly Matrix'!$AH$4:$AH$76,52)&lt;0,"","HIGH")</f>
        <v>HIGH</v>
      </c>
      <c r="J55" s="6" t="str">
        <f>IFERROR(IF(LARGE('Monthly Matrix'!$AH$4:$AH$76,52)&lt;0,"",INDEX('Monthly Matrix'!$M$4:$M$76,MATCH(LARGE('Monthly Matrix'!$AH$4:$AH$76,52),'Monthly Matrix'!$AH$4:$AH$76,0))),"")</f>
        <v>NO</v>
      </c>
      <c r="K55" s="7"/>
      <c r="L55" s="7"/>
      <c r="M55" s="6"/>
      <c r="N55" s="6" t="str">
        <f>IF(LARGE('Monthly Matrix'!$AH$4:$AH$76,52)&lt;0,"","Open")</f>
        <v>Open</v>
      </c>
      <c r="O55" s="6"/>
      <c r="P55" s="6"/>
      <c r="Q55" s="6"/>
    </row>
    <row r="56" spans="1:17" ht="21.75" customHeight="1" x14ac:dyDescent="0.15">
      <c r="A56" s="10" t="str">
        <f>IF(LARGE('Monthly Matrix'!$AH$4:$AH$76,53)&lt;0,"","IP-053")</f>
        <v>IP-053</v>
      </c>
      <c r="B56" s="10" t="str">
        <f>IFERROR(IF(LARGE('Monthly Matrix'!$AH$4:$AH$76,53)&lt;0,"",INDEX('Monthly Matrix'!$A$4:$A$76,MATCH(LARGE('Monthly Matrix'!$AH$4:$AH$76,53),'Monthly Matrix'!$AH$4:$AH$76,0))),"")</f>
        <v>FT-001</v>
      </c>
      <c r="C56" s="10" t="str">
        <f>IFERROR(IF(LARGE('Monthly Matrix'!$AH$4:$AH$76,53)&lt;0,"",INDEX('Monthly Matrix'!$B$4:$B$76,MATCH(LARGE('Monthly Matrix'!$AH$4:$AH$76,53),'Monthly Matrix'!$AH$4:$AH$76,0))),"")</f>
        <v>Kingfisher Tree Services Ltd</v>
      </c>
      <c r="D56" s="10">
        <f>IFERROR(IF(LARGE('Monthly Matrix'!$AH$4:$AH$76,53)&lt;0,"",INDEX('Monthly Matrix'!$G$4:$G$76,MATCH(LARGE('Monthly Matrix'!$AH$4:$AH$76,53),'Monthly Matrix'!$AH$4:$AH$76,0))),"")</f>
        <v>0</v>
      </c>
      <c r="E56" s="10">
        <f>IFERROR(IF(LARGE('Monthly Matrix'!$AH$4:$AH$76,53)&lt;0,"",INDEX('Monthly Matrix'!$F$4:$F$76,MATCH(LARGE('Monthly Matrix'!$AH$4:$AH$76,53),'Monthly Matrix'!$AH$4:$AH$76,0))),"")</f>
        <v>0</v>
      </c>
      <c r="F56" s="10" t="str">
        <f>IFERROR(IF(LARGE('Monthly Matrix'!$AH$4:$AH$76,53)&lt;0,"",INDEX('Monthly Matrix'!$E$4:$E$76,MATCH(LARGE('Monthly Matrix'!$AH$4:$AH$76,53),'Monthly Matrix'!$AH$4:$AH$76,0))),"")</f>
        <v>Jake Bolwell</v>
      </c>
      <c r="G56" s="10"/>
      <c r="H56" s="10" t="str">
        <f>IF(LARGE('Monthly Matrix'!$AH$4:$AH$76,53)&lt;0,"",'Monthly Matrix'!$AB$3)</f>
        <v>Rank
(high)</v>
      </c>
      <c r="I56" s="10" t="str">
        <f>IF(LARGE('Monthly Matrix'!$AH$4:$AH$76,53)&lt;0,"","HIGH")</f>
        <v>HIGH</v>
      </c>
      <c r="J56" s="10" t="str">
        <f>IFERROR(IF(LARGE('Monthly Matrix'!$AH$4:$AH$76,53)&lt;0,"",INDEX('Monthly Matrix'!$M$4:$M$76,MATCH(LARGE('Monthly Matrix'!$AH$4:$AH$76,53),'Monthly Matrix'!$AH$4:$AH$76,0))),"")</f>
        <v>NO</v>
      </c>
      <c r="K56" s="11"/>
      <c r="L56" s="11"/>
      <c r="M56" s="10"/>
      <c r="N56" s="10" t="str">
        <f>IF(LARGE('Monthly Matrix'!$AH$4:$AH$76,53)&lt;0,"","Open")</f>
        <v>Open</v>
      </c>
      <c r="O56" s="10"/>
      <c r="P56" s="10"/>
      <c r="Q56" s="10"/>
    </row>
    <row r="57" spans="1:17" ht="21.75" customHeight="1" x14ac:dyDescent="0.15">
      <c r="A57" s="6" t="str">
        <f>IF(LARGE('Monthly Matrix'!$AH$4:$AH$76,54)&lt;0,"","IP-054")</f>
        <v>IP-054</v>
      </c>
      <c r="B57" s="6" t="str">
        <f>IFERROR(IF(LARGE('Monthly Matrix'!$AH$4:$AH$76,54)&lt;0,"",INDEX('Monthly Matrix'!$A$4:$A$76,MATCH(LARGE('Monthly Matrix'!$AH$4:$AH$76,54),'Monthly Matrix'!$AH$4:$AH$76,0))),"")</f>
        <v>FT-001</v>
      </c>
      <c r="C57" s="6" t="str">
        <f>IFERROR(IF(LARGE('Monthly Matrix'!$AH$4:$AH$76,54)&lt;0,"",INDEX('Monthly Matrix'!$B$4:$B$76,MATCH(LARGE('Monthly Matrix'!$AH$4:$AH$76,54),'Monthly Matrix'!$AH$4:$AH$76,0))),"")</f>
        <v>Kingfisher Tree Services Ltd</v>
      </c>
      <c r="D57" s="6">
        <f>IFERROR(IF(LARGE('Monthly Matrix'!$AH$4:$AH$76,54)&lt;0,"",INDEX('Monthly Matrix'!$G$4:$G$76,MATCH(LARGE('Monthly Matrix'!$AH$4:$AH$76,54),'Monthly Matrix'!$AH$4:$AH$76,0))),"")</f>
        <v>0</v>
      </c>
      <c r="E57" s="6">
        <f>IFERROR(IF(LARGE('Monthly Matrix'!$AH$4:$AH$76,54)&lt;0,"",INDEX('Monthly Matrix'!$F$4:$F$76,MATCH(LARGE('Monthly Matrix'!$AH$4:$AH$76,54),'Monthly Matrix'!$AH$4:$AH$76,0))),"")</f>
        <v>0</v>
      </c>
      <c r="F57" s="6" t="str">
        <f>IFERROR(IF(LARGE('Monthly Matrix'!$AH$4:$AH$76,54)&lt;0,"",INDEX('Monthly Matrix'!$E$4:$E$76,MATCH(LARGE('Monthly Matrix'!$AH$4:$AH$76,54),'Monthly Matrix'!$AH$4:$AH$76,0))),"")</f>
        <v>Jake Bolwell</v>
      </c>
      <c r="G57" s="6"/>
      <c r="H57" s="6" t="str">
        <f>IF(LARGE('Monthly Matrix'!$AH$4:$AH$76,54)&lt;0,"",'Monthly Matrix'!$AB$3)</f>
        <v>Rank
(high)</v>
      </c>
      <c r="I57" s="6" t="str">
        <f>IF(LARGE('Monthly Matrix'!$AH$4:$AH$76,54)&lt;0,"","HIGH")</f>
        <v>HIGH</v>
      </c>
      <c r="J57" s="6" t="str">
        <f>IFERROR(IF(LARGE('Monthly Matrix'!$AH$4:$AH$76,54)&lt;0,"",INDEX('Monthly Matrix'!$M$4:$M$76,MATCH(LARGE('Monthly Matrix'!$AH$4:$AH$76,54),'Monthly Matrix'!$AH$4:$AH$76,0))),"")</f>
        <v>NO</v>
      </c>
      <c r="K57" s="7"/>
      <c r="L57" s="7"/>
      <c r="M57" s="6"/>
      <c r="N57" s="6" t="str">
        <f>IF(LARGE('Monthly Matrix'!$AH$4:$AH$76,54)&lt;0,"","Open")</f>
        <v>Open</v>
      </c>
      <c r="O57" s="6"/>
      <c r="P57" s="6"/>
      <c r="Q57" s="6"/>
    </row>
    <row r="58" spans="1:17" ht="21.75" customHeight="1" x14ac:dyDescent="0.15">
      <c r="A58" s="10" t="str">
        <f>IF(LARGE('Monthly Matrix'!$AH$4:$AH$76,55)&lt;0,"","IP-055")</f>
        <v>IP-055</v>
      </c>
      <c r="B58" s="10" t="str">
        <f>IFERROR(IF(LARGE('Monthly Matrix'!$AH$4:$AH$76,55)&lt;0,"",INDEX('Monthly Matrix'!$A$4:$A$76,MATCH(LARGE('Monthly Matrix'!$AH$4:$AH$76,55),'Monthly Matrix'!$AH$4:$AH$76,0))),"")</f>
        <v>FT-001</v>
      </c>
      <c r="C58" s="10" t="str">
        <f>IFERROR(IF(LARGE('Monthly Matrix'!$AH$4:$AH$76,55)&lt;0,"",INDEX('Monthly Matrix'!$B$4:$B$76,MATCH(LARGE('Monthly Matrix'!$AH$4:$AH$76,55),'Monthly Matrix'!$AH$4:$AH$76,0))),"")</f>
        <v>Kingfisher Tree Services Ltd</v>
      </c>
      <c r="D58" s="10">
        <f>IFERROR(IF(LARGE('Monthly Matrix'!$AH$4:$AH$76,55)&lt;0,"",INDEX('Monthly Matrix'!$G$4:$G$76,MATCH(LARGE('Monthly Matrix'!$AH$4:$AH$76,55),'Monthly Matrix'!$AH$4:$AH$76,0))),"")</f>
        <v>0</v>
      </c>
      <c r="E58" s="10">
        <f>IFERROR(IF(LARGE('Monthly Matrix'!$AH$4:$AH$76,55)&lt;0,"",INDEX('Monthly Matrix'!$F$4:$F$76,MATCH(LARGE('Monthly Matrix'!$AH$4:$AH$76,55),'Monthly Matrix'!$AH$4:$AH$76,0))),"")</f>
        <v>0</v>
      </c>
      <c r="F58" s="10" t="str">
        <f>IFERROR(IF(LARGE('Monthly Matrix'!$AH$4:$AH$76,55)&lt;0,"",INDEX('Monthly Matrix'!$E$4:$E$76,MATCH(LARGE('Monthly Matrix'!$AH$4:$AH$76,55),'Monthly Matrix'!$AH$4:$AH$76,0))),"")</f>
        <v>Jake Bolwell</v>
      </c>
      <c r="G58" s="10"/>
      <c r="H58" s="10" t="str">
        <f>IF(LARGE('Monthly Matrix'!$AH$4:$AH$76,55)&lt;0,"",'Monthly Matrix'!$AB$3)</f>
        <v>Rank
(high)</v>
      </c>
      <c r="I58" s="10" t="str">
        <f>IF(LARGE('Monthly Matrix'!$AH$4:$AH$76,55)&lt;0,"","HIGH")</f>
        <v>HIGH</v>
      </c>
      <c r="J58" s="10" t="str">
        <f>IFERROR(IF(LARGE('Monthly Matrix'!$AH$4:$AH$76,55)&lt;0,"",INDEX('Monthly Matrix'!$M$4:$M$76,MATCH(LARGE('Monthly Matrix'!$AH$4:$AH$76,55),'Monthly Matrix'!$AH$4:$AH$76,0))),"")</f>
        <v>NO</v>
      </c>
      <c r="K58" s="11"/>
      <c r="L58" s="11"/>
      <c r="M58" s="10"/>
      <c r="N58" s="10" t="str">
        <f>IF(LARGE('Monthly Matrix'!$AH$4:$AH$76,55)&lt;0,"","Open")</f>
        <v>Open</v>
      </c>
      <c r="O58" s="10"/>
      <c r="P58" s="10"/>
      <c r="Q58" s="10"/>
    </row>
    <row r="59" spans="1:17" ht="21.75" customHeight="1" x14ac:dyDescent="0.15">
      <c r="A59" s="6" t="str">
        <f>IF(LARGE('Monthly Matrix'!$AH$4:$AH$76,56)&lt;0,"","IP-056")</f>
        <v>IP-056</v>
      </c>
      <c r="B59" s="6" t="str">
        <f>IFERROR(IF(LARGE('Monthly Matrix'!$AH$4:$AH$76,56)&lt;0,"",INDEX('Monthly Matrix'!$A$4:$A$76,MATCH(LARGE('Monthly Matrix'!$AH$4:$AH$76,56),'Monthly Matrix'!$AH$4:$AH$76,0))),"")</f>
        <v>FT-001</v>
      </c>
      <c r="C59" s="6" t="str">
        <f>IFERROR(IF(LARGE('Monthly Matrix'!$AH$4:$AH$76,56)&lt;0,"",INDEX('Monthly Matrix'!$B$4:$B$76,MATCH(LARGE('Monthly Matrix'!$AH$4:$AH$76,56),'Monthly Matrix'!$AH$4:$AH$76,0))),"")</f>
        <v>Kingfisher Tree Services Ltd</v>
      </c>
      <c r="D59" s="6">
        <f>IFERROR(IF(LARGE('Monthly Matrix'!$AH$4:$AH$76,56)&lt;0,"",INDEX('Monthly Matrix'!$G$4:$G$76,MATCH(LARGE('Monthly Matrix'!$AH$4:$AH$76,56),'Monthly Matrix'!$AH$4:$AH$76,0))),"")</f>
        <v>0</v>
      </c>
      <c r="E59" s="6">
        <f>IFERROR(IF(LARGE('Monthly Matrix'!$AH$4:$AH$76,56)&lt;0,"",INDEX('Monthly Matrix'!$F$4:$F$76,MATCH(LARGE('Monthly Matrix'!$AH$4:$AH$76,56),'Monthly Matrix'!$AH$4:$AH$76,0))),"")</f>
        <v>0</v>
      </c>
      <c r="F59" s="6" t="str">
        <f>IFERROR(IF(LARGE('Monthly Matrix'!$AH$4:$AH$76,56)&lt;0,"",INDEX('Monthly Matrix'!$E$4:$E$76,MATCH(LARGE('Monthly Matrix'!$AH$4:$AH$76,56),'Monthly Matrix'!$AH$4:$AH$76,0))),"")</f>
        <v>Jake Bolwell</v>
      </c>
      <c r="G59" s="6"/>
      <c r="H59" s="6" t="str">
        <f>IF(LARGE('Monthly Matrix'!$AH$4:$AH$76,56)&lt;0,"",'Monthly Matrix'!$AB$3)</f>
        <v>Rank
(high)</v>
      </c>
      <c r="I59" s="6" t="str">
        <f>IF(LARGE('Monthly Matrix'!$AH$4:$AH$76,56)&lt;0,"","HIGH")</f>
        <v>HIGH</v>
      </c>
      <c r="J59" s="6" t="str">
        <f>IFERROR(IF(LARGE('Monthly Matrix'!$AH$4:$AH$76,56)&lt;0,"",INDEX('Monthly Matrix'!$M$4:$M$76,MATCH(LARGE('Monthly Matrix'!$AH$4:$AH$76,56),'Monthly Matrix'!$AH$4:$AH$76,0))),"")</f>
        <v>NO</v>
      </c>
      <c r="K59" s="7"/>
      <c r="L59" s="7"/>
      <c r="M59" s="6"/>
      <c r="N59" s="6" t="str">
        <f>IF(LARGE('Monthly Matrix'!$AH$4:$AH$76,56)&lt;0,"","Open")</f>
        <v>Open</v>
      </c>
      <c r="O59" s="6"/>
      <c r="P59" s="6"/>
      <c r="Q59" s="6"/>
    </row>
    <row r="60" spans="1:17" ht="21.75" customHeight="1" x14ac:dyDescent="0.15">
      <c r="A60" s="10" t="str">
        <f>IF(LARGE('Monthly Matrix'!$AH$4:$AH$76,57)&lt;0,"","IP-057")</f>
        <v>IP-057</v>
      </c>
      <c r="B60" s="10" t="str">
        <f>IFERROR(IF(LARGE('Monthly Matrix'!$AH$4:$AH$76,57)&lt;0,"",INDEX('Monthly Matrix'!$A$4:$A$76,MATCH(LARGE('Monthly Matrix'!$AH$4:$AH$76,57),'Monthly Matrix'!$AH$4:$AH$76,0))),"")</f>
        <v>FT-001</v>
      </c>
      <c r="C60" s="10" t="str">
        <f>IFERROR(IF(LARGE('Monthly Matrix'!$AH$4:$AH$76,57)&lt;0,"",INDEX('Monthly Matrix'!$B$4:$B$76,MATCH(LARGE('Monthly Matrix'!$AH$4:$AH$76,57),'Monthly Matrix'!$AH$4:$AH$76,0))),"")</f>
        <v>Kingfisher Tree Services Ltd</v>
      </c>
      <c r="D60" s="10">
        <f>IFERROR(IF(LARGE('Monthly Matrix'!$AH$4:$AH$76,57)&lt;0,"",INDEX('Monthly Matrix'!$G$4:$G$76,MATCH(LARGE('Monthly Matrix'!$AH$4:$AH$76,57),'Monthly Matrix'!$AH$4:$AH$76,0))),"")</f>
        <v>0</v>
      </c>
      <c r="E60" s="10">
        <f>IFERROR(IF(LARGE('Monthly Matrix'!$AH$4:$AH$76,57)&lt;0,"",INDEX('Monthly Matrix'!$F$4:$F$76,MATCH(LARGE('Monthly Matrix'!$AH$4:$AH$76,57),'Monthly Matrix'!$AH$4:$AH$76,0))),"")</f>
        <v>0</v>
      </c>
      <c r="F60" s="10" t="str">
        <f>IFERROR(IF(LARGE('Monthly Matrix'!$AH$4:$AH$76,57)&lt;0,"",INDEX('Monthly Matrix'!$E$4:$E$76,MATCH(LARGE('Monthly Matrix'!$AH$4:$AH$76,57),'Monthly Matrix'!$AH$4:$AH$76,0))),"")</f>
        <v>Jake Bolwell</v>
      </c>
      <c r="G60" s="10"/>
      <c r="H60" s="10" t="str">
        <f>IF(LARGE('Monthly Matrix'!$AH$4:$AH$76,57)&lt;0,"",'Monthly Matrix'!$AB$3)</f>
        <v>Rank
(high)</v>
      </c>
      <c r="I60" s="10" t="str">
        <f>IF(LARGE('Monthly Matrix'!$AH$4:$AH$76,57)&lt;0,"","HIGH")</f>
        <v>HIGH</v>
      </c>
      <c r="J60" s="10" t="str">
        <f>IFERROR(IF(LARGE('Monthly Matrix'!$AH$4:$AH$76,57)&lt;0,"",INDEX('Monthly Matrix'!$M$4:$M$76,MATCH(LARGE('Monthly Matrix'!$AH$4:$AH$76,57),'Monthly Matrix'!$AH$4:$AH$76,0))),"")</f>
        <v>NO</v>
      </c>
      <c r="K60" s="11"/>
      <c r="L60" s="11"/>
      <c r="M60" s="10"/>
      <c r="N60" s="10" t="str">
        <f>IF(LARGE('Monthly Matrix'!$AH$4:$AH$76,57)&lt;0,"","Open")</f>
        <v>Open</v>
      </c>
      <c r="O60" s="10"/>
      <c r="P60" s="10"/>
      <c r="Q60" s="10"/>
    </row>
    <row r="61" spans="1:17" ht="21.75" customHeight="1" x14ac:dyDescent="0.15">
      <c r="A61" s="6" t="str">
        <f>IF(LARGE('Monthly Matrix'!$AH$4:$AH$76,58)&lt;0,"","IP-058")</f>
        <v>IP-058</v>
      </c>
      <c r="B61" s="6" t="str">
        <f>IFERROR(IF(LARGE('Monthly Matrix'!$AH$4:$AH$76,58)&lt;0,"",INDEX('Monthly Matrix'!$A$4:$A$76,MATCH(LARGE('Monthly Matrix'!$AH$4:$AH$76,58),'Monthly Matrix'!$AH$4:$AH$76,0))),"")</f>
        <v>FT-001</v>
      </c>
      <c r="C61" s="6" t="str">
        <f>IFERROR(IF(LARGE('Monthly Matrix'!$AH$4:$AH$76,58)&lt;0,"",INDEX('Monthly Matrix'!$B$4:$B$76,MATCH(LARGE('Monthly Matrix'!$AH$4:$AH$76,58),'Monthly Matrix'!$AH$4:$AH$76,0))),"")</f>
        <v>Kingfisher Tree Services Ltd</v>
      </c>
      <c r="D61" s="6">
        <f>IFERROR(IF(LARGE('Monthly Matrix'!$AH$4:$AH$76,58)&lt;0,"",INDEX('Monthly Matrix'!$G$4:$G$76,MATCH(LARGE('Monthly Matrix'!$AH$4:$AH$76,58),'Monthly Matrix'!$AH$4:$AH$76,0))),"")</f>
        <v>0</v>
      </c>
      <c r="E61" s="6">
        <f>IFERROR(IF(LARGE('Monthly Matrix'!$AH$4:$AH$76,58)&lt;0,"",INDEX('Monthly Matrix'!$F$4:$F$76,MATCH(LARGE('Monthly Matrix'!$AH$4:$AH$76,58),'Monthly Matrix'!$AH$4:$AH$76,0))),"")</f>
        <v>0</v>
      </c>
      <c r="F61" s="6" t="str">
        <f>IFERROR(IF(LARGE('Monthly Matrix'!$AH$4:$AH$76,58)&lt;0,"",INDEX('Monthly Matrix'!$E$4:$E$76,MATCH(LARGE('Monthly Matrix'!$AH$4:$AH$76,58),'Monthly Matrix'!$AH$4:$AH$76,0))),"")</f>
        <v>Jake Bolwell</v>
      </c>
      <c r="G61" s="6"/>
      <c r="H61" s="6" t="str">
        <f>IF(LARGE('Monthly Matrix'!$AH$4:$AH$76,58)&lt;0,"",'Monthly Matrix'!$AB$3)</f>
        <v>Rank
(high)</v>
      </c>
      <c r="I61" s="6" t="str">
        <f>IF(LARGE('Monthly Matrix'!$AH$4:$AH$76,58)&lt;0,"","HIGH")</f>
        <v>HIGH</v>
      </c>
      <c r="J61" s="6" t="str">
        <f>IFERROR(IF(LARGE('Monthly Matrix'!$AH$4:$AH$76,58)&lt;0,"",INDEX('Monthly Matrix'!$M$4:$M$76,MATCH(LARGE('Monthly Matrix'!$AH$4:$AH$76,58),'Monthly Matrix'!$AH$4:$AH$76,0))),"")</f>
        <v>NO</v>
      </c>
      <c r="K61" s="7"/>
      <c r="L61" s="7"/>
      <c r="M61" s="6"/>
      <c r="N61" s="6" t="str">
        <f>IF(LARGE('Monthly Matrix'!$AH$4:$AH$76,58)&lt;0,"","Open")</f>
        <v>Open</v>
      </c>
      <c r="O61" s="6"/>
      <c r="P61" s="6"/>
      <c r="Q61" s="6"/>
    </row>
    <row r="62" spans="1:17" ht="21.75" customHeight="1" x14ac:dyDescent="0.15">
      <c r="A62" s="10" t="str">
        <f>IF(LARGE('Monthly Matrix'!$AH$4:$AH$76,59)&lt;0,"","IP-059")</f>
        <v>IP-059</v>
      </c>
      <c r="B62" s="10" t="str">
        <f>IFERROR(IF(LARGE('Monthly Matrix'!$AH$4:$AH$76,59)&lt;0,"",INDEX('Monthly Matrix'!$A$4:$A$76,MATCH(LARGE('Monthly Matrix'!$AH$4:$AH$76,59),'Monthly Matrix'!$AH$4:$AH$76,0))),"")</f>
        <v>FT-001</v>
      </c>
      <c r="C62" s="10" t="str">
        <f>IFERROR(IF(LARGE('Monthly Matrix'!$AH$4:$AH$76,59)&lt;0,"",INDEX('Monthly Matrix'!$B$4:$B$76,MATCH(LARGE('Monthly Matrix'!$AH$4:$AH$76,59),'Monthly Matrix'!$AH$4:$AH$76,0))),"")</f>
        <v>Kingfisher Tree Services Ltd</v>
      </c>
      <c r="D62" s="10">
        <f>IFERROR(IF(LARGE('Monthly Matrix'!$AH$4:$AH$76,59)&lt;0,"",INDEX('Monthly Matrix'!$G$4:$G$76,MATCH(LARGE('Monthly Matrix'!$AH$4:$AH$76,59),'Monthly Matrix'!$AH$4:$AH$76,0))),"")</f>
        <v>0</v>
      </c>
      <c r="E62" s="10">
        <f>IFERROR(IF(LARGE('Monthly Matrix'!$AH$4:$AH$76,59)&lt;0,"",INDEX('Monthly Matrix'!$F$4:$F$76,MATCH(LARGE('Monthly Matrix'!$AH$4:$AH$76,59),'Monthly Matrix'!$AH$4:$AH$76,0))),"")</f>
        <v>0</v>
      </c>
      <c r="F62" s="10" t="str">
        <f>IFERROR(IF(LARGE('Monthly Matrix'!$AH$4:$AH$76,59)&lt;0,"",INDEX('Monthly Matrix'!$E$4:$E$76,MATCH(LARGE('Monthly Matrix'!$AH$4:$AH$76,59),'Monthly Matrix'!$AH$4:$AH$76,0))),"")</f>
        <v>Jake Bolwell</v>
      </c>
      <c r="G62" s="10"/>
      <c r="H62" s="10" t="str">
        <f>IF(LARGE('Monthly Matrix'!$AH$4:$AH$76,59)&lt;0,"",'Monthly Matrix'!$AB$3)</f>
        <v>Rank
(high)</v>
      </c>
      <c r="I62" s="10" t="str">
        <f>IF(LARGE('Monthly Matrix'!$AH$4:$AH$76,59)&lt;0,"","HIGH")</f>
        <v>HIGH</v>
      </c>
      <c r="J62" s="10" t="str">
        <f>IFERROR(IF(LARGE('Monthly Matrix'!$AH$4:$AH$76,59)&lt;0,"",INDEX('Monthly Matrix'!$M$4:$M$76,MATCH(LARGE('Monthly Matrix'!$AH$4:$AH$76,59),'Monthly Matrix'!$AH$4:$AH$76,0))),"")</f>
        <v>NO</v>
      </c>
      <c r="K62" s="11"/>
      <c r="L62" s="11"/>
      <c r="M62" s="10"/>
      <c r="N62" s="10" t="str">
        <f>IF(LARGE('Monthly Matrix'!$AH$4:$AH$76,59)&lt;0,"","Open")</f>
        <v>Open</v>
      </c>
      <c r="O62" s="10"/>
      <c r="P62" s="10"/>
      <c r="Q62" s="10"/>
    </row>
    <row r="63" spans="1:17" ht="21.75" customHeight="1" x14ac:dyDescent="0.15">
      <c r="A63" s="6" t="str">
        <f>IF(LARGE('Monthly Matrix'!$AH$4:$AH$76,60)&lt;0,"","IP-060")</f>
        <v>IP-060</v>
      </c>
      <c r="B63" s="6" t="str">
        <f>IFERROR(IF(LARGE('Monthly Matrix'!$AH$4:$AH$76,60)&lt;0,"",INDEX('Monthly Matrix'!$A$4:$A$76,MATCH(LARGE('Monthly Matrix'!$AH$4:$AH$76,60),'Monthly Matrix'!$AH$4:$AH$76,0))),"")</f>
        <v>FT-001</v>
      </c>
      <c r="C63" s="6" t="str">
        <f>IFERROR(IF(LARGE('Monthly Matrix'!$AH$4:$AH$76,60)&lt;0,"",INDEX('Monthly Matrix'!$B$4:$B$76,MATCH(LARGE('Monthly Matrix'!$AH$4:$AH$76,60),'Monthly Matrix'!$AH$4:$AH$76,0))),"")</f>
        <v>Kingfisher Tree Services Ltd</v>
      </c>
      <c r="D63" s="6">
        <f>IFERROR(IF(LARGE('Monthly Matrix'!$AH$4:$AH$76,60)&lt;0,"",INDEX('Monthly Matrix'!$G$4:$G$76,MATCH(LARGE('Monthly Matrix'!$AH$4:$AH$76,60),'Monthly Matrix'!$AH$4:$AH$76,0))),"")</f>
        <v>0</v>
      </c>
      <c r="E63" s="6">
        <f>IFERROR(IF(LARGE('Monthly Matrix'!$AH$4:$AH$76,60)&lt;0,"",INDEX('Monthly Matrix'!$F$4:$F$76,MATCH(LARGE('Monthly Matrix'!$AH$4:$AH$76,60),'Monthly Matrix'!$AH$4:$AH$76,0))),"")</f>
        <v>0</v>
      </c>
      <c r="F63" s="6" t="str">
        <f>IFERROR(IF(LARGE('Monthly Matrix'!$AH$4:$AH$76,60)&lt;0,"",INDEX('Monthly Matrix'!$E$4:$E$76,MATCH(LARGE('Monthly Matrix'!$AH$4:$AH$76,60),'Monthly Matrix'!$AH$4:$AH$76,0))),"")</f>
        <v>Jake Bolwell</v>
      </c>
      <c r="G63" s="6"/>
      <c r="H63" s="6" t="str">
        <f>IF(LARGE('Monthly Matrix'!$AH$4:$AH$76,60)&lt;0,"",'Monthly Matrix'!$AB$3)</f>
        <v>Rank
(high)</v>
      </c>
      <c r="I63" s="6" t="str">
        <f>IF(LARGE('Monthly Matrix'!$AH$4:$AH$76,60)&lt;0,"","HIGH")</f>
        <v>HIGH</v>
      </c>
      <c r="J63" s="6" t="str">
        <f>IFERROR(IF(LARGE('Monthly Matrix'!$AH$4:$AH$76,60)&lt;0,"",INDEX('Monthly Matrix'!$M$4:$M$76,MATCH(LARGE('Monthly Matrix'!$AH$4:$AH$76,60),'Monthly Matrix'!$AH$4:$AH$76,0))),"")</f>
        <v>NO</v>
      </c>
      <c r="K63" s="7"/>
      <c r="L63" s="7"/>
      <c r="M63" s="6"/>
      <c r="N63" s="6" t="str">
        <f>IF(LARGE('Monthly Matrix'!$AH$4:$AH$76,60)&lt;0,"","Open")</f>
        <v>Open</v>
      </c>
      <c r="O63" s="6"/>
      <c r="P63" s="6"/>
      <c r="Q63" s="6"/>
    </row>
    <row r="64" spans="1:17" ht="21.75" customHeight="1" x14ac:dyDescent="0.15">
      <c r="A64" s="10" t="str">
        <f>IF(LARGE('Monthly Matrix'!$AH$4:$AH$76,61)&lt;0,"","IP-061")</f>
        <v>IP-061</v>
      </c>
      <c r="B64" s="10" t="str">
        <f>IFERROR(IF(LARGE('Monthly Matrix'!$AH$4:$AH$76,61)&lt;0,"",INDEX('Monthly Matrix'!$A$4:$A$76,MATCH(LARGE('Monthly Matrix'!$AH$4:$AH$76,61),'Monthly Matrix'!$AH$4:$AH$76,0))),"")</f>
        <v>FT-001</v>
      </c>
      <c r="C64" s="10" t="str">
        <f>IFERROR(IF(LARGE('Monthly Matrix'!$AH$4:$AH$76,61)&lt;0,"",INDEX('Monthly Matrix'!$B$4:$B$76,MATCH(LARGE('Monthly Matrix'!$AH$4:$AH$76,61),'Monthly Matrix'!$AH$4:$AH$76,0))),"")</f>
        <v>Kingfisher Tree Services Ltd</v>
      </c>
      <c r="D64" s="10">
        <f>IFERROR(IF(LARGE('Monthly Matrix'!$AH$4:$AH$76,61)&lt;0,"",INDEX('Monthly Matrix'!$G$4:$G$76,MATCH(LARGE('Monthly Matrix'!$AH$4:$AH$76,61),'Monthly Matrix'!$AH$4:$AH$76,0))),"")</f>
        <v>0</v>
      </c>
      <c r="E64" s="10">
        <f>IFERROR(IF(LARGE('Monthly Matrix'!$AH$4:$AH$76,61)&lt;0,"",INDEX('Monthly Matrix'!$F$4:$F$76,MATCH(LARGE('Monthly Matrix'!$AH$4:$AH$76,61),'Monthly Matrix'!$AH$4:$AH$76,0))),"")</f>
        <v>0</v>
      </c>
      <c r="F64" s="10" t="str">
        <f>IFERROR(IF(LARGE('Monthly Matrix'!$AH$4:$AH$76,61)&lt;0,"",INDEX('Monthly Matrix'!$E$4:$E$76,MATCH(LARGE('Monthly Matrix'!$AH$4:$AH$76,61),'Monthly Matrix'!$AH$4:$AH$76,0))),"")</f>
        <v>Jake Bolwell</v>
      </c>
      <c r="G64" s="10"/>
      <c r="H64" s="10" t="str">
        <f>IF(LARGE('Monthly Matrix'!$AH$4:$AH$76,61)&lt;0,"",'Monthly Matrix'!$AB$3)</f>
        <v>Rank
(high)</v>
      </c>
      <c r="I64" s="10" t="str">
        <f>IF(LARGE('Monthly Matrix'!$AH$4:$AH$76,61)&lt;0,"","HIGH")</f>
        <v>HIGH</v>
      </c>
      <c r="J64" s="10" t="str">
        <f>IFERROR(IF(LARGE('Monthly Matrix'!$AH$4:$AH$76,61)&lt;0,"",INDEX('Monthly Matrix'!$M$4:$M$76,MATCH(LARGE('Monthly Matrix'!$AH$4:$AH$76,61),'Monthly Matrix'!$AH$4:$AH$76,0))),"")</f>
        <v>NO</v>
      </c>
      <c r="K64" s="11"/>
      <c r="L64" s="11"/>
      <c r="M64" s="10"/>
      <c r="N64" s="10" t="str">
        <f>IF(LARGE('Monthly Matrix'!$AH$4:$AH$76,61)&lt;0,"","Open")</f>
        <v>Open</v>
      </c>
      <c r="O64" s="10"/>
      <c r="P64" s="10"/>
      <c r="Q64" s="10"/>
    </row>
    <row r="65" spans="1:17" ht="21.75" customHeight="1" x14ac:dyDescent="0.15">
      <c r="A65" s="6" t="str">
        <f>IF(LARGE('Monthly Matrix'!$AH$4:$AH$76,62)&lt;0,"","IP-062")</f>
        <v>IP-062</v>
      </c>
      <c r="B65" s="6" t="str">
        <f>IFERROR(IF(LARGE('Monthly Matrix'!$AH$4:$AH$76,62)&lt;0,"",INDEX('Monthly Matrix'!$A$4:$A$76,MATCH(LARGE('Monthly Matrix'!$AH$4:$AH$76,62),'Monthly Matrix'!$AH$4:$AH$76,0))),"")</f>
        <v>FT-001</v>
      </c>
      <c r="C65" s="6" t="str">
        <f>IFERROR(IF(LARGE('Monthly Matrix'!$AH$4:$AH$76,62)&lt;0,"",INDEX('Monthly Matrix'!$B$4:$B$76,MATCH(LARGE('Monthly Matrix'!$AH$4:$AH$76,62),'Monthly Matrix'!$AH$4:$AH$76,0))),"")</f>
        <v>Kingfisher Tree Services Ltd</v>
      </c>
      <c r="D65" s="6">
        <f>IFERROR(IF(LARGE('Monthly Matrix'!$AH$4:$AH$76,62)&lt;0,"",INDEX('Monthly Matrix'!$G$4:$G$76,MATCH(LARGE('Monthly Matrix'!$AH$4:$AH$76,62),'Monthly Matrix'!$AH$4:$AH$76,0))),"")</f>
        <v>0</v>
      </c>
      <c r="E65" s="6">
        <f>IFERROR(IF(LARGE('Monthly Matrix'!$AH$4:$AH$76,62)&lt;0,"",INDEX('Monthly Matrix'!$F$4:$F$76,MATCH(LARGE('Monthly Matrix'!$AH$4:$AH$76,62),'Monthly Matrix'!$AH$4:$AH$76,0))),"")</f>
        <v>0</v>
      </c>
      <c r="F65" s="6" t="str">
        <f>IFERROR(IF(LARGE('Monthly Matrix'!$AH$4:$AH$76,62)&lt;0,"",INDEX('Monthly Matrix'!$E$4:$E$76,MATCH(LARGE('Monthly Matrix'!$AH$4:$AH$76,62),'Monthly Matrix'!$AH$4:$AH$76,0))),"")</f>
        <v>Jake Bolwell</v>
      </c>
      <c r="G65" s="6"/>
      <c r="H65" s="6" t="str">
        <f>IF(LARGE('Monthly Matrix'!$AH$4:$AH$76,62)&lt;0,"",'Monthly Matrix'!$AB$3)</f>
        <v>Rank
(high)</v>
      </c>
      <c r="I65" s="6" t="str">
        <f>IF(LARGE('Monthly Matrix'!$AH$4:$AH$76,62)&lt;0,"","HIGH")</f>
        <v>HIGH</v>
      </c>
      <c r="J65" s="6" t="str">
        <f>IFERROR(IF(LARGE('Monthly Matrix'!$AH$4:$AH$76,62)&lt;0,"",INDEX('Monthly Matrix'!$M$4:$M$76,MATCH(LARGE('Monthly Matrix'!$AH$4:$AH$76,62),'Monthly Matrix'!$AH$4:$AH$76,0))),"")</f>
        <v>NO</v>
      </c>
      <c r="K65" s="7"/>
      <c r="L65" s="7"/>
      <c r="M65" s="6"/>
      <c r="N65" s="6" t="str">
        <f>IF(LARGE('Monthly Matrix'!$AH$4:$AH$76,62)&lt;0,"","Open")</f>
        <v>Open</v>
      </c>
      <c r="O65" s="6"/>
      <c r="P65" s="6"/>
      <c r="Q65" s="6"/>
    </row>
    <row r="66" spans="1:17" ht="21.75" customHeight="1" x14ac:dyDescent="0.15">
      <c r="A66" s="10" t="str">
        <f>IF(LARGE('Monthly Matrix'!$AH$4:$AH$76,63)&lt;0,"","IP-063")</f>
        <v>IP-063</v>
      </c>
      <c r="B66" s="10" t="str">
        <f>IFERROR(IF(LARGE('Monthly Matrix'!$AH$4:$AH$76,63)&lt;0,"",INDEX('Monthly Matrix'!$A$4:$A$76,MATCH(LARGE('Monthly Matrix'!$AH$4:$AH$76,63),'Monthly Matrix'!$AH$4:$AH$76,0))),"")</f>
        <v>FT-001</v>
      </c>
      <c r="C66" s="10" t="str">
        <f>IFERROR(IF(LARGE('Monthly Matrix'!$AH$4:$AH$76,63)&lt;0,"",INDEX('Monthly Matrix'!$B$4:$B$76,MATCH(LARGE('Monthly Matrix'!$AH$4:$AH$76,63),'Monthly Matrix'!$AH$4:$AH$76,0))),"")</f>
        <v>Kingfisher Tree Services Ltd</v>
      </c>
      <c r="D66" s="10">
        <f>IFERROR(IF(LARGE('Monthly Matrix'!$AH$4:$AH$76,63)&lt;0,"",INDEX('Monthly Matrix'!$G$4:$G$76,MATCH(LARGE('Monthly Matrix'!$AH$4:$AH$76,63),'Monthly Matrix'!$AH$4:$AH$76,0))),"")</f>
        <v>0</v>
      </c>
      <c r="E66" s="10">
        <f>IFERROR(IF(LARGE('Monthly Matrix'!$AH$4:$AH$76,63)&lt;0,"",INDEX('Monthly Matrix'!$F$4:$F$76,MATCH(LARGE('Monthly Matrix'!$AH$4:$AH$76,63),'Monthly Matrix'!$AH$4:$AH$76,0))),"")</f>
        <v>0</v>
      </c>
      <c r="F66" s="10" t="str">
        <f>IFERROR(IF(LARGE('Monthly Matrix'!$AH$4:$AH$76,63)&lt;0,"",INDEX('Monthly Matrix'!$E$4:$E$76,MATCH(LARGE('Monthly Matrix'!$AH$4:$AH$76,63),'Monthly Matrix'!$AH$4:$AH$76,0))),"")</f>
        <v>Jake Bolwell</v>
      </c>
      <c r="G66" s="10"/>
      <c r="H66" s="10" t="str">
        <f>IF(LARGE('Monthly Matrix'!$AH$4:$AH$76,63)&lt;0,"",'Monthly Matrix'!$AB$3)</f>
        <v>Rank
(high)</v>
      </c>
      <c r="I66" s="10" t="str">
        <f>IF(LARGE('Monthly Matrix'!$AH$4:$AH$76,63)&lt;0,"","HIGH")</f>
        <v>HIGH</v>
      </c>
      <c r="J66" s="10" t="str">
        <f>IFERROR(IF(LARGE('Monthly Matrix'!$AH$4:$AH$76,63)&lt;0,"",INDEX('Monthly Matrix'!$M$4:$M$76,MATCH(LARGE('Monthly Matrix'!$AH$4:$AH$76,63),'Monthly Matrix'!$AH$4:$AH$76,0))),"")</f>
        <v>NO</v>
      </c>
      <c r="K66" s="11"/>
      <c r="L66" s="11"/>
      <c r="M66" s="10"/>
      <c r="N66" s="10" t="str">
        <f>IF(LARGE('Monthly Matrix'!$AH$4:$AH$76,63)&lt;0,"","Open")</f>
        <v>Open</v>
      </c>
      <c r="O66" s="10"/>
      <c r="P66" s="10"/>
      <c r="Q66" s="10"/>
    </row>
    <row r="67" spans="1:17" ht="21.75" customHeight="1" x14ac:dyDescent="0.15">
      <c r="A67" s="6" t="str">
        <f>IF(LARGE('Monthly Matrix'!$AH$4:$AH$76,64)&lt;0,"","IP-064")</f>
        <v>IP-064</v>
      </c>
      <c r="B67" s="6" t="str">
        <f>IFERROR(IF(LARGE('Monthly Matrix'!$AH$4:$AH$76,64)&lt;0,"",INDEX('Monthly Matrix'!$A$4:$A$76,MATCH(LARGE('Monthly Matrix'!$AH$4:$AH$76,64),'Monthly Matrix'!$AH$4:$AH$76,0))),"")</f>
        <v>FT-001</v>
      </c>
      <c r="C67" s="6" t="str">
        <f>IFERROR(IF(LARGE('Monthly Matrix'!$AH$4:$AH$76,64)&lt;0,"",INDEX('Monthly Matrix'!$B$4:$B$76,MATCH(LARGE('Monthly Matrix'!$AH$4:$AH$76,64),'Monthly Matrix'!$AH$4:$AH$76,0))),"")</f>
        <v>Kingfisher Tree Services Ltd</v>
      </c>
      <c r="D67" s="6">
        <f>IFERROR(IF(LARGE('Monthly Matrix'!$AH$4:$AH$76,64)&lt;0,"",INDEX('Monthly Matrix'!$G$4:$G$76,MATCH(LARGE('Monthly Matrix'!$AH$4:$AH$76,64),'Monthly Matrix'!$AH$4:$AH$76,0))),"")</f>
        <v>0</v>
      </c>
      <c r="E67" s="6">
        <f>IFERROR(IF(LARGE('Monthly Matrix'!$AH$4:$AH$76,64)&lt;0,"",INDEX('Monthly Matrix'!$F$4:$F$76,MATCH(LARGE('Monthly Matrix'!$AH$4:$AH$76,64),'Monthly Matrix'!$AH$4:$AH$76,0))),"")</f>
        <v>0</v>
      </c>
      <c r="F67" s="6" t="str">
        <f>IFERROR(IF(LARGE('Monthly Matrix'!$AH$4:$AH$76,64)&lt;0,"",INDEX('Monthly Matrix'!$E$4:$E$76,MATCH(LARGE('Monthly Matrix'!$AH$4:$AH$76,64),'Monthly Matrix'!$AH$4:$AH$76,0))),"")</f>
        <v>Jake Bolwell</v>
      </c>
      <c r="G67" s="6"/>
      <c r="H67" s="6" t="str">
        <f>IF(LARGE('Monthly Matrix'!$AH$4:$AH$76,64)&lt;0,"",'Monthly Matrix'!$AB$3)</f>
        <v>Rank
(high)</v>
      </c>
      <c r="I67" s="6" t="str">
        <f>IF(LARGE('Monthly Matrix'!$AH$4:$AH$76,64)&lt;0,"","HIGH")</f>
        <v>HIGH</v>
      </c>
      <c r="J67" s="6" t="str">
        <f>IFERROR(IF(LARGE('Monthly Matrix'!$AH$4:$AH$76,64)&lt;0,"",INDEX('Monthly Matrix'!$M$4:$M$76,MATCH(LARGE('Monthly Matrix'!$AH$4:$AH$76,64),'Monthly Matrix'!$AH$4:$AH$76,0))),"")</f>
        <v>NO</v>
      </c>
      <c r="K67" s="7"/>
      <c r="L67" s="7"/>
      <c r="M67" s="6"/>
      <c r="N67" s="6" t="str">
        <f>IF(LARGE('Monthly Matrix'!$AH$4:$AH$76,64)&lt;0,"","Open")</f>
        <v>Open</v>
      </c>
      <c r="O67" s="6"/>
      <c r="P67" s="6"/>
      <c r="Q67" s="6"/>
    </row>
    <row r="68" spans="1:17" ht="21.75" customHeight="1" x14ac:dyDescent="0.15">
      <c r="A68" s="10" t="str">
        <f>IF(LARGE('Monthly Matrix'!$AH$4:$AH$76,65)&lt;0,"","IP-065")</f>
        <v>IP-065</v>
      </c>
      <c r="B68" s="10" t="str">
        <f>IFERROR(IF(LARGE('Monthly Matrix'!$AH$4:$AH$76,65)&lt;0,"",INDEX('Monthly Matrix'!$A$4:$A$76,MATCH(LARGE('Monthly Matrix'!$AH$4:$AH$76,65),'Monthly Matrix'!$AH$4:$AH$76,0))),"")</f>
        <v>FT-001</v>
      </c>
      <c r="C68" s="10" t="str">
        <f>IFERROR(IF(LARGE('Monthly Matrix'!$AH$4:$AH$76,65)&lt;0,"",INDEX('Monthly Matrix'!$B$4:$B$76,MATCH(LARGE('Monthly Matrix'!$AH$4:$AH$76,65),'Monthly Matrix'!$AH$4:$AH$76,0))),"")</f>
        <v>Kingfisher Tree Services Ltd</v>
      </c>
      <c r="D68" s="10">
        <f>IFERROR(IF(LARGE('Monthly Matrix'!$AH$4:$AH$76,65)&lt;0,"",INDEX('Monthly Matrix'!$G$4:$G$76,MATCH(LARGE('Monthly Matrix'!$AH$4:$AH$76,65),'Monthly Matrix'!$AH$4:$AH$76,0))),"")</f>
        <v>0</v>
      </c>
      <c r="E68" s="10">
        <f>IFERROR(IF(LARGE('Monthly Matrix'!$AH$4:$AH$76,65)&lt;0,"",INDEX('Monthly Matrix'!$F$4:$F$76,MATCH(LARGE('Monthly Matrix'!$AH$4:$AH$76,65),'Monthly Matrix'!$AH$4:$AH$76,0))),"")</f>
        <v>0</v>
      </c>
      <c r="F68" s="10" t="str">
        <f>IFERROR(IF(LARGE('Monthly Matrix'!$AH$4:$AH$76,65)&lt;0,"",INDEX('Monthly Matrix'!$E$4:$E$76,MATCH(LARGE('Monthly Matrix'!$AH$4:$AH$76,65),'Monthly Matrix'!$AH$4:$AH$76,0))),"")</f>
        <v>Jake Bolwell</v>
      </c>
      <c r="G68" s="10"/>
      <c r="H68" s="10" t="str">
        <f>IF(LARGE('Monthly Matrix'!$AH$4:$AH$76,65)&lt;0,"",'Monthly Matrix'!$AB$3)</f>
        <v>Rank
(high)</v>
      </c>
      <c r="I68" s="10" t="str">
        <f>IF(LARGE('Monthly Matrix'!$AH$4:$AH$76,65)&lt;0,"","HIGH")</f>
        <v>HIGH</v>
      </c>
      <c r="J68" s="10" t="str">
        <f>IFERROR(IF(LARGE('Monthly Matrix'!$AH$4:$AH$76,65)&lt;0,"",INDEX('Monthly Matrix'!$M$4:$M$76,MATCH(LARGE('Monthly Matrix'!$AH$4:$AH$76,65),'Monthly Matrix'!$AH$4:$AH$76,0))),"")</f>
        <v>NO</v>
      </c>
      <c r="K68" s="11"/>
      <c r="L68" s="11"/>
      <c r="M68" s="10"/>
      <c r="N68" s="10" t="str">
        <f>IF(LARGE('Monthly Matrix'!$AH$4:$AH$76,65)&lt;0,"","Open")</f>
        <v>Open</v>
      </c>
      <c r="O68" s="10"/>
      <c r="P68" s="10"/>
      <c r="Q68" s="10"/>
    </row>
    <row r="69" spans="1:17" ht="21.75" customHeight="1" x14ac:dyDescent="0.15">
      <c r="A69" s="6" t="str">
        <f>IF(LARGE('Monthly Matrix'!$AH$4:$AH$76,66)&lt;0,"","IP-066")</f>
        <v>IP-066</v>
      </c>
      <c r="B69" s="6" t="str">
        <f>IFERROR(IF(LARGE('Monthly Matrix'!$AH$4:$AH$76,66)&lt;0,"",INDEX('Monthly Matrix'!$A$4:$A$76,MATCH(LARGE('Monthly Matrix'!$AH$4:$AH$76,66),'Monthly Matrix'!$AH$4:$AH$76,0))),"")</f>
        <v>FT-001</v>
      </c>
      <c r="C69" s="6" t="str">
        <f>IFERROR(IF(LARGE('Monthly Matrix'!$AH$4:$AH$76,66)&lt;0,"",INDEX('Monthly Matrix'!$B$4:$B$76,MATCH(LARGE('Monthly Matrix'!$AH$4:$AH$76,66),'Monthly Matrix'!$AH$4:$AH$76,0))),"")</f>
        <v>Kingfisher Tree Services Ltd</v>
      </c>
      <c r="D69" s="6">
        <f>IFERROR(IF(LARGE('Monthly Matrix'!$AH$4:$AH$76,66)&lt;0,"",INDEX('Monthly Matrix'!$G$4:$G$76,MATCH(LARGE('Monthly Matrix'!$AH$4:$AH$76,66),'Monthly Matrix'!$AH$4:$AH$76,0))),"")</f>
        <v>0</v>
      </c>
      <c r="E69" s="6">
        <f>IFERROR(IF(LARGE('Monthly Matrix'!$AH$4:$AH$76,66)&lt;0,"",INDEX('Monthly Matrix'!$F$4:$F$76,MATCH(LARGE('Monthly Matrix'!$AH$4:$AH$76,66),'Monthly Matrix'!$AH$4:$AH$76,0))),"")</f>
        <v>0</v>
      </c>
      <c r="F69" s="6" t="str">
        <f>IFERROR(IF(LARGE('Monthly Matrix'!$AH$4:$AH$76,66)&lt;0,"",INDEX('Monthly Matrix'!$E$4:$E$76,MATCH(LARGE('Monthly Matrix'!$AH$4:$AH$76,66),'Monthly Matrix'!$AH$4:$AH$76,0))),"")</f>
        <v>Jake Bolwell</v>
      </c>
      <c r="G69" s="6"/>
      <c r="H69" s="6" t="str">
        <f>IF(LARGE('Monthly Matrix'!$AH$4:$AH$76,66)&lt;0,"",'Monthly Matrix'!$AB$3)</f>
        <v>Rank
(high)</v>
      </c>
      <c r="I69" s="6" t="str">
        <f>IF(LARGE('Monthly Matrix'!$AH$4:$AH$76,66)&lt;0,"","HIGH")</f>
        <v>HIGH</v>
      </c>
      <c r="J69" s="6" t="str">
        <f>IFERROR(IF(LARGE('Monthly Matrix'!$AH$4:$AH$76,66)&lt;0,"",INDEX('Monthly Matrix'!$M$4:$M$76,MATCH(LARGE('Monthly Matrix'!$AH$4:$AH$76,66),'Monthly Matrix'!$AH$4:$AH$76,0))),"")</f>
        <v>NO</v>
      </c>
      <c r="K69" s="7"/>
      <c r="L69" s="7"/>
      <c r="M69" s="6"/>
      <c r="N69" s="6" t="str">
        <f>IF(LARGE('Monthly Matrix'!$AH$4:$AH$76,66)&lt;0,"","Open")</f>
        <v>Open</v>
      </c>
      <c r="O69" s="6"/>
      <c r="P69" s="6"/>
      <c r="Q69" s="6"/>
    </row>
    <row r="70" spans="1:17" ht="21.75" customHeight="1" x14ac:dyDescent="0.15">
      <c r="A70" s="10" t="str">
        <f>IF(LARGE('Monthly Matrix'!$AH$4:$AH$76,67)&lt;0,"","IP-067")</f>
        <v>IP-067</v>
      </c>
      <c r="B70" s="10" t="str">
        <f>IFERROR(IF(LARGE('Monthly Matrix'!$AH$4:$AH$76,67)&lt;0,"",INDEX('Monthly Matrix'!$A$4:$A$76,MATCH(LARGE('Monthly Matrix'!$AH$4:$AH$76,67),'Monthly Matrix'!$AH$4:$AH$76,0))),"")</f>
        <v>FT-001</v>
      </c>
      <c r="C70" s="10" t="str">
        <f>IFERROR(IF(LARGE('Monthly Matrix'!$AH$4:$AH$76,67)&lt;0,"",INDEX('Monthly Matrix'!$B$4:$B$76,MATCH(LARGE('Monthly Matrix'!$AH$4:$AH$76,67),'Monthly Matrix'!$AH$4:$AH$76,0))),"")</f>
        <v>Kingfisher Tree Services Ltd</v>
      </c>
      <c r="D70" s="10">
        <f>IFERROR(IF(LARGE('Monthly Matrix'!$AH$4:$AH$76,67)&lt;0,"",INDEX('Monthly Matrix'!$G$4:$G$76,MATCH(LARGE('Monthly Matrix'!$AH$4:$AH$76,67),'Monthly Matrix'!$AH$4:$AH$76,0))),"")</f>
        <v>0</v>
      </c>
      <c r="E70" s="10">
        <f>IFERROR(IF(LARGE('Monthly Matrix'!$AH$4:$AH$76,67)&lt;0,"",INDEX('Monthly Matrix'!$F$4:$F$76,MATCH(LARGE('Monthly Matrix'!$AH$4:$AH$76,67),'Monthly Matrix'!$AH$4:$AH$76,0))),"")</f>
        <v>0</v>
      </c>
      <c r="F70" s="10" t="str">
        <f>IFERROR(IF(LARGE('Monthly Matrix'!$AH$4:$AH$76,67)&lt;0,"",INDEX('Monthly Matrix'!$E$4:$E$76,MATCH(LARGE('Monthly Matrix'!$AH$4:$AH$76,67),'Monthly Matrix'!$AH$4:$AH$76,0))),"")</f>
        <v>Jake Bolwell</v>
      </c>
      <c r="G70" s="10"/>
      <c r="H70" s="10" t="str">
        <f>IF(LARGE('Monthly Matrix'!$AH$4:$AH$76,67)&lt;0,"",'Monthly Matrix'!$AB$3)</f>
        <v>Rank
(high)</v>
      </c>
      <c r="I70" s="10" t="str">
        <f>IF(LARGE('Monthly Matrix'!$AH$4:$AH$76,67)&lt;0,"","HIGH")</f>
        <v>HIGH</v>
      </c>
      <c r="J70" s="10" t="str">
        <f>IFERROR(IF(LARGE('Monthly Matrix'!$AH$4:$AH$76,67)&lt;0,"",INDEX('Monthly Matrix'!$M$4:$M$76,MATCH(LARGE('Monthly Matrix'!$AH$4:$AH$76,67),'Monthly Matrix'!$AH$4:$AH$76,0))),"")</f>
        <v>NO</v>
      </c>
      <c r="K70" s="11"/>
      <c r="L70" s="11"/>
      <c r="M70" s="10"/>
      <c r="N70" s="10" t="str">
        <f>IF(LARGE('Monthly Matrix'!$AH$4:$AH$76,67)&lt;0,"","Open")</f>
        <v>Open</v>
      </c>
      <c r="O70" s="10"/>
      <c r="P70" s="10"/>
      <c r="Q70" s="10"/>
    </row>
    <row r="71" spans="1:17" ht="21.75" customHeight="1" x14ac:dyDescent="0.15">
      <c r="A71" s="6" t="str">
        <f>IF(LARGE('Monthly Matrix'!$AH$4:$AH$76,68)&lt;0,"","IP-068")</f>
        <v>IP-068</v>
      </c>
      <c r="B71" s="6" t="str">
        <f>IFERROR(IF(LARGE('Monthly Matrix'!$AH$4:$AH$76,68)&lt;0,"",INDEX('Monthly Matrix'!$A$4:$A$76,MATCH(LARGE('Monthly Matrix'!$AH$4:$AH$76,68),'Monthly Matrix'!$AH$4:$AH$76,0))),"")</f>
        <v>FT-001</v>
      </c>
      <c r="C71" s="6" t="str">
        <f>IFERROR(IF(LARGE('Monthly Matrix'!$AH$4:$AH$76,68)&lt;0,"",INDEX('Monthly Matrix'!$B$4:$B$76,MATCH(LARGE('Monthly Matrix'!$AH$4:$AH$76,68),'Monthly Matrix'!$AH$4:$AH$76,0))),"")</f>
        <v>Kingfisher Tree Services Ltd</v>
      </c>
      <c r="D71" s="6">
        <f>IFERROR(IF(LARGE('Monthly Matrix'!$AH$4:$AH$76,68)&lt;0,"",INDEX('Monthly Matrix'!$G$4:$G$76,MATCH(LARGE('Monthly Matrix'!$AH$4:$AH$76,68),'Monthly Matrix'!$AH$4:$AH$76,0))),"")</f>
        <v>0</v>
      </c>
      <c r="E71" s="6">
        <f>IFERROR(IF(LARGE('Monthly Matrix'!$AH$4:$AH$76,68)&lt;0,"",INDEX('Monthly Matrix'!$F$4:$F$76,MATCH(LARGE('Monthly Matrix'!$AH$4:$AH$76,68),'Monthly Matrix'!$AH$4:$AH$76,0))),"")</f>
        <v>0</v>
      </c>
      <c r="F71" s="6" t="str">
        <f>IFERROR(IF(LARGE('Monthly Matrix'!$AH$4:$AH$76,68)&lt;0,"",INDEX('Monthly Matrix'!$E$4:$E$76,MATCH(LARGE('Monthly Matrix'!$AH$4:$AH$76,68),'Monthly Matrix'!$AH$4:$AH$76,0))),"")</f>
        <v>Jake Bolwell</v>
      </c>
      <c r="G71" s="6"/>
      <c r="H71" s="6" t="str">
        <f>IF(LARGE('Monthly Matrix'!$AH$4:$AH$76,68)&lt;0,"",'Monthly Matrix'!$AB$3)</f>
        <v>Rank
(high)</v>
      </c>
      <c r="I71" s="6" t="str">
        <f>IF(LARGE('Monthly Matrix'!$AH$4:$AH$76,68)&lt;0,"","HIGH")</f>
        <v>HIGH</v>
      </c>
      <c r="J71" s="6" t="str">
        <f>IFERROR(IF(LARGE('Monthly Matrix'!$AH$4:$AH$76,68)&lt;0,"",INDEX('Monthly Matrix'!$M$4:$M$76,MATCH(LARGE('Monthly Matrix'!$AH$4:$AH$76,68),'Monthly Matrix'!$AH$4:$AH$76,0))),"")</f>
        <v>NO</v>
      </c>
      <c r="K71" s="7"/>
      <c r="L71" s="7"/>
      <c r="M71" s="6"/>
      <c r="N71" s="6" t="str">
        <f>IF(LARGE('Monthly Matrix'!$AH$4:$AH$76,68)&lt;0,"","Open")</f>
        <v>Open</v>
      </c>
      <c r="O71" s="6"/>
      <c r="P71" s="6"/>
      <c r="Q71" s="6"/>
    </row>
    <row r="72" spans="1:17" ht="21.75" customHeight="1" x14ac:dyDescent="0.15">
      <c r="A72" s="10" t="str">
        <f>IF(LARGE('Monthly Matrix'!$AH$4:$AH$76,69)&lt;0,"","IP-069")</f>
        <v>IP-069</v>
      </c>
      <c r="B72" s="10" t="str">
        <f>IFERROR(IF(LARGE('Monthly Matrix'!$AH$4:$AH$76,69)&lt;0,"",INDEX('Monthly Matrix'!$A$4:$A$76,MATCH(LARGE('Monthly Matrix'!$AH$4:$AH$76,69),'Monthly Matrix'!$AH$4:$AH$76,0))),"")</f>
        <v>FT-001</v>
      </c>
      <c r="C72" s="10" t="str">
        <f>IFERROR(IF(LARGE('Monthly Matrix'!$AH$4:$AH$76,69)&lt;0,"",INDEX('Monthly Matrix'!$B$4:$B$76,MATCH(LARGE('Monthly Matrix'!$AH$4:$AH$76,69),'Monthly Matrix'!$AH$4:$AH$76,0))),"")</f>
        <v>Kingfisher Tree Services Ltd</v>
      </c>
      <c r="D72" s="10">
        <f>IFERROR(IF(LARGE('Monthly Matrix'!$AH$4:$AH$76,69)&lt;0,"",INDEX('Monthly Matrix'!$G$4:$G$76,MATCH(LARGE('Monthly Matrix'!$AH$4:$AH$76,69),'Monthly Matrix'!$AH$4:$AH$76,0))),"")</f>
        <v>0</v>
      </c>
      <c r="E72" s="10">
        <f>IFERROR(IF(LARGE('Monthly Matrix'!$AH$4:$AH$76,69)&lt;0,"",INDEX('Monthly Matrix'!$F$4:$F$76,MATCH(LARGE('Monthly Matrix'!$AH$4:$AH$76,69),'Monthly Matrix'!$AH$4:$AH$76,0))),"")</f>
        <v>0</v>
      </c>
      <c r="F72" s="10" t="str">
        <f>IFERROR(IF(LARGE('Monthly Matrix'!$AH$4:$AH$76,69)&lt;0,"",INDEX('Monthly Matrix'!$E$4:$E$76,MATCH(LARGE('Monthly Matrix'!$AH$4:$AH$76,69),'Monthly Matrix'!$AH$4:$AH$76,0))),"")</f>
        <v>Jake Bolwell</v>
      </c>
      <c r="G72" s="10"/>
      <c r="H72" s="10" t="str">
        <f>IF(LARGE('Monthly Matrix'!$AH$4:$AH$76,69)&lt;0,"",'Monthly Matrix'!$AB$3)</f>
        <v>Rank
(high)</v>
      </c>
      <c r="I72" s="10" t="str">
        <f>IF(LARGE('Monthly Matrix'!$AH$4:$AH$76,69)&lt;0,"","HIGH")</f>
        <v>HIGH</v>
      </c>
      <c r="J72" s="10" t="str">
        <f>IFERROR(IF(LARGE('Monthly Matrix'!$AH$4:$AH$76,69)&lt;0,"",INDEX('Monthly Matrix'!$M$4:$M$76,MATCH(LARGE('Monthly Matrix'!$AH$4:$AH$76,69),'Monthly Matrix'!$AH$4:$AH$76,0))),"")</f>
        <v>NO</v>
      </c>
      <c r="K72" s="11"/>
      <c r="L72" s="11"/>
      <c r="M72" s="10"/>
      <c r="N72" s="10" t="str">
        <f>IF(LARGE('Monthly Matrix'!$AH$4:$AH$76,69)&lt;0,"","Open")</f>
        <v>Open</v>
      </c>
      <c r="O72" s="10"/>
      <c r="P72" s="10"/>
      <c r="Q72" s="10"/>
    </row>
    <row r="73" spans="1:17" ht="21.75" customHeight="1" x14ac:dyDescent="0.15">
      <c r="A73" s="6" t="str">
        <f>IF(LARGE('Monthly Matrix'!$AH$4:$AH$76,70)&lt;0,"","IP-070")</f>
        <v>IP-070</v>
      </c>
      <c r="B73" s="6" t="str">
        <f>IFERROR(IF(LARGE('Monthly Matrix'!$AH$4:$AH$76,70)&lt;0,"",INDEX('Monthly Matrix'!$A$4:$A$76,MATCH(LARGE('Monthly Matrix'!$AH$4:$AH$76,70),'Monthly Matrix'!$AH$4:$AH$76,0))),"")</f>
        <v>FT-001</v>
      </c>
      <c r="C73" s="6" t="str">
        <f>IFERROR(IF(LARGE('Monthly Matrix'!$AH$4:$AH$76,70)&lt;0,"",INDEX('Monthly Matrix'!$B$4:$B$76,MATCH(LARGE('Monthly Matrix'!$AH$4:$AH$76,70),'Monthly Matrix'!$AH$4:$AH$76,0))),"")</f>
        <v>Kingfisher Tree Services Ltd</v>
      </c>
      <c r="D73" s="6">
        <f>IFERROR(IF(LARGE('Monthly Matrix'!$AH$4:$AH$76,70)&lt;0,"",INDEX('Monthly Matrix'!$G$4:$G$76,MATCH(LARGE('Monthly Matrix'!$AH$4:$AH$76,70),'Monthly Matrix'!$AH$4:$AH$76,0))),"")</f>
        <v>0</v>
      </c>
      <c r="E73" s="6">
        <f>IFERROR(IF(LARGE('Monthly Matrix'!$AH$4:$AH$76,70)&lt;0,"",INDEX('Monthly Matrix'!$F$4:$F$76,MATCH(LARGE('Monthly Matrix'!$AH$4:$AH$76,70),'Monthly Matrix'!$AH$4:$AH$76,0))),"")</f>
        <v>0</v>
      </c>
      <c r="F73" s="6" t="str">
        <f>IFERROR(IF(LARGE('Monthly Matrix'!$AH$4:$AH$76,70)&lt;0,"",INDEX('Monthly Matrix'!$E$4:$E$76,MATCH(LARGE('Monthly Matrix'!$AH$4:$AH$76,70),'Monthly Matrix'!$AH$4:$AH$76,0))),"")</f>
        <v>Jake Bolwell</v>
      </c>
      <c r="G73" s="6"/>
      <c r="H73" s="6" t="str">
        <f>IF(LARGE('Monthly Matrix'!$AH$4:$AH$76,70)&lt;0,"",'Monthly Matrix'!$AB$3)</f>
        <v>Rank
(high)</v>
      </c>
      <c r="I73" s="6" t="str">
        <f>IF(LARGE('Monthly Matrix'!$AH$4:$AH$76,70)&lt;0,"","HIGH")</f>
        <v>HIGH</v>
      </c>
      <c r="J73" s="6" t="str">
        <f>IFERROR(IF(LARGE('Monthly Matrix'!$AH$4:$AH$76,70)&lt;0,"",INDEX('Monthly Matrix'!$M$4:$M$76,MATCH(LARGE('Monthly Matrix'!$AH$4:$AH$76,70),'Monthly Matrix'!$AH$4:$AH$76,0))),"")</f>
        <v>NO</v>
      </c>
      <c r="K73" s="7"/>
      <c r="L73" s="7"/>
      <c r="M73" s="6"/>
      <c r="N73" s="6" t="str">
        <f>IF(LARGE('Monthly Matrix'!$AH$4:$AH$76,70)&lt;0,"","Open")</f>
        <v>Open</v>
      </c>
      <c r="O73" s="6"/>
      <c r="P73" s="6"/>
      <c r="Q73" s="6"/>
    </row>
    <row r="74" spans="1:17" ht="21.75" customHeight="1" x14ac:dyDescent="0.15">
      <c r="A74" s="10" t="str">
        <f>IF(LARGE('Monthly Matrix'!$AH$4:$AH$76,71)&lt;0,"","IP-071")</f>
        <v>IP-071</v>
      </c>
      <c r="B74" s="10" t="str">
        <f>IFERROR(IF(LARGE('Monthly Matrix'!$AH$4:$AH$76,71)&lt;0,"",INDEX('Monthly Matrix'!$A$4:$A$76,MATCH(LARGE('Monthly Matrix'!$AH$4:$AH$76,71),'Monthly Matrix'!$AH$4:$AH$76,0))),"")</f>
        <v>FT-001</v>
      </c>
      <c r="C74" s="10" t="str">
        <f>IFERROR(IF(LARGE('Monthly Matrix'!$AH$4:$AH$76,71)&lt;0,"",INDEX('Monthly Matrix'!$B$4:$B$76,MATCH(LARGE('Monthly Matrix'!$AH$4:$AH$76,71),'Monthly Matrix'!$AH$4:$AH$76,0))),"")</f>
        <v>Kingfisher Tree Services Ltd</v>
      </c>
      <c r="D74" s="10">
        <f>IFERROR(IF(LARGE('Monthly Matrix'!$AH$4:$AH$76,71)&lt;0,"",INDEX('Monthly Matrix'!$G$4:$G$76,MATCH(LARGE('Monthly Matrix'!$AH$4:$AH$76,71),'Monthly Matrix'!$AH$4:$AH$76,0))),"")</f>
        <v>0</v>
      </c>
      <c r="E74" s="10">
        <f>IFERROR(IF(LARGE('Monthly Matrix'!$AH$4:$AH$76,71)&lt;0,"",INDEX('Monthly Matrix'!$F$4:$F$76,MATCH(LARGE('Monthly Matrix'!$AH$4:$AH$76,71),'Monthly Matrix'!$AH$4:$AH$76,0))),"")</f>
        <v>0</v>
      </c>
      <c r="F74" s="10" t="str">
        <f>IFERROR(IF(LARGE('Monthly Matrix'!$AH$4:$AH$76,71)&lt;0,"",INDEX('Monthly Matrix'!$E$4:$E$76,MATCH(LARGE('Monthly Matrix'!$AH$4:$AH$76,71),'Monthly Matrix'!$AH$4:$AH$76,0))),"")</f>
        <v>Jake Bolwell</v>
      </c>
      <c r="G74" s="10"/>
      <c r="H74" s="10" t="str">
        <f>IF(LARGE('Monthly Matrix'!$AH$4:$AH$76,71)&lt;0,"",'Monthly Matrix'!$AB$3)</f>
        <v>Rank
(high)</v>
      </c>
      <c r="I74" s="10" t="str">
        <f>IF(LARGE('Monthly Matrix'!$AH$4:$AH$76,71)&lt;0,"","HIGH")</f>
        <v>HIGH</v>
      </c>
      <c r="J74" s="10" t="str">
        <f>IFERROR(IF(LARGE('Monthly Matrix'!$AH$4:$AH$76,71)&lt;0,"",INDEX('Monthly Matrix'!$M$4:$M$76,MATCH(LARGE('Monthly Matrix'!$AH$4:$AH$76,71),'Monthly Matrix'!$AH$4:$AH$76,0))),"")</f>
        <v>NO</v>
      </c>
      <c r="K74" s="11"/>
      <c r="L74" s="11"/>
      <c r="M74" s="10"/>
      <c r="N74" s="10" t="str">
        <f>IF(LARGE('Monthly Matrix'!$AH$4:$AH$76,71)&lt;0,"","Open")</f>
        <v>Open</v>
      </c>
      <c r="O74" s="10"/>
      <c r="P74" s="10"/>
      <c r="Q74" s="10"/>
    </row>
    <row r="75" spans="1:17" ht="21.75" customHeight="1" x14ac:dyDescent="0.15">
      <c r="A75" s="6" t="str">
        <f>IF(LARGE('Monthly Matrix'!$AH$4:$AH$76,72)&lt;0,"","IP-072")</f>
        <v>IP-072</v>
      </c>
      <c r="B75" s="6" t="str">
        <f>IFERROR(IF(LARGE('Monthly Matrix'!$AH$4:$AH$76,72)&lt;0,"",INDEX('Monthly Matrix'!$A$4:$A$76,MATCH(LARGE('Monthly Matrix'!$AH$4:$AH$76,72),'Monthly Matrix'!$AH$4:$AH$76,0))),"")</f>
        <v>FT-001</v>
      </c>
      <c r="C75" s="6" t="str">
        <f>IFERROR(IF(LARGE('Monthly Matrix'!$AH$4:$AH$76,72)&lt;0,"",INDEX('Monthly Matrix'!$B$4:$B$76,MATCH(LARGE('Monthly Matrix'!$AH$4:$AH$76,72),'Monthly Matrix'!$AH$4:$AH$76,0))),"")</f>
        <v>Kingfisher Tree Services Ltd</v>
      </c>
      <c r="D75" s="6">
        <f>IFERROR(IF(LARGE('Monthly Matrix'!$AH$4:$AH$76,72)&lt;0,"",INDEX('Monthly Matrix'!$G$4:$G$76,MATCH(LARGE('Monthly Matrix'!$AH$4:$AH$76,72),'Monthly Matrix'!$AH$4:$AH$76,0))),"")</f>
        <v>0</v>
      </c>
      <c r="E75" s="6">
        <f>IFERROR(IF(LARGE('Monthly Matrix'!$AH$4:$AH$76,72)&lt;0,"",INDEX('Monthly Matrix'!$F$4:$F$76,MATCH(LARGE('Monthly Matrix'!$AH$4:$AH$76,72),'Monthly Matrix'!$AH$4:$AH$76,0))),"")</f>
        <v>0</v>
      </c>
      <c r="F75" s="6" t="str">
        <f>IFERROR(IF(LARGE('Monthly Matrix'!$AH$4:$AH$76,72)&lt;0,"",INDEX('Monthly Matrix'!$E$4:$E$76,MATCH(LARGE('Monthly Matrix'!$AH$4:$AH$76,72),'Monthly Matrix'!$AH$4:$AH$76,0))),"")</f>
        <v>Jake Bolwell</v>
      </c>
      <c r="G75" s="6"/>
      <c r="H75" s="6" t="str">
        <f>IF(LARGE('Monthly Matrix'!$AH$4:$AH$76,72)&lt;0,"",'Monthly Matrix'!$AB$3)</f>
        <v>Rank
(high)</v>
      </c>
      <c r="I75" s="6" t="str">
        <f>IF(LARGE('Monthly Matrix'!$AH$4:$AH$76,72)&lt;0,"","HIGH")</f>
        <v>HIGH</v>
      </c>
      <c r="J75" s="6" t="str">
        <f>IFERROR(IF(LARGE('Monthly Matrix'!$AH$4:$AH$76,72)&lt;0,"",INDEX('Monthly Matrix'!$M$4:$M$76,MATCH(LARGE('Monthly Matrix'!$AH$4:$AH$76,72),'Monthly Matrix'!$AH$4:$AH$76,0))),"")</f>
        <v>NO</v>
      </c>
      <c r="K75" s="7"/>
      <c r="L75" s="7"/>
      <c r="M75" s="6"/>
      <c r="N75" s="6" t="str">
        <f>IF(LARGE('Monthly Matrix'!$AH$4:$AH$76,72)&lt;0,"","Open")</f>
        <v>Open</v>
      </c>
      <c r="O75" s="6"/>
      <c r="P75" s="6"/>
      <c r="Q75" s="6"/>
    </row>
    <row r="76" spans="1:17" ht="21.75" customHeight="1" x14ac:dyDescent="0.15">
      <c r="A76" s="10" t="str">
        <f>IF(LARGE('Monthly Matrix'!$AH$4:$AH$76,73)&lt;0,"","IP-073")</f>
        <v>IP-073</v>
      </c>
      <c r="B76" s="10" t="str">
        <f>IFERROR(IF(LARGE('Monthly Matrix'!$AH$4:$AH$76,73)&lt;0,"",INDEX('Monthly Matrix'!$A$4:$A$76,MATCH(LARGE('Monthly Matrix'!$AH$4:$AH$76,73),'Monthly Matrix'!$AH$4:$AH$76,0))),"")</f>
        <v>FT-001</v>
      </c>
      <c r="C76" s="10" t="str">
        <f>IFERROR(IF(LARGE('Monthly Matrix'!$AH$4:$AH$76,73)&lt;0,"",INDEX('Monthly Matrix'!$B$4:$B$76,MATCH(LARGE('Monthly Matrix'!$AH$4:$AH$76,73),'Monthly Matrix'!$AH$4:$AH$76,0))),"")</f>
        <v>Kingfisher Tree Services Ltd</v>
      </c>
      <c r="D76" s="10">
        <f>IFERROR(IF(LARGE('Monthly Matrix'!$AH$4:$AH$76,73)&lt;0,"",INDEX('Monthly Matrix'!$G$4:$G$76,MATCH(LARGE('Monthly Matrix'!$AH$4:$AH$76,73),'Monthly Matrix'!$AH$4:$AH$76,0))),"")</f>
        <v>0</v>
      </c>
      <c r="E76" s="10">
        <f>IFERROR(IF(LARGE('Monthly Matrix'!$AH$4:$AH$76,73)&lt;0,"",INDEX('Monthly Matrix'!$F$4:$F$76,MATCH(LARGE('Monthly Matrix'!$AH$4:$AH$76,73),'Monthly Matrix'!$AH$4:$AH$76,0))),"")</f>
        <v>0</v>
      </c>
      <c r="F76" s="10" t="str">
        <f>IFERROR(IF(LARGE('Monthly Matrix'!$AH$4:$AH$76,73)&lt;0,"",INDEX('Monthly Matrix'!$E$4:$E$76,MATCH(LARGE('Monthly Matrix'!$AH$4:$AH$76,73),'Monthly Matrix'!$AH$4:$AH$76,0))),"")</f>
        <v>Jake Bolwell</v>
      </c>
      <c r="G76" s="10"/>
      <c r="H76" s="10" t="str">
        <f>IF(LARGE('Monthly Matrix'!$AH$4:$AH$76,73)&lt;0,"",'Monthly Matrix'!$AB$3)</f>
        <v>Rank
(high)</v>
      </c>
      <c r="I76" s="10" t="str">
        <f>IF(LARGE('Monthly Matrix'!$AH$4:$AH$76,73)&lt;0,"","HIGH")</f>
        <v>HIGH</v>
      </c>
      <c r="J76" s="10" t="str">
        <f>IFERROR(IF(LARGE('Monthly Matrix'!$AH$4:$AH$76,73)&lt;0,"",INDEX('Monthly Matrix'!$M$4:$M$76,MATCH(LARGE('Monthly Matrix'!$AH$4:$AH$76,73),'Monthly Matrix'!$AH$4:$AH$76,0))),"")</f>
        <v>NO</v>
      </c>
      <c r="K76" s="11"/>
      <c r="L76" s="11"/>
      <c r="M76" s="10"/>
      <c r="N76" s="10" t="str">
        <f>IF(LARGE('Monthly Matrix'!$AH$4:$AH$76,73)&lt;0,"","Open")</f>
        <v>Open</v>
      </c>
      <c r="O76" s="10"/>
      <c r="P76" s="10"/>
      <c r="Q76" s="10"/>
    </row>
    <row r="77" spans="1:17" ht="21.75" customHeight="1" x14ac:dyDescent="0.15">
      <c r="A77" s="6"/>
      <c r="B77" s="6"/>
      <c r="C77" s="6"/>
      <c r="D77" s="6"/>
      <c r="E77" s="6"/>
      <c r="F77" s="6"/>
      <c r="G77" s="6"/>
      <c r="H77" s="6"/>
      <c r="I77" s="6"/>
      <c r="J77" s="6"/>
      <c r="K77" s="7"/>
      <c r="L77" s="7"/>
      <c r="M77" s="6"/>
      <c r="N77" s="6"/>
      <c r="O77" s="6"/>
      <c r="P77" s="6"/>
      <c r="Q77" s="6"/>
    </row>
    <row r="78" spans="1:17" ht="21.75" customHeight="1" x14ac:dyDescent="0.15">
      <c r="A78" s="10"/>
      <c r="B78" s="10"/>
      <c r="C78" s="10"/>
      <c r="D78" s="10"/>
      <c r="E78" s="10"/>
      <c r="F78" s="10"/>
      <c r="G78" s="10"/>
      <c r="H78" s="10"/>
      <c r="I78" s="10"/>
      <c r="J78" s="10"/>
      <c r="K78" s="11"/>
      <c r="L78" s="11"/>
      <c r="M78" s="10"/>
      <c r="N78" s="10"/>
      <c r="O78" s="10"/>
      <c r="P78" s="10"/>
      <c r="Q78" s="10"/>
    </row>
    <row r="79" spans="1:17" ht="21.75" customHeight="1" x14ac:dyDescent="0.15">
      <c r="A79" s="6"/>
      <c r="B79" s="6"/>
      <c r="C79" s="6"/>
      <c r="D79" s="6"/>
      <c r="E79" s="6"/>
      <c r="F79" s="6"/>
      <c r="G79" s="6"/>
      <c r="H79" s="6"/>
      <c r="I79" s="6"/>
      <c r="J79" s="6"/>
      <c r="K79" s="7"/>
      <c r="L79" s="7"/>
      <c r="M79" s="6"/>
      <c r="N79" s="6"/>
      <c r="O79" s="6"/>
      <c r="P79" s="6"/>
      <c r="Q79" s="6"/>
    </row>
    <row r="80" spans="1:17" ht="21.75" customHeight="1" x14ac:dyDescent="0.15">
      <c r="A80" s="10"/>
      <c r="B80" s="10"/>
      <c r="C80" s="10"/>
      <c r="D80" s="10"/>
      <c r="E80" s="10"/>
      <c r="F80" s="10"/>
      <c r="G80" s="10"/>
      <c r="H80" s="10"/>
      <c r="I80" s="10"/>
      <c r="J80" s="10"/>
      <c r="K80" s="11"/>
      <c r="L80" s="11"/>
      <c r="M80" s="10"/>
      <c r="N80" s="10"/>
      <c r="O80" s="10"/>
      <c r="P80" s="10"/>
      <c r="Q80" s="10"/>
    </row>
    <row r="81" spans="1:17" ht="21.75" customHeight="1" x14ac:dyDescent="0.15">
      <c r="A81" s="6"/>
      <c r="B81" s="6"/>
      <c r="C81" s="6"/>
      <c r="D81" s="6"/>
      <c r="E81" s="6"/>
      <c r="F81" s="6"/>
      <c r="G81" s="6"/>
      <c r="H81" s="6"/>
      <c r="I81" s="6"/>
      <c r="J81" s="6"/>
      <c r="K81" s="7"/>
      <c r="L81" s="7"/>
      <c r="M81" s="6"/>
      <c r="N81" s="6"/>
      <c r="O81" s="6"/>
      <c r="P81" s="6"/>
      <c r="Q81" s="6"/>
    </row>
    <row r="82" spans="1:17" ht="21.75" customHeight="1" x14ac:dyDescent="0.15">
      <c r="A82" s="10"/>
      <c r="B82" s="10"/>
      <c r="C82" s="10"/>
      <c r="D82" s="10"/>
      <c r="E82" s="10"/>
      <c r="F82" s="10"/>
      <c r="G82" s="10"/>
      <c r="H82" s="10"/>
      <c r="I82" s="10"/>
      <c r="J82" s="10"/>
      <c r="K82" s="11"/>
      <c r="L82" s="11"/>
      <c r="M82" s="10"/>
      <c r="N82" s="10"/>
      <c r="O82" s="10"/>
      <c r="P82" s="10"/>
      <c r="Q82" s="10"/>
    </row>
    <row r="83" spans="1:17" ht="21.75" customHeight="1" x14ac:dyDescent="0.15">
      <c r="A83" s="6"/>
      <c r="B83" s="6"/>
      <c r="C83" s="6"/>
      <c r="D83" s="6"/>
      <c r="E83" s="6"/>
      <c r="F83" s="6"/>
      <c r="G83" s="6"/>
      <c r="H83" s="6"/>
      <c r="I83" s="6"/>
      <c r="J83" s="6"/>
      <c r="K83" s="7"/>
      <c r="L83" s="7"/>
      <c r="M83" s="6"/>
      <c r="N83" s="6"/>
      <c r="O83" s="6"/>
      <c r="P83" s="6"/>
      <c r="Q83" s="6"/>
    </row>
    <row r="84" spans="1:17" ht="21.75" customHeight="1" x14ac:dyDescent="0.15">
      <c r="A84" s="10"/>
      <c r="B84" s="10"/>
      <c r="C84" s="10"/>
      <c r="D84" s="10"/>
      <c r="E84" s="10"/>
      <c r="F84" s="10"/>
      <c r="G84" s="10"/>
      <c r="H84" s="10"/>
      <c r="I84" s="10"/>
      <c r="J84" s="10"/>
      <c r="K84" s="11"/>
      <c r="L84" s="11"/>
      <c r="M84" s="10"/>
      <c r="N84" s="10"/>
      <c r="O84" s="10"/>
      <c r="P84" s="10"/>
      <c r="Q84" s="10"/>
    </row>
    <row r="85" spans="1:17" ht="21.75" customHeight="1" x14ac:dyDescent="0.15">
      <c r="A85" s="6"/>
      <c r="B85" s="6"/>
      <c r="C85" s="6"/>
      <c r="D85" s="6"/>
      <c r="E85" s="6"/>
      <c r="F85" s="6"/>
      <c r="G85" s="6"/>
      <c r="H85" s="6"/>
      <c r="I85" s="6"/>
      <c r="J85" s="6"/>
      <c r="K85" s="7"/>
      <c r="L85" s="7"/>
      <c r="M85" s="6"/>
      <c r="N85" s="6"/>
      <c r="O85" s="6"/>
      <c r="P85" s="6"/>
      <c r="Q85" s="6"/>
    </row>
    <row r="86" spans="1:17" ht="21.75" customHeight="1" x14ac:dyDescent="0.15">
      <c r="A86" s="10"/>
      <c r="B86" s="10"/>
      <c r="C86" s="10"/>
      <c r="D86" s="10"/>
      <c r="E86" s="10"/>
      <c r="F86" s="10"/>
      <c r="G86" s="10"/>
      <c r="H86" s="10"/>
      <c r="I86" s="10"/>
      <c r="J86" s="10"/>
      <c r="K86" s="11"/>
      <c r="L86" s="11"/>
      <c r="M86" s="10"/>
      <c r="N86" s="10"/>
      <c r="O86" s="10"/>
      <c r="P86" s="10"/>
      <c r="Q86" s="10"/>
    </row>
    <row r="87" spans="1:17" ht="21.75" customHeight="1" x14ac:dyDescent="0.15">
      <c r="A87" s="6"/>
      <c r="B87" s="6"/>
      <c r="C87" s="6"/>
      <c r="D87" s="6"/>
      <c r="E87" s="6"/>
      <c r="F87" s="6"/>
      <c r="G87" s="6"/>
      <c r="H87" s="6"/>
      <c r="I87" s="6"/>
      <c r="J87" s="6"/>
      <c r="K87" s="7"/>
      <c r="L87" s="7"/>
      <c r="M87" s="6"/>
      <c r="N87" s="6"/>
      <c r="O87" s="6"/>
      <c r="P87" s="6"/>
      <c r="Q87" s="6"/>
    </row>
    <row r="88" spans="1:17" ht="21.75" customHeight="1" x14ac:dyDescent="0.15">
      <c r="A88" s="10"/>
      <c r="B88" s="10"/>
      <c r="C88" s="10"/>
      <c r="D88" s="10"/>
      <c r="E88" s="10"/>
      <c r="F88" s="10"/>
      <c r="G88" s="10"/>
      <c r="H88" s="10"/>
      <c r="I88" s="10"/>
      <c r="J88" s="10"/>
      <c r="K88" s="11"/>
      <c r="L88" s="11"/>
      <c r="M88" s="10"/>
      <c r="N88" s="10"/>
      <c r="O88" s="10"/>
      <c r="P88" s="10"/>
      <c r="Q88" s="10"/>
    </row>
    <row r="89" spans="1:17" ht="21.75" customHeight="1" x14ac:dyDescent="0.15">
      <c r="A89" s="6"/>
      <c r="B89" s="6"/>
      <c r="C89" s="6"/>
      <c r="D89" s="6"/>
      <c r="E89" s="6"/>
      <c r="F89" s="6"/>
      <c r="G89" s="6"/>
      <c r="H89" s="6"/>
      <c r="I89" s="6"/>
      <c r="J89" s="6"/>
      <c r="K89" s="7"/>
      <c r="L89" s="7"/>
      <c r="M89" s="6"/>
      <c r="N89" s="6"/>
      <c r="O89" s="6"/>
      <c r="P89" s="6"/>
      <c r="Q89" s="6"/>
    </row>
    <row r="90" spans="1:17" ht="21.75" customHeight="1" x14ac:dyDescent="0.15">
      <c r="A90" s="10"/>
      <c r="B90" s="10"/>
      <c r="C90" s="10"/>
      <c r="D90" s="10"/>
      <c r="E90" s="10"/>
      <c r="F90" s="10"/>
      <c r="G90" s="10"/>
      <c r="H90" s="10"/>
      <c r="I90" s="10"/>
      <c r="J90" s="10"/>
      <c r="K90" s="11"/>
      <c r="L90" s="11"/>
      <c r="M90" s="10"/>
      <c r="N90" s="10"/>
      <c r="O90" s="10"/>
      <c r="P90" s="10"/>
      <c r="Q90" s="10"/>
    </row>
    <row r="91" spans="1:17" ht="21.75" customHeight="1" x14ac:dyDescent="0.15">
      <c r="A91" s="6"/>
      <c r="B91" s="6"/>
      <c r="C91" s="6"/>
      <c r="D91" s="6"/>
      <c r="E91" s="6"/>
      <c r="F91" s="6"/>
      <c r="G91" s="6"/>
      <c r="H91" s="6"/>
      <c r="I91" s="6"/>
      <c r="J91" s="6"/>
      <c r="K91" s="7"/>
      <c r="L91" s="7"/>
      <c r="M91" s="6"/>
      <c r="N91" s="6"/>
      <c r="O91" s="6"/>
      <c r="P91" s="6"/>
      <c r="Q91" s="6"/>
    </row>
    <row r="92" spans="1:17" ht="21.75" customHeight="1" x14ac:dyDescent="0.15">
      <c r="A92" s="10"/>
      <c r="B92" s="10"/>
      <c r="C92" s="10"/>
      <c r="D92" s="10"/>
      <c r="E92" s="10"/>
      <c r="F92" s="10"/>
      <c r="G92" s="10"/>
      <c r="H92" s="10"/>
      <c r="I92" s="10"/>
      <c r="J92" s="10"/>
      <c r="K92" s="11"/>
      <c r="L92" s="11"/>
      <c r="M92" s="10"/>
      <c r="N92" s="10"/>
      <c r="O92" s="10"/>
      <c r="P92" s="10"/>
      <c r="Q92" s="10"/>
    </row>
    <row r="93" spans="1:17" ht="21.75" customHeight="1" x14ac:dyDescent="0.15">
      <c r="A93" s="6"/>
      <c r="B93" s="6"/>
      <c r="C93" s="6"/>
      <c r="D93" s="6"/>
      <c r="E93" s="6"/>
      <c r="F93" s="6"/>
      <c r="G93" s="6"/>
      <c r="H93" s="6"/>
      <c r="I93" s="6"/>
      <c r="J93" s="6"/>
      <c r="K93" s="7"/>
      <c r="L93" s="7"/>
      <c r="M93" s="6"/>
      <c r="N93" s="6"/>
      <c r="O93" s="6"/>
      <c r="P93" s="6"/>
      <c r="Q93" s="6"/>
    </row>
    <row r="94" spans="1:17" ht="21.75" customHeight="1" x14ac:dyDescent="0.15">
      <c r="A94" s="10"/>
      <c r="B94" s="10"/>
      <c r="C94" s="10"/>
      <c r="D94" s="10"/>
      <c r="E94" s="10"/>
      <c r="F94" s="10"/>
      <c r="G94" s="10"/>
      <c r="H94" s="10"/>
      <c r="I94" s="10"/>
      <c r="J94" s="10"/>
      <c r="K94" s="11"/>
      <c r="L94" s="11"/>
      <c r="M94" s="10"/>
      <c r="N94" s="10"/>
      <c r="O94" s="10"/>
      <c r="P94" s="10"/>
      <c r="Q94" s="10"/>
    </row>
    <row r="95" spans="1:17" ht="21.75" customHeight="1" x14ac:dyDescent="0.15">
      <c r="A95" s="6"/>
      <c r="B95" s="6"/>
      <c r="C95" s="6"/>
      <c r="D95" s="6"/>
      <c r="E95" s="6"/>
      <c r="F95" s="6"/>
      <c r="G95" s="6"/>
      <c r="H95" s="6"/>
      <c r="I95" s="6"/>
      <c r="J95" s="6"/>
      <c r="K95" s="7"/>
      <c r="L95" s="7"/>
      <c r="M95" s="6"/>
      <c r="N95" s="6"/>
      <c r="O95" s="6"/>
      <c r="P95" s="6"/>
      <c r="Q95" s="6"/>
    </row>
    <row r="96" spans="1:17" ht="21.75" customHeight="1" x14ac:dyDescent="0.15">
      <c r="A96" s="10"/>
      <c r="B96" s="10"/>
      <c r="C96" s="10"/>
      <c r="D96" s="10"/>
      <c r="E96" s="10"/>
      <c r="F96" s="10"/>
      <c r="G96" s="10"/>
      <c r="H96" s="10"/>
      <c r="I96" s="10"/>
      <c r="J96" s="10"/>
      <c r="K96" s="11"/>
      <c r="L96" s="11"/>
      <c r="M96" s="10"/>
      <c r="N96" s="10"/>
      <c r="O96" s="10"/>
      <c r="P96" s="10"/>
      <c r="Q96" s="10"/>
    </row>
    <row r="97" spans="1:17" ht="21.75" customHeight="1" x14ac:dyDescent="0.15">
      <c r="A97" s="6"/>
      <c r="B97" s="6"/>
      <c r="C97" s="6"/>
      <c r="D97" s="6"/>
      <c r="E97" s="6"/>
      <c r="F97" s="6"/>
      <c r="G97" s="6"/>
      <c r="H97" s="6"/>
      <c r="I97" s="6"/>
      <c r="J97" s="6"/>
      <c r="K97" s="7"/>
      <c r="L97" s="7"/>
      <c r="M97" s="6"/>
      <c r="N97" s="6"/>
      <c r="O97" s="6"/>
      <c r="P97" s="6"/>
      <c r="Q97" s="6"/>
    </row>
    <row r="98" spans="1:17" ht="21.75" customHeight="1" x14ac:dyDescent="0.15">
      <c r="A98" s="10"/>
      <c r="B98" s="10"/>
      <c r="C98" s="10"/>
      <c r="D98" s="10"/>
      <c r="E98" s="10"/>
      <c r="F98" s="10"/>
      <c r="G98" s="10"/>
      <c r="H98" s="10"/>
      <c r="I98" s="10"/>
      <c r="J98" s="10"/>
      <c r="K98" s="11"/>
      <c r="L98" s="11"/>
      <c r="M98" s="10"/>
      <c r="N98" s="10"/>
      <c r="O98" s="10"/>
      <c r="P98" s="10"/>
      <c r="Q98" s="10"/>
    </row>
    <row r="99" spans="1:17" ht="21.75" customHeight="1" x14ac:dyDescent="0.15">
      <c r="A99" s="6"/>
      <c r="B99" s="6"/>
      <c r="C99" s="6"/>
      <c r="D99" s="6"/>
      <c r="E99" s="6"/>
      <c r="F99" s="6"/>
      <c r="G99" s="6"/>
      <c r="H99" s="6"/>
      <c r="I99" s="6"/>
      <c r="J99" s="6"/>
      <c r="K99" s="7"/>
      <c r="L99" s="7"/>
      <c r="M99" s="6"/>
      <c r="N99" s="6"/>
      <c r="O99" s="6"/>
      <c r="P99" s="6"/>
      <c r="Q99" s="6"/>
    </row>
    <row r="100" spans="1:17" ht="21.75" customHeight="1" x14ac:dyDescent="0.15">
      <c r="A100" s="10"/>
      <c r="B100" s="10"/>
      <c r="C100" s="10"/>
      <c r="D100" s="10"/>
      <c r="E100" s="10"/>
      <c r="F100" s="10"/>
      <c r="G100" s="10"/>
      <c r="H100" s="10"/>
      <c r="I100" s="10"/>
      <c r="J100" s="10"/>
      <c r="K100" s="11"/>
      <c r="L100" s="11"/>
      <c r="M100" s="10"/>
      <c r="N100" s="10"/>
      <c r="O100" s="10"/>
      <c r="P100" s="10"/>
      <c r="Q100" s="10"/>
    </row>
    <row r="101" spans="1:17" ht="21.75" customHeight="1" x14ac:dyDescent="0.15">
      <c r="A101" s="6"/>
      <c r="B101" s="6"/>
      <c r="C101" s="6"/>
      <c r="D101" s="6"/>
      <c r="E101" s="6"/>
      <c r="F101" s="6"/>
      <c r="G101" s="6"/>
      <c r="H101" s="6"/>
      <c r="I101" s="6"/>
      <c r="J101" s="6"/>
      <c r="K101" s="7"/>
      <c r="L101" s="7"/>
      <c r="M101" s="6"/>
      <c r="N101" s="6"/>
      <c r="O101" s="6"/>
      <c r="P101" s="6"/>
      <c r="Q101" s="6"/>
    </row>
    <row r="102" spans="1:17" ht="21.75" customHeight="1" x14ac:dyDescent="0.15">
      <c r="A102" s="10"/>
      <c r="B102" s="10"/>
      <c r="C102" s="10"/>
      <c r="D102" s="10"/>
      <c r="E102" s="10"/>
      <c r="F102" s="10"/>
      <c r="G102" s="10"/>
      <c r="H102" s="10"/>
      <c r="I102" s="10"/>
      <c r="J102" s="10"/>
      <c r="K102" s="11"/>
      <c r="L102" s="11"/>
      <c r="M102" s="10"/>
      <c r="N102" s="10"/>
      <c r="O102" s="10"/>
      <c r="P102" s="10"/>
      <c r="Q102" s="10"/>
    </row>
    <row r="103" spans="1:17" ht="21.75" customHeight="1" x14ac:dyDescent="0.15">
      <c r="A103" s="6"/>
      <c r="B103" s="6"/>
      <c r="C103" s="6"/>
      <c r="D103" s="6"/>
      <c r="E103" s="6"/>
      <c r="F103" s="6"/>
      <c r="G103" s="6"/>
      <c r="H103" s="6"/>
      <c r="I103" s="6"/>
      <c r="J103" s="6"/>
      <c r="K103" s="7"/>
      <c r="L103" s="7"/>
      <c r="M103" s="6"/>
      <c r="N103" s="6"/>
      <c r="O103" s="6"/>
      <c r="P103" s="6"/>
      <c r="Q103" s="6"/>
    </row>
    <row r="104" spans="1:17" ht="21.75" customHeight="1" x14ac:dyDescent="0.15">
      <c r="A104" s="10"/>
      <c r="B104" s="10"/>
      <c r="C104" s="10"/>
      <c r="D104" s="10"/>
      <c r="E104" s="10"/>
      <c r="F104" s="10"/>
      <c r="G104" s="10"/>
      <c r="H104" s="10"/>
      <c r="I104" s="10"/>
      <c r="J104" s="10"/>
      <c r="K104" s="11"/>
      <c r="L104" s="11"/>
      <c r="M104" s="10"/>
      <c r="N104" s="10"/>
      <c r="O104" s="10"/>
      <c r="P104" s="10"/>
      <c r="Q104" s="10"/>
    </row>
    <row r="105" spans="1:17" ht="21.75" customHeight="1" x14ac:dyDescent="0.15">
      <c r="A105" s="6"/>
      <c r="B105" s="6"/>
      <c r="C105" s="6"/>
      <c r="D105" s="6"/>
      <c r="E105" s="6"/>
      <c r="F105" s="6"/>
      <c r="G105" s="6"/>
      <c r="H105" s="6"/>
      <c r="I105" s="6"/>
      <c r="J105" s="6"/>
      <c r="K105" s="7"/>
      <c r="L105" s="7"/>
      <c r="M105" s="6"/>
      <c r="N105" s="6"/>
      <c r="O105" s="6"/>
      <c r="P105" s="6"/>
      <c r="Q105" s="6"/>
    </row>
    <row r="106" spans="1:17" ht="21.75" customHeight="1" x14ac:dyDescent="0.15">
      <c r="A106" s="10"/>
      <c r="B106" s="10"/>
      <c r="C106" s="10"/>
      <c r="D106" s="10"/>
      <c r="E106" s="10"/>
      <c r="F106" s="10"/>
      <c r="G106" s="10"/>
      <c r="H106" s="10"/>
      <c r="I106" s="10"/>
      <c r="J106" s="10"/>
      <c r="K106" s="11"/>
      <c r="L106" s="11"/>
      <c r="M106" s="10"/>
      <c r="N106" s="10"/>
      <c r="O106" s="10"/>
      <c r="P106" s="10"/>
      <c r="Q106" s="10"/>
    </row>
    <row r="107" spans="1:17" ht="21.75" customHeight="1" x14ac:dyDescent="0.15">
      <c r="A107" s="6"/>
      <c r="B107" s="6"/>
      <c r="C107" s="6"/>
      <c r="D107" s="6"/>
      <c r="E107" s="6"/>
      <c r="F107" s="6"/>
      <c r="G107" s="6"/>
      <c r="H107" s="6"/>
      <c r="I107" s="6"/>
      <c r="J107" s="6"/>
      <c r="K107" s="7"/>
      <c r="L107" s="7"/>
      <c r="M107" s="6"/>
      <c r="N107" s="6"/>
      <c r="O107" s="6"/>
      <c r="P107" s="6"/>
      <c r="Q107" s="6"/>
    </row>
    <row r="108" spans="1:17" ht="21.75" customHeight="1" x14ac:dyDescent="0.15">
      <c r="A108" s="10"/>
      <c r="B108" s="10"/>
      <c r="C108" s="10"/>
      <c r="D108" s="10"/>
      <c r="E108" s="10"/>
      <c r="F108" s="10"/>
      <c r="G108" s="10"/>
      <c r="H108" s="10"/>
      <c r="I108" s="10"/>
      <c r="J108" s="10"/>
      <c r="K108" s="11"/>
      <c r="L108" s="11"/>
      <c r="M108" s="10"/>
      <c r="N108" s="10"/>
      <c r="O108" s="10"/>
      <c r="P108" s="10"/>
      <c r="Q108" s="10"/>
    </row>
    <row r="109" spans="1:17" ht="21.75" customHeight="1" x14ac:dyDescent="0.15">
      <c r="A109" s="6"/>
      <c r="B109" s="6"/>
      <c r="C109" s="6"/>
      <c r="D109" s="6"/>
      <c r="E109" s="6"/>
      <c r="F109" s="6"/>
      <c r="G109" s="6"/>
      <c r="H109" s="6"/>
      <c r="I109" s="6"/>
      <c r="J109" s="6"/>
      <c r="K109" s="7"/>
      <c r="L109" s="7"/>
      <c r="M109" s="6"/>
      <c r="N109" s="6"/>
      <c r="O109" s="6"/>
      <c r="P109" s="6"/>
      <c r="Q109" s="6"/>
    </row>
    <row r="110" spans="1:17" ht="21.75" customHeight="1" x14ac:dyDescent="0.15">
      <c r="A110" s="10"/>
      <c r="B110" s="10"/>
      <c r="C110" s="10"/>
      <c r="D110" s="10"/>
      <c r="E110" s="10"/>
      <c r="F110" s="10"/>
      <c r="G110" s="10"/>
      <c r="H110" s="10"/>
      <c r="I110" s="10"/>
      <c r="J110" s="10"/>
      <c r="K110" s="11"/>
      <c r="L110" s="11"/>
      <c r="M110" s="10"/>
      <c r="N110" s="10"/>
      <c r="O110" s="10"/>
      <c r="P110" s="10"/>
      <c r="Q110" s="10"/>
    </row>
    <row r="111" spans="1:17" ht="21.75" customHeight="1" x14ac:dyDescent="0.15">
      <c r="A111" s="6"/>
      <c r="B111" s="6"/>
      <c r="C111" s="6"/>
      <c r="D111" s="6"/>
      <c r="E111" s="6"/>
      <c r="F111" s="6"/>
      <c r="G111" s="6"/>
      <c r="H111" s="6"/>
      <c r="I111" s="6"/>
      <c r="J111" s="6"/>
      <c r="K111" s="7"/>
      <c r="L111" s="7"/>
      <c r="M111" s="6"/>
      <c r="N111" s="6"/>
      <c r="O111" s="6"/>
      <c r="P111" s="6"/>
      <c r="Q111" s="6"/>
    </row>
    <row r="112" spans="1:17" ht="21.75" customHeight="1" x14ac:dyDescent="0.15">
      <c r="A112" s="10"/>
      <c r="B112" s="10"/>
      <c r="C112" s="10"/>
      <c r="D112" s="10"/>
      <c r="E112" s="10"/>
      <c r="F112" s="10"/>
      <c r="G112" s="10"/>
      <c r="H112" s="10"/>
      <c r="I112" s="10"/>
      <c r="J112" s="10"/>
      <c r="K112" s="11"/>
      <c r="L112" s="11"/>
      <c r="M112" s="10"/>
      <c r="N112" s="10"/>
      <c r="O112" s="10"/>
      <c r="P112" s="10"/>
      <c r="Q112" s="10"/>
    </row>
    <row r="113" spans="1:17" ht="21.75" customHeight="1" x14ac:dyDescent="0.15">
      <c r="A113" s="6"/>
      <c r="B113" s="6"/>
      <c r="C113" s="6"/>
      <c r="D113" s="6"/>
      <c r="E113" s="6"/>
      <c r="F113" s="6"/>
      <c r="G113" s="6"/>
      <c r="H113" s="6"/>
      <c r="I113" s="6"/>
      <c r="J113" s="6"/>
      <c r="K113" s="7"/>
      <c r="L113" s="7"/>
      <c r="M113" s="6"/>
      <c r="N113" s="6"/>
      <c r="O113" s="6"/>
      <c r="P113" s="6"/>
      <c r="Q113" s="6"/>
    </row>
    <row r="114" spans="1:17" ht="21.75" customHeight="1" x14ac:dyDescent="0.15">
      <c r="A114" s="10"/>
      <c r="B114" s="10"/>
      <c r="C114" s="10"/>
      <c r="D114" s="10"/>
      <c r="E114" s="10"/>
      <c r="F114" s="10"/>
      <c r="G114" s="10"/>
      <c r="H114" s="10"/>
      <c r="I114" s="10"/>
      <c r="J114" s="10"/>
      <c r="K114" s="11"/>
      <c r="L114" s="11"/>
      <c r="M114" s="10"/>
      <c r="N114" s="10"/>
      <c r="O114" s="10"/>
      <c r="P114" s="10"/>
      <c r="Q114" s="10"/>
    </row>
    <row r="115" spans="1:17" ht="21.75" customHeight="1" x14ac:dyDescent="0.15">
      <c r="A115" s="6"/>
      <c r="B115" s="6"/>
      <c r="C115" s="6"/>
      <c r="D115" s="6"/>
      <c r="E115" s="6"/>
      <c r="F115" s="6"/>
      <c r="G115" s="6"/>
      <c r="H115" s="6"/>
      <c r="I115" s="6"/>
      <c r="J115" s="6"/>
      <c r="K115" s="7"/>
      <c r="L115" s="7"/>
      <c r="M115" s="6"/>
      <c r="N115" s="6"/>
      <c r="O115" s="6"/>
      <c r="P115" s="6"/>
      <c r="Q115" s="6"/>
    </row>
    <row r="116" spans="1:17" ht="21.75" customHeight="1" x14ac:dyDescent="0.15">
      <c r="A116" s="10"/>
      <c r="B116" s="10"/>
      <c r="C116" s="10"/>
      <c r="D116" s="10"/>
      <c r="E116" s="10"/>
      <c r="F116" s="10"/>
      <c r="G116" s="10"/>
      <c r="H116" s="10"/>
      <c r="I116" s="10"/>
      <c r="J116" s="10"/>
      <c r="K116" s="11"/>
      <c r="L116" s="11"/>
      <c r="M116" s="10"/>
      <c r="N116" s="10"/>
      <c r="O116" s="10"/>
      <c r="P116" s="10"/>
      <c r="Q116" s="10"/>
    </row>
    <row r="117" spans="1:17" ht="21.75" customHeight="1" x14ac:dyDescent="0.15">
      <c r="A117" s="6"/>
      <c r="B117" s="6"/>
      <c r="C117" s="6"/>
      <c r="D117" s="6"/>
      <c r="E117" s="6"/>
      <c r="F117" s="6"/>
      <c r="G117" s="6"/>
      <c r="H117" s="6"/>
      <c r="I117" s="6"/>
      <c r="J117" s="6"/>
      <c r="K117" s="7"/>
      <c r="L117" s="7"/>
      <c r="M117" s="6"/>
      <c r="N117" s="6"/>
      <c r="O117" s="6"/>
      <c r="P117" s="6"/>
      <c r="Q117" s="6"/>
    </row>
    <row r="118" spans="1:17" ht="21.75" customHeight="1" x14ac:dyDescent="0.15">
      <c r="A118" s="10"/>
      <c r="B118" s="10"/>
      <c r="C118" s="10"/>
      <c r="D118" s="10"/>
      <c r="E118" s="10"/>
      <c r="F118" s="10"/>
      <c r="G118" s="10"/>
      <c r="H118" s="10"/>
      <c r="I118" s="10"/>
      <c r="J118" s="10"/>
      <c r="K118" s="11"/>
      <c r="L118" s="11"/>
      <c r="M118" s="10"/>
      <c r="N118" s="10"/>
      <c r="O118" s="10"/>
      <c r="P118" s="10"/>
      <c r="Q118" s="10"/>
    </row>
    <row r="119" spans="1:17" ht="21.75" customHeight="1" x14ac:dyDescent="0.15">
      <c r="A119" s="6"/>
      <c r="B119" s="6"/>
      <c r="C119" s="6"/>
      <c r="D119" s="6"/>
      <c r="E119" s="6"/>
      <c r="F119" s="6"/>
      <c r="G119" s="6"/>
      <c r="H119" s="6"/>
      <c r="I119" s="6"/>
      <c r="J119" s="6"/>
      <c r="K119" s="7"/>
      <c r="L119" s="7"/>
      <c r="M119" s="6"/>
      <c r="N119" s="6"/>
      <c r="O119" s="6"/>
      <c r="P119" s="6"/>
      <c r="Q119" s="6"/>
    </row>
    <row r="120" spans="1:17" ht="21.75" customHeight="1" x14ac:dyDescent="0.15">
      <c r="A120" s="10"/>
      <c r="B120" s="10"/>
      <c r="C120" s="10"/>
      <c r="D120" s="10"/>
      <c r="E120" s="10"/>
      <c r="F120" s="10"/>
      <c r="G120" s="10"/>
      <c r="H120" s="10"/>
      <c r="I120" s="10"/>
      <c r="J120" s="10"/>
      <c r="K120" s="11"/>
      <c r="L120" s="11"/>
      <c r="M120" s="10"/>
      <c r="N120" s="10"/>
      <c r="O120" s="10"/>
      <c r="P120" s="10"/>
      <c r="Q120" s="10"/>
    </row>
    <row r="121" spans="1:17" ht="21.75" customHeight="1" x14ac:dyDescent="0.15">
      <c r="A121" s="6"/>
      <c r="B121" s="6"/>
      <c r="C121" s="6"/>
      <c r="D121" s="6"/>
      <c r="E121" s="6"/>
      <c r="F121" s="6"/>
      <c r="G121" s="6"/>
      <c r="H121" s="6"/>
      <c r="I121" s="6"/>
      <c r="J121" s="6"/>
      <c r="K121" s="7"/>
      <c r="L121" s="7"/>
      <c r="M121" s="6"/>
      <c r="N121" s="6"/>
      <c r="O121" s="6"/>
      <c r="P121" s="6"/>
      <c r="Q121" s="6"/>
    </row>
    <row r="122" spans="1:17" ht="21.75" customHeight="1" x14ac:dyDescent="0.15">
      <c r="A122" s="10"/>
      <c r="B122" s="10"/>
      <c r="C122" s="10"/>
      <c r="D122" s="10"/>
      <c r="E122" s="10"/>
      <c r="F122" s="10"/>
      <c r="G122" s="10"/>
      <c r="H122" s="10"/>
      <c r="I122" s="10"/>
      <c r="J122" s="10"/>
      <c r="K122" s="11"/>
      <c r="L122" s="11"/>
      <c r="M122" s="10"/>
      <c r="N122" s="10"/>
      <c r="O122" s="10"/>
      <c r="P122" s="10"/>
      <c r="Q122" s="10"/>
    </row>
    <row r="123" spans="1:17" ht="21.75" customHeight="1" x14ac:dyDescent="0.15">
      <c r="A123" s="6"/>
      <c r="B123" s="6"/>
      <c r="C123" s="6"/>
      <c r="D123" s="6"/>
      <c r="E123" s="6"/>
      <c r="F123" s="6"/>
      <c r="G123" s="6"/>
      <c r="H123" s="6"/>
      <c r="I123" s="6"/>
      <c r="J123" s="6"/>
      <c r="K123" s="7"/>
      <c r="L123" s="7"/>
      <c r="M123" s="6"/>
      <c r="N123" s="6"/>
      <c r="O123" s="6"/>
      <c r="P123" s="6"/>
      <c r="Q123" s="6"/>
    </row>
    <row r="124" spans="1:17" ht="21.75" customHeight="1" x14ac:dyDescent="0.15">
      <c r="A124" s="10"/>
      <c r="B124" s="10"/>
      <c r="C124" s="10"/>
      <c r="D124" s="10"/>
      <c r="E124" s="10"/>
      <c r="F124" s="10"/>
      <c r="G124" s="10"/>
      <c r="H124" s="10"/>
      <c r="I124" s="10"/>
      <c r="J124" s="10"/>
      <c r="K124" s="11"/>
      <c r="L124" s="11"/>
      <c r="M124" s="10"/>
      <c r="N124" s="10"/>
      <c r="O124" s="10"/>
      <c r="P124" s="10"/>
      <c r="Q124" s="10"/>
    </row>
    <row r="125" spans="1:17" ht="21.75" customHeight="1" x14ac:dyDescent="0.15">
      <c r="A125" s="6"/>
      <c r="B125" s="6"/>
      <c r="C125" s="6"/>
      <c r="D125" s="6"/>
      <c r="E125" s="6"/>
      <c r="F125" s="6"/>
      <c r="G125" s="6"/>
      <c r="H125" s="6"/>
      <c r="I125" s="6"/>
      <c r="J125" s="6"/>
      <c r="K125" s="7"/>
      <c r="L125" s="7"/>
      <c r="M125" s="6"/>
      <c r="N125" s="6"/>
      <c r="O125" s="6"/>
      <c r="P125" s="6"/>
      <c r="Q125" s="6"/>
    </row>
    <row r="126" spans="1:17" ht="21.75" customHeight="1" x14ac:dyDescent="0.15">
      <c r="A126" s="10"/>
      <c r="B126" s="10"/>
      <c r="C126" s="10"/>
      <c r="D126" s="10"/>
      <c r="E126" s="10"/>
      <c r="F126" s="10"/>
      <c r="G126" s="10"/>
      <c r="H126" s="10"/>
      <c r="I126" s="10"/>
      <c r="J126" s="10"/>
      <c r="K126" s="11"/>
      <c r="L126" s="11"/>
      <c r="M126" s="10"/>
      <c r="N126" s="10"/>
      <c r="O126" s="10"/>
      <c r="P126" s="10"/>
      <c r="Q126" s="10"/>
    </row>
    <row r="127" spans="1:17" ht="21.75" customHeight="1" x14ac:dyDescent="0.15">
      <c r="A127" s="6"/>
      <c r="B127" s="6"/>
      <c r="C127" s="6"/>
      <c r="D127" s="6"/>
      <c r="E127" s="6"/>
      <c r="F127" s="6"/>
      <c r="G127" s="6"/>
      <c r="H127" s="6"/>
      <c r="I127" s="6"/>
      <c r="J127" s="6"/>
      <c r="K127" s="7"/>
      <c r="L127" s="7"/>
      <c r="M127" s="6"/>
      <c r="N127" s="6"/>
      <c r="O127" s="6"/>
      <c r="P127" s="6"/>
      <c r="Q127" s="6"/>
    </row>
    <row r="128" spans="1:17" ht="21.75" customHeight="1" x14ac:dyDescent="0.15">
      <c r="A128" s="10"/>
      <c r="B128" s="10"/>
      <c r="C128" s="10"/>
      <c r="D128" s="10"/>
      <c r="E128" s="10"/>
      <c r="F128" s="10"/>
      <c r="G128" s="10"/>
      <c r="H128" s="10"/>
      <c r="I128" s="10"/>
      <c r="J128" s="10"/>
      <c r="K128" s="11"/>
      <c r="L128" s="11"/>
      <c r="M128" s="10"/>
      <c r="N128" s="10"/>
      <c r="O128" s="10"/>
      <c r="P128" s="10"/>
      <c r="Q128" s="10"/>
    </row>
    <row r="129" spans="1:17" ht="21.75" customHeight="1" x14ac:dyDescent="0.15">
      <c r="A129" s="6"/>
      <c r="B129" s="6"/>
      <c r="C129" s="6"/>
      <c r="D129" s="6"/>
      <c r="E129" s="6"/>
      <c r="F129" s="6"/>
      <c r="G129" s="6"/>
      <c r="H129" s="6"/>
      <c r="I129" s="6"/>
      <c r="J129" s="6"/>
      <c r="K129" s="7"/>
      <c r="L129" s="7"/>
      <c r="M129" s="6"/>
      <c r="N129" s="6"/>
      <c r="O129" s="6"/>
      <c r="P129" s="6"/>
      <c r="Q129" s="6"/>
    </row>
    <row r="130" spans="1:17" ht="21.75" customHeight="1" x14ac:dyDescent="0.15">
      <c r="A130" s="10"/>
      <c r="B130" s="10"/>
      <c r="C130" s="10"/>
      <c r="D130" s="10"/>
      <c r="E130" s="10"/>
      <c r="F130" s="10"/>
      <c r="G130" s="10"/>
      <c r="H130" s="10"/>
      <c r="I130" s="10"/>
      <c r="J130" s="10"/>
      <c r="K130" s="11"/>
      <c r="L130" s="11"/>
      <c r="M130" s="10"/>
      <c r="N130" s="10"/>
      <c r="O130" s="10"/>
      <c r="P130" s="10"/>
      <c r="Q130" s="10"/>
    </row>
    <row r="131" spans="1:17" ht="21.75" customHeight="1" x14ac:dyDescent="0.15">
      <c r="A131" s="6"/>
      <c r="B131" s="6"/>
      <c r="C131" s="6"/>
      <c r="D131" s="6"/>
      <c r="E131" s="6"/>
      <c r="F131" s="6"/>
      <c r="G131" s="6"/>
      <c r="H131" s="6"/>
      <c r="I131" s="6"/>
      <c r="J131" s="6"/>
      <c r="K131" s="7"/>
      <c r="L131" s="7"/>
      <c r="M131" s="6"/>
      <c r="N131" s="6"/>
      <c r="O131" s="6"/>
      <c r="P131" s="6"/>
      <c r="Q131" s="6"/>
    </row>
    <row r="132" spans="1:17" ht="21.75" customHeight="1" x14ac:dyDescent="0.15">
      <c r="A132" s="10"/>
      <c r="B132" s="10"/>
      <c r="C132" s="10"/>
      <c r="D132" s="10"/>
      <c r="E132" s="10"/>
      <c r="F132" s="10"/>
      <c r="G132" s="10"/>
      <c r="H132" s="10"/>
      <c r="I132" s="10"/>
      <c r="J132" s="10"/>
      <c r="K132" s="11"/>
      <c r="L132" s="11"/>
      <c r="M132" s="10"/>
      <c r="N132" s="10"/>
      <c r="O132" s="10"/>
      <c r="P132" s="10"/>
      <c r="Q132" s="10"/>
    </row>
    <row r="133" spans="1:17" ht="21.75" customHeight="1" x14ac:dyDescent="0.15">
      <c r="A133" s="6"/>
      <c r="B133" s="6"/>
      <c r="C133" s="6"/>
      <c r="D133" s="6"/>
      <c r="E133" s="6"/>
      <c r="F133" s="6"/>
      <c r="G133" s="6"/>
      <c r="H133" s="6"/>
      <c r="I133" s="6"/>
      <c r="J133" s="6"/>
      <c r="K133" s="7"/>
      <c r="L133" s="7"/>
      <c r="M133" s="6"/>
      <c r="N133" s="6"/>
      <c r="O133" s="6"/>
      <c r="P133" s="6"/>
      <c r="Q133" s="6"/>
    </row>
    <row r="134" spans="1:17" ht="21.75" customHeight="1" x14ac:dyDescent="0.15">
      <c r="A134" s="10"/>
      <c r="B134" s="10"/>
      <c r="C134" s="10"/>
      <c r="D134" s="10"/>
      <c r="E134" s="10"/>
      <c r="F134" s="10"/>
      <c r="G134" s="10"/>
      <c r="H134" s="10"/>
      <c r="I134" s="10"/>
      <c r="J134" s="10"/>
      <c r="K134" s="11"/>
      <c r="L134" s="11"/>
      <c r="M134" s="10"/>
      <c r="N134" s="10"/>
      <c r="O134" s="10"/>
      <c r="P134" s="10"/>
      <c r="Q134" s="10"/>
    </row>
    <row r="135" spans="1:17" ht="21.75" customHeight="1" x14ac:dyDescent="0.15">
      <c r="A135" s="6"/>
      <c r="B135" s="6"/>
      <c r="C135" s="6"/>
      <c r="D135" s="6"/>
      <c r="E135" s="6"/>
      <c r="F135" s="6"/>
      <c r="G135" s="6"/>
      <c r="H135" s="6"/>
      <c r="I135" s="6"/>
      <c r="J135" s="6"/>
      <c r="K135" s="7"/>
      <c r="L135" s="7"/>
      <c r="M135" s="6"/>
      <c r="N135" s="6"/>
      <c r="O135" s="6"/>
      <c r="P135" s="6"/>
      <c r="Q135" s="6"/>
    </row>
    <row r="136" spans="1:17" ht="21.75" customHeight="1" x14ac:dyDescent="0.15">
      <c r="A136" s="10"/>
      <c r="B136" s="10"/>
      <c r="C136" s="10"/>
      <c r="D136" s="10"/>
      <c r="E136" s="10"/>
      <c r="F136" s="10"/>
      <c r="G136" s="10"/>
      <c r="H136" s="10"/>
      <c r="I136" s="10"/>
      <c r="J136" s="10"/>
      <c r="K136" s="11"/>
      <c r="L136" s="11"/>
      <c r="M136" s="10"/>
      <c r="N136" s="10"/>
      <c r="O136" s="10"/>
      <c r="P136" s="10"/>
      <c r="Q136" s="10"/>
    </row>
    <row r="137" spans="1:17" ht="21.75" customHeight="1" x14ac:dyDescent="0.15">
      <c r="A137" s="6"/>
      <c r="B137" s="6"/>
      <c r="C137" s="6"/>
      <c r="D137" s="6"/>
      <c r="E137" s="6"/>
      <c r="F137" s="6"/>
      <c r="G137" s="6"/>
      <c r="H137" s="6"/>
      <c r="I137" s="6"/>
      <c r="J137" s="6"/>
      <c r="K137" s="7"/>
      <c r="L137" s="7"/>
      <c r="M137" s="6"/>
      <c r="N137" s="6"/>
      <c r="O137" s="6"/>
      <c r="P137" s="6"/>
      <c r="Q137" s="6"/>
    </row>
    <row r="138" spans="1:17" ht="21.75" customHeight="1" x14ac:dyDescent="0.15">
      <c r="A138" s="10"/>
      <c r="B138" s="10"/>
      <c r="C138" s="10"/>
      <c r="D138" s="10"/>
      <c r="E138" s="10"/>
      <c r="F138" s="10"/>
      <c r="G138" s="10"/>
      <c r="H138" s="10"/>
      <c r="I138" s="10"/>
      <c r="J138" s="10"/>
      <c r="K138" s="11"/>
      <c r="L138" s="11"/>
      <c r="M138" s="10"/>
      <c r="N138" s="10"/>
      <c r="O138" s="10"/>
      <c r="P138" s="10"/>
      <c r="Q138" s="10"/>
    </row>
    <row r="139" spans="1:17" ht="21.75" customHeight="1" x14ac:dyDescent="0.15">
      <c r="A139" s="6"/>
      <c r="B139" s="6"/>
      <c r="C139" s="6"/>
      <c r="D139" s="6"/>
      <c r="E139" s="6"/>
      <c r="F139" s="6"/>
      <c r="G139" s="6"/>
      <c r="H139" s="6"/>
      <c r="I139" s="6"/>
      <c r="J139" s="6"/>
      <c r="K139" s="7"/>
      <c r="L139" s="7"/>
      <c r="M139" s="6"/>
      <c r="N139" s="6"/>
      <c r="O139" s="6"/>
      <c r="P139" s="6"/>
      <c r="Q139" s="6"/>
    </row>
    <row r="140" spans="1:17" ht="21.75" customHeight="1" x14ac:dyDescent="0.15">
      <c r="A140" s="10"/>
      <c r="B140" s="10"/>
      <c r="C140" s="10"/>
      <c r="D140" s="10"/>
      <c r="E140" s="10"/>
      <c r="F140" s="10"/>
      <c r="G140" s="10"/>
      <c r="H140" s="10"/>
      <c r="I140" s="10"/>
      <c r="J140" s="10"/>
      <c r="K140" s="11"/>
      <c r="L140" s="11"/>
      <c r="M140" s="10"/>
      <c r="N140" s="10"/>
      <c r="O140" s="10"/>
      <c r="P140" s="10"/>
      <c r="Q140" s="10"/>
    </row>
    <row r="141" spans="1:17" ht="21.75" customHeight="1" x14ac:dyDescent="0.15">
      <c r="A141" s="6"/>
      <c r="B141" s="6"/>
      <c r="C141" s="6"/>
      <c r="D141" s="6"/>
      <c r="E141" s="6"/>
      <c r="F141" s="6"/>
      <c r="G141" s="6"/>
      <c r="H141" s="6"/>
      <c r="I141" s="6"/>
      <c r="J141" s="6"/>
      <c r="K141" s="7"/>
      <c r="L141" s="7"/>
      <c r="M141" s="6"/>
      <c r="N141" s="6"/>
      <c r="O141" s="6"/>
      <c r="P141" s="6"/>
      <c r="Q141" s="6"/>
    </row>
    <row r="142" spans="1:17" ht="21.75" customHeight="1" x14ac:dyDescent="0.15">
      <c r="A142" s="10"/>
      <c r="B142" s="10"/>
      <c r="C142" s="10"/>
      <c r="D142" s="10"/>
      <c r="E142" s="10"/>
      <c r="F142" s="10"/>
      <c r="G142" s="10"/>
      <c r="H142" s="10"/>
      <c r="I142" s="10"/>
      <c r="J142" s="10"/>
      <c r="K142" s="11"/>
      <c r="L142" s="11"/>
      <c r="M142" s="10"/>
      <c r="N142" s="10"/>
      <c r="O142" s="10"/>
      <c r="P142" s="10"/>
      <c r="Q142" s="10"/>
    </row>
    <row r="143" spans="1:17" ht="21.75" customHeight="1" x14ac:dyDescent="0.15">
      <c r="A143" s="6"/>
      <c r="B143" s="6"/>
      <c r="C143" s="6"/>
      <c r="D143" s="6"/>
      <c r="E143" s="6"/>
      <c r="F143" s="6"/>
      <c r="G143" s="6"/>
      <c r="H143" s="6"/>
      <c r="I143" s="6"/>
      <c r="J143" s="6"/>
      <c r="K143" s="7"/>
      <c r="L143" s="7"/>
      <c r="M143" s="6"/>
      <c r="N143" s="6"/>
      <c r="O143" s="6"/>
      <c r="P143" s="6"/>
      <c r="Q143" s="6"/>
    </row>
    <row r="144" spans="1:17" ht="21.75" customHeight="1" x14ac:dyDescent="0.15">
      <c r="A144" s="10"/>
      <c r="B144" s="10"/>
      <c r="C144" s="10"/>
      <c r="D144" s="10"/>
      <c r="E144" s="10"/>
      <c r="F144" s="10"/>
      <c r="G144" s="10"/>
      <c r="H144" s="10"/>
      <c r="I144" s="10"/>
      <c r="J144" s="10"/>
      <c r="K144" s="11"/>
      <c r="L144" s="11"/>
      <c r="M144" s="10"/>
      <c r="N144" s="10"/>
      <c r="O144" s="10"/>
      <c r="P144" s="10"/>
      <c r="Q144" s="10"/>
    </row>
    <row r="145" spans="1:17" ht="21.75" customHeight="1" x14ac:dyDescent="0.15">
      <c r="A145" s="6"/>
      <c r="B145" s="6"/>
      <c r="C145" s="6"/>
      <c r="D145" s="6"/>
      <c r="E145" s="6"/>
      <c r="F145" s="6"/>
      <c r="G145" s="6"/>
      <c r="H145" s="6"/>
      <c r="I145" s="6"/>
      <c r="J145" s="6"/>
      <c r="K145" s="7"/>
      <c r="L145" s="7"/>
      <c r="M145" s="6"/>
      <c r="N145" s="6"/>
      <c r="O145" s="6"/>
      <c r="P145" s="6"/>
      <c r="Q145" s="6"/>
    </row>
    <row r="146" spans="1:17" ht="21.75" customHeight="1" x14ac:dyDescent="0.15">
      <c r="A146" s="10"/>
      <c r="B146" s="10"/>
      <c r="C146" s="10"/>
      <c r="D146" s="10"/>
      <c r="E146" s="10"/>
      <c r="F146" s="10"/>
      <c r="G146" s="10"/>
      <c r="H146" s="10"/>
      <c r="I146" s="10"/>
      <c r="J146" s="10"/>
      <c r="K146" s="11"/>
      <c r="L146" s="11"/>
      <c r="M146" s="10"/>
      <c r="N146" s="10"/>
      <c r="O146" s="10"/>
      <c r="P146" s="10"/>
      <c r="Q146" s="10"/>
    </row>
    <row r="147" spans="1:17" ht="21.75" customHeight="1" x14ac:dyDescent="0.15">
      <c r="A147" s="6"/>
      <c r="B147" s="6"/>
      <c r="C147" s="6"/>
      <c r="D147" s="6"/>
      <c r="E147" s="6"/>
      <c r="F147" s="6"/>
      <c r="G147" s="6"/>
      <c r="H147" s="6"/>
      <c r="I147" s="6"/>
      <c r="J147" s="6"/>
      <c r="K147" s="7"/>
      <c r="L147" s="7"/>
      <c r="M147" s="6"/>
      <c r="N147" s="6"/>
      <c r="O147" s="6"/>
      <c r="P147" s="6"/>
      <c r="Q147" s="6"/>
    </row>
    <row r="148" spans="1:17" ht="21.75" customHeight="1" x14ac:dyDescent="0.15">
      <c r="A148" s="10"/>
      <c r="B148" s="10"/>
      <c r="C148" s="10"/>
      <c r="D148" s="10"/>
      <c r="E148" s="10"/>
      <c r="F148" s="10"/>
      <c r="G148" s="10"/>
      <c r="H148" s="10"/>
      <c r="I148" s="10"/>
      <c r="J148" s="10"/>
      <c r="K148" s="11"/>
      <c r="L148" s="11"/>
      <c r="M148" s="10"/>
      <c r="N148" s="10"/>
      <c r="O148" s="10"/>
      <c r="P148" s="10"/>
      <c r="Q148" s="10"/>
    </row>
    <row r="149" spans="1:17" ht="21.75" customHeight="1" x14ac:dyDescent="0.15">
      <c r="A149" s="6"/>
      <c r="B149" s="6"/>
      <c r="C149" s="6"/>
      <c r="D149" s="6"/>
      <c r="E149" s="6"/>
      <c r="F149" s="6"/>
      <c r="G149" s="6"/>
      <c r="H149" s="6"/>
      <c r="I149" s="6"/>
      <c r="J149" s="6"/>
      <c r="K149" s="7"/>
      <c r="L149" s="7"/>
      <c r="M149" s="6"/>
      <c r="N149" s="6"/>
      <c r="O149" s="6"/>
      <c r="P149" s="6"/>
      <c r="Q149" s="6"/>
    </row>
    <row r="150" spans="1:17" ht="21.75" customHeight="1" x14ac:dyDescent="0.15">
      <c r="A150" s="10"/>
      <c r="B150" s="10"/>
      <c r="C150" s="10"/>
      <c r="D150" s="10"/>
      <c r="E150" s="10"/>
      <c r="F150" s="10"/>
      <c r="G150" s="10"/>
      <c r="H150" s="10"/>
      <c r="I150" s="10"/>
      <c r="J150" s="10"/>
      <c r="K150" s="11"/>
      <c r="L150" s="11"/>
      <c r="M150" s="10"/>
      <c r="N150" s="10"/>
      <c r="O150" s="10"/>
      <c r="P150" s="10"/>
      <c r="Q150" s="10"/>
    </row>
    <row r="151" spans="1:17" ht="21.75" customHeight="1" x14ac:dyDescent="0.15">
      <c r="A151" s="6"/>
      <c r="B151" s="6"/>
      <c r="C151" s="6"/>
      <c r="D151" s="6"/>
      <c r="E151" s="6"/>
      <c r="F151" s="6"/>
      <c r="G151" s="6"/>
      <c r="H151" s="6"/>
      <c r="I151" s="6"/>
      <c r="J151" s="6"/>
      <c r="K151" s="7"/>
      <c r="L151" s="7"/>
      <c r="M151" s="6"/>
      <c r="N151" s="6"/>
      <c r="O151" s="6"/>
      <c r="P151" s="6"/>
      <c r="Q151" s="6"/>
    </row>
    <row r="152" spans="1:17" ht="21.75" customHeight="1" x14ac:dyDescent="0.15">
      <c r="A152" s="10"/>
      <c r="B152" s="10"/>
      <c r="C152" s="10"/>
      <c r="D152" s="10"/>
      <c r="E152" s="10"/>
      <c r="F152" s="10"/>
      <c r="G152" s="10"/>
      <c r="H152" s="10"/>
      <c r="I152" s="10"/>
      <c r="J152" s="10"/>
      <c r="K152" s="11"/>
      <c r="L152" s="11"/>
      <c r="M152" s="10"/>
      <c r="N152" s="10"/>
      <c r="O152" s="10"/>
      <c r="P152" s="10"/>
      <c r="Q152" s="10"/>
    </row>
    <row r="153" spans="1:17" ht="21.75" customHeight="1" x14ac:dyDescent="0.15">
      <c r="A153" s="6"/>
      <c r="B153" s="6"/>
      <c r="C153" s="6"/>
      <c r="D153" s="6"/>
      <c r="E153" s="6"/>
      <c r="F153" s="6"/>
      <c r="G153" s="6"/>
      <c r="H153" s="6"/>
      <c r="I153" s="6"/>
      <c r="J153" s="6"/>
      <c r="K153" s="7"/>
      <c r="L153" s="7"/>
      <c r="M153" s="6"/>
      <c r="N153" s="6"/>
      <c r="O153" s="6"/>
      <c r="P153" s="6"/>
      <c r="Q153" s="6"/>
    </row>
    <row r="154" spans="1:17" ht="21.75" customHeight="1" x14ac:dyDescent="0.15">
      <c r="A154" s="10"/>
      <c r="B154" s="10"/>
      <c r="C154" s="10"/>
      <c r="D154" s="10"/>
      <c r="E154" s="10"/>
      <c r="F154" s="10"/>
      <c r="G154" s="10"/>
      <c r="H154" s="10"/>
      <c r="I154" s="10"/>
      <c r="J154" s="10"/>
      <c r="K154" s="11"/>
      <c r="L154" s="11"/>
      <c r="M154" s="10"/>
      <c r="N154" s="10"/>
      <c r="O154" s="10"/>
      <c r="P154" s="10"/>
      <c r="Q154" s="10"/>
    </row>
    <row r="155" spans="1:17" ht="21.75" customHeight="1" x14ac:dyDescent="0.15">
      <c r="A155" s="6"/>
      <c r="B155" s="6"/>
      <c r="C155" s="6"/>
      <c r="D155" s="6"/>
      <c r="E155" s="6"/>
      <c r="F155" s="6"/>
      <c r="G155" s="6"/>
      <c r="H155" s="6"/>
      <c r="I155" s="6"/>
      <c r="J155" s="6"/>
      <c r="K155" s="7"/>
      <c r="L155" s="7"/>
      <c r="M155" s="6"/>
      <c r="N155" s="6"/>
      <c r="O155" s="6"/>
      <c r="P155" s="6"/>
      <c r="Q155" s="6"/>
    </row>
    <row r="156" spans="1:17" ht="21.75" customHeight="1" x14ac:dyDescent="0.15">
      <c r="A156" s="10"/>
      <c r="B156" s="10"/>
      <c r="C156" s="10"/>
      <c r="D156" s="10"/>
      <c r="E156" s="10"/>
      <c r="F156" s="10"/>
      <c r="G156" s="10"/>
      <c r="H156" s="10"/>
      <c r="I156" s="10"/>
      <c r="J156" s="10"/>
      <c r="K156" s="11"/>
      <c r="L156" s="11"/>
      <c r="M156" s="10"/>
      <c r="N156" s="10"/>
      <c r="O156" s="10"/>
      <c r="P156" s="10"/>
      <c r="Q156" s="10"/>
    </row>
    <row r="157" spans="1:17" ht="21.75" customHeight="1" x14ac:dyDescent="0.15">
      <c r="A157" s="6"/>
      <c r="B157" s="6"/>
      <c r="C157" s="6"/>
      <c r="D157" s="6"/>
      <c r="E157" s="6"/>
      <c r="F157" s="6"/>
      <c r="G157" s="6"/>
      <c r="H157" s="6"/>
      <c r="I157" s="6"/>
      <c r="J157" s="6"/>
      <c r="K157" s="7"/>
      <c r="L157" s="7"/>
      <c r="M157" s="6"/>
      <c r="N157" s="6"/>
      <c r="O157" s="6"/>
      <c r="P157" s="6"/>
      <c r="Q157" s="6"/>
    </row>
    <row r="158" spans="1:17" ht="21.75" customHeight="1" x14ac:dyDescent="0.15">
      <c r="A158" s="10"/>
      <c r="B158" s="10"/>
      <c r="C158" s="10"/>
      <c r="D158" s="10"/>
      <c r="E158" s="10"/>
      <c r="F158" s="10"/>
      <c r="G158" s="10"/>
      <c r="H158" s="10"/>
      <c r="I158" s="10"/>
      <c r="J158" s="10"/>
      <c r="K158" s="11"/>
      <c r="L158" s="11"/>
      <c r="M158" s="10"/>
      <c r="N158" s="10"/>
      <c r="O158" s="10"/>
      <c r="P158" s="10"/>
      <c r="Q158" s="10"/>
    </row>
    <row r="159" spans="1:17" ht="21.75" customHeight="1" x14ac:dyDescent="0.15">
      <c r="A159" s="6"/>
      <c r="B159" s="6"/>
      <c r="C159" s="6"/>
      <c r="D159" s="6"/>
      <c r="E159" s="6"/>
      <c r="F159" s="6"/>
      <c r="G159" s="6"/>
      <c r="H159" s="6"/>
      <c r="I159" s="6"/>
      <c r="J159" s="6"/>
      <c r="K159" s="7"/>
      <c r="L159" s="7"/>
      <c r="M159" s="6"/>
      <c r="N159" s="6"/>
      <c r="O159" s="6"/>
      <c r="P159" s="6"/>
      <c r="Q159" s="6"/>
    </row>
    <row r="160" spans="1:17" ht="21.75" customHeight="1" x14ac:dyDescent="0.15">
      <c r="A160" s="10"/>
      <c r="B160" s="10"/>
      <c r="C160" s="10"/>
      <c r="D160" s="10"/>
      <c r="E160" s="10"/>
      <c r="F160" s="10"/>
      <c r="G160" s="10"/>
      <c r="H160" s="10"/>
      <c r="I160" s="10"/>
      <c r="J160" s="10"/>
      <c r="K160" s="11"/>
      <c r="L160" s="11"/>
      <c r="M160" s="10"/>
      <c r="N160" s="10"/>
      <c r="O160" s="10"/>
      <c r="P160" s="10"/>
      <c r="Q160" s="10"/>
    </row>
    <row r="161" spans="1:17" ht="21.75" customHeight="1" x14ac:dyDescent="0.15">
      <c r="A161" s="6"/>
      <c r="B161" s="6"/>
      <c r="C161" s="6"/>
      <c r="D161" s="6"/>
      <c r="E161" s="6"/>
      <c r="F161" s="6"/>
      <c r="G161" s="6"/>
      <c r="H161" s="6"/>
      <c r="I161" s="6"/>
      <c r="J161" s="6"/>
      <c r="K161" s="7"/>
      <c r="L161" s="7"/>
      <c r="M161" s="6"/>
      <c r="N161" s="6"/>
      <c r="O161" s="6"/>
      <c r="P161" s="6"/>
      <c r="Q161" s="6"/>
    </row>
    <row r="162" spans="1:17" ht="21.75" customHeight="1" x14ac:dyDescent="0.15">
      <c r="A162" s="10"/>
      <c r="B162" s="10"/>
      <c r="C162" s="10"/>
      <c r="D162" s="10"/>
      <c r="E162" s="10"/>
      <c r="F162" s="10"/>
      <c r="G162" s="10"/>
      <c r="H162" s="10"/>
      <c r="I162" s="10"/>
      <c r="J162" s="10"/>
      <c r="K162" s="11"/>
      <c r="L162" s="11"/>
      <c r="M162" s="10"/>
      <c r="N162" s="10"/>
      <c r="O162" s="10"/>
      <c r="P162" s="10"/>
      <c r="Q162" s="10"/>
    </row>
    <row r="163" spans="1:17" ht="21.75" customHeight="1" x14ac:dyDescent="0.15">
      <c r="A163" s="6"/>
      <c r="B163" s="6"/>
      <c r="C163" s="6"/>
      <c r="D163" s="6"/>
      <c r="E163" s="6"/>
      <c r="F163" s="6"/>
      <c r="G163" s="6"/>
      <c r="H163" s="6"/>
      <c r="I163" s="6"/>
      <c r="J163" s="6"/>
      <c r="K163" s="7"/>
      <c r="L163" s="7"/>
      <c r="M163" s="6"/>
      <c r="N163" s="6"/>
      <c r="O163" s="6"/>
      <c r="P163" s="6"/>
      <c r="Q163" s="6"/>
    </row>
    <row r="164" spans="1:17" ht="21.75" customHeight="1" x14ac:dyDescent="0.15">
      <c r="A164" s="10"/>
      <c r="B164" s="10"/>
      <c r="C164" s="10"/>
      <c r="D164" s="10"/>
      <c r="E164" s="10"/>
      <c r="F164" s="10"/>
      <c r="G164" s="10"/>
      <c r="H164" s="10"/>
      <c r="I164" s="10"/>
      <c r="J164" s="10"/>
      <c r="K164" s="11"/>
      <c r="L164" s="11"/>
      <c r="M164" s="10"/>
      <c r="N164" s="10"/>
      <c r="O164" s="10"/>
      <c r="P164" s="10"/>
      <c r="Q164" s="10"/>
    </row>
    <row r="165" spans="1:17" ht="21.75" customHeight="1" x14ac:dyDescent="0.15">
      <c r="A165" s="6"/>
      <c r="B165" s="6"/>
      <c r="C165" s="6"/>
      <c r="D165" s="6"/>
      <c r="E165" s="6"/>
      <c r="F165" s="6"/>
      <c r="G165" s="6"/>
      <c r="H165" s="6"/>
      <c r="I165" s="6"/>
      <c r="J165" s="6"/>
      <c r="K165" s="7"/>
      <c r="L165" s="7"/>
      <c r="M165" s="6"/>
      <c r="N165" s="6"/>
      <c r="O165" s="6"/>
      <c r="P165" s="6"/>
      <c r="Q165" s="6"/>
    </row>
    <row r="166" spans="1:17" ht="21.75" customHeight="1" x14ac:dyDescent="0.15">
      <c r="A166" s="10"/>
      <c r="B166" s="10"/>
      <c r="C166" s="10"/>
      <c r="D166" s="10"/>
      <c r="E166" s="10"/>
      <c r="F166" s="10"/>
      <c r="G166" s="10"/>
      <c r="H166" s="10"/>
      <c r="I166" s="10"/>
      <c r="J166" s="10"/>
      <c r="K166" s="11"/>
      <c r="L166" s="11"/>
      <c r="M166" s="10"/>
      <c r="N166" s="10"/>
      <c r="O166" s="10"/>
      <c r="P166" s="10"/>
      <c r="Q166" s="10"/>
    </row>
    <row r="167" spans="1:17" ht="21.75" customHeight="1" x14ac:dyDescent="0.15">
      <c r="A167" s="6"/>
      <c r="B167" s="6"/>
      <c r="C167" s="6"/>
      <c r="D167" s="6"/>
      <c r="E167" s="6"/>
      <c r="F167" s="6"/>
      <c r="G167" s="6"/>
      <c r="H167" s="6"/>
      <c r="I167" s="6"/>
      <c r="J167" s="6"/>
      <c r="K167" s="7"/>
      <c r="L167" s="7"/>
      <c r="M167" s="6"/>
      <c r="N167" s="6"/>
      <c r="O167" s="6"/>
      <c r="P167" s="6"/>
      <c r="Q167" s="6"/>
    </row>
    <row r="168" spans="1:17" ht="21.75" customHeight="1" x14ac:dyDescent="0.15">
      <c r="A168" s="10"/>
      <c r="B168" s="10"/>
      <c r="C168" s="10"/>
      <c r="D168" s="10"/>
      <c r="E168" s="10"/>
      <c r="F168" s="10"/>
      <c r="G168" s="10"/>
      <c r="H168" s="10"/>
      <c r="I168" s="10"/>
      <c r="J168" s="10"/>
      <c r="K168" s="11"/>
      <c r="L168" s="11"/>
      <c r="M168" s="10"/>
      <c r="N168" s="10"/>
      <c r="O168" s="10"/>
      <c r="P168" s="10"/>
      <c r="Q168" s="10"/>
    </row>
    <row r="169" spans="1:17" ht="21.75" customHeight="1" x14ac:dyDescent="0.15">
      <c r="A169" s="6"/>
      <c r="B169" s="6"/>
      <c r="C169" s="6"/>
      <c r="D169" s="6"/>
      <c r="E169" s="6"/>
      <c r="F169" s="6"/>
      <c r="G169" s="6"/>
      <c r="H169" s="6"/>
      <c r="I169" s="6"/>
      <c r="J169" s="6"/>
      <c r="K169" s="7"/>
      <c r="L169" s="7"/>
      <c r="M169" s="6"/>
      <c r="N169" s="6"/>
      <c r="O169" s="6"/>
      <c r="P169" s="6"/>
      <c r="Q169" s="6"/>
    </row>
    <row r="170" spans="1:17" ht="21.75" customHeight="1" x14ac:dyDescent="0.15">
      <c r="A170" s="10"/>
      <c r="B170" s="10"/>
      <c r="C170" s="10"/>
      <c r="D170" s="10"/>
      <c r="E170" s="10"/>
      <c r="F170" s="10"/>
      <c r="G170" s="10"/>
      <c r="H170" s="10"/>
      <c r="I170" s="10"/>
      <c r="J170" s="10"/>
      <c r="K170" s="11"/>
      <c r="L170" s="11"/>
      <c r="M170" s="10"/>
      <c r="N170" s="10"/>
      <c r="O170" s="10"/>
      <c r="P170" s="10"/>
      <c r="Q170" s="10"/>
    </row>
    <row r="171" spans="1:17" ht="21.75" customHeight="1" x14ac:dyDescent="0.15">
      <c r="A171" s="6"/>
      <c r="B171" s="6"/>
      <c r="C171" s="6"/>
      <c r="D171" s="6"/>
      <c r="E171" s="6"/>
      <c r="F171" s="6"/>
      <c r="G171" s="6"/>
      <c r="H171" s="6"/>
      <c r="I171" s="6"/>
      <c r="J171" s="6"/>
      <c r="K171" s="7"/>
      <c r="L171" s="7"/>
      <c r="M171" s="6"/>
      <c r="N171" s="6"/>
      <c r="O171" s="6"/>
      <c r="P171" s="6"/>
      <c r="Q171" s="6"/>
    </row>
    <row r="172" spans="1:17" ht="21.75" customHeight="1" x14ac:dyDescent="0.15">
      <c r="A172" s="10"/>
      <c r="B172" s="10"/>
      <c r="C172" s="10"/>
      <c r="D172" s="10"/>
      <c r="E172" s="10"/>
      <c r="F172" s="10"/>
      <c r="G172" s="10"/>
      <c r="H172" s="10"/>
      <c r="I172" s="10"/>
      <c r="J172" s="10"/>
      <c r="K172" s="11"/>
      <c r="L172" s="11"/>
      <c r="M172" s="10"/>
      <c r="N172" s="10"/>
      <c r="O172" s="10"/>
      <c r="P172" s="10"/>
      <c r="Q172" s="10"/>
    </row>
    <row r="173" spans="1:17" ht="21.75" customHeight="1" x14ac:dyDescent="0.15">
      <c r="A173" s="6"/>
      <c r="B173" s="6"/>
      <c r="C173" s="6"/>
      <c r="D173" s="6"/>
      <c r="E173" s="6"/>
      <c r="F173" s="6"/>
      <c r="G173" s="6"/>
      <c r="H173" s="6"/>
      <c r="I173" s="6"/>
      <c r="J173" s="6"/>
      <c r="K173" s="7"/>
      <c r="L173" s="7"/>
      <c r="M173" s="6"/>
      <c r="N173" s="6"/>
      <c r="O173" s="6"/>
      <c r="P173" s="6"/>
      <c r="Q173" s="6"/>
    </row>
    <row r="174" spans="1:17" ht="21.75" customHeight="1" x14ac:dyDescent="0.15">
      <c r="A174" s="10"/>
      <c r="B174" s="10"/>
      <c r="C174" s="10"/>
      <c r="D174" s="10"/>
      <c r="E174" s="10"/>
      <c r="F174" s="10"/>
      <c r="G174" s="10"/>
      <c r="H174" s="10"/>
      <c r="I174" s="10"/>
      <c r="J174" s="10"/>
      <c r="K174" s="11"/>
      <c r="L174" s="11"/>
      <c r="M174" s="10"/>
      <c r="N174" s="10"/>
      <c r="O174" s="10"/>
      <c r="P174" s="10"/>
      <c r="Q174" s="10"/>
    </row>
    <row r="175" spans="1:17" ht="21.75" customHeight="1" x14ac:dyDescent="0.15">
      <c r="A175" s="6"/>
      <c r="B175" s="6"/>
      <c r="C175" s="6"/>
      <c r="D175" s="6"/>
      <c r="E175" s="6"/>
      <c r="F175" s="6"/>
      <c r="G175" s="6"/>
      <c r="H175" s="6"/>
      <c r="I175" s="6"/>
      <c r="J175" s="6"/>
      <c r="K175" s="7"/>
      <c r="L175" s="7"/>
      <c r="M175" s="6"/>
      <c r="N175" s="6"/>
      <c r="O175" s="6"/>
      <c r="P175" s="6"/>
      <c r="Q175" s="6"/>
    </row>
    <row r="176" spans="1:17" ht="21.75" customHeight="1" x14ac:dyDescent="0.15">
      <c r="A176" s="10"/>
      <c r="B176" s="10"/>
      <c r="C176" s="10"/>
      <c r="D176" s="10"/>
      <c r="E176" s="10"/>
      <c r="F176" s="10"/>
      <c r="G176" s="10"/>
      <c r="H176" s="10"/>
      <c r="I176" s="10"/>
      <c r="J176" s="10"/>
      <c r="K176" s="11"/>
      <c r="L176" s="11"/>
      <c r="M176" s="10"/>
      <c r="N176" s="10"/>
      <c r="O176" s="10"/>
      <c r="P176" s="10"/>
      <c r="Q176" s="10"/>
    </row>
    <row r="177" spans="1:17" ht="21.75" customHeight="1" x14ac:dyDescent="0.15">
      <c r="A177" s="6"/>
      <c r="B177" s="6"/>
      <c r="C177" s="6"/>
      <c r="D177" s="6"/>
      <c r="E177" s="6"/>
      <c r="F177" s="6"/>
      <c r="G177" s="6"/>
      <c r="H177" s="6"/>
      <c r="I177" s="6"/>
      <c r="J177" s="6"/>
      <c r="K177" s="7"/>
      <c r="L177" s="7"/>
      <c r="M177" s="6"/>
      <c r="N177" s="6"/>
      <c r="O177" s="6"/>
      <c r="P177" s="6"/>
      <c r="Q177" s="6"/>
    </row>
    <row r="178" spans="1:17" ht="21.75" customHeight="1" x14ac:dyDescent="0.15">
      <c r="A178" s="10"/>
      <c r="B178" s="10"/>
      <c r="C178" s="10"/>
      <c r="D178" s="10"/>
      <c r="E178" s="10"/>
      <c r="F178" s="10"/>
      <c r="G178" s="10"/>
      <c r="H178" s="10"/>
      <c r="I178" s="10"/>
      <c r="J178" s="10"/>
      <c r="K178" s="11"/>
      <c r="L178" s="11"/>
      <c r="M178" s="10"/>
      <c r="N178" s="10"/>
      <c r="O178" s="10"/>
      <c r="P178" s="10"/>
      <c r="Q178" s="10"/>
    </row>
    <row r="179" spans="1:17" ht="21.75" customHeight="1" x14ac:dyDescent="0.15">
      <c r="A179" s="6"/>
      <c r="B179" s="6"/>
      <c r="C179" s="6"/>
      <c r="D179" s="6"/>
      <c r="E179" s="6"/>
      <c r="F179" s="6"/>
      <c r="G179" s="6"/>
      <c r="H179" s="6"/>
      <c r="I179" s="6"/>
      <c r="J179" s="6"/>
      <c r="K179" s="7"/>
      <c r="L179" s="7"/>
      <c r="M179" s="6"/>
      <c r="N179" s="6"/>
      <c r="O179" s="6"/>
      <c r="P179" s="6"/>
      <c r="Q179" s="6"/>
    </row>
    <row r="180" spans="1:17" ht="21.75" customHeight="1" x14ac:dyDescent="0.15">
      <c r="A180" s="10"/>
      <c r="B180" s="10"/>
      <c r="C180" s="10"/>
      <c r="D180" s="10"/>
      <c r="E180" s="10"/>
      <c r="F180" s="10"/>
      <c r="G180" s="10"/>
      <c r="H180" s="10"/>
      <c r="I180" s="10"/>
      <c r="J180" s="10"/>
      <c r="K180" s="11"/>
      <c r="L180" s="11"/>
      <c r="M180" s="10"/>
      <c r="N180" s="10"/>
      <c r="O180" s="10"/>
      <c r="P180" s="10"/>
      <c r="Q180" s="10"/>
    </row>
    <row r="181" spans="1:17" ht="21.75" customHeight="1" x14ac:dyDescent="0.15">
      <c r="A181" s="6"/>
      <c r="B181" s="6"/>
      <c r="C181" s="6"/>
      <c r="D181" s="6"/>
      <c r="E181" s="6"/>
      <c r="F181" s="6"/>
      <c r="G181" s="6"/>
      <c r="H181" s="6"/>
      <c r="I181" s="6"/>
      <c r="J181" s="6"/>
      <c r="K181" s="7"/>
      <c r="L181" s="7"/>
      <c r="M181" s="6"/>
      <c r="N181" s="6"/>
      <c r="O181" s="6"/>
      <c r="P181" s="6"/>
      <c r="Q181" s="6"/>
    </row>
    <row r="182" spans="1:17" ht="21.75" customHeight="1" x14ac:dyDescent="0.15">
      <c r="A182" s="10"/>
      <c r="B182" s="10"/>
      <c r="C182" s="10"/>
      <c r="D182" s="10"/>
      <c r="E182" s="10"/>
      <c r="F182" s="10"/>
      <c r="G182" s="10"/>
      <c r="H182" s="10"/>
      <c r="I182" s="10"/>
      <c r="J182" s="10"/>
      <c r="K182" s="11"/>
      <c r="L182" s="11"/>
      <c r="M182" s="10"/>
      <c r="N182" s="10"/>
      <c r="O182" s="10"/>
      <c r="P182" s="10"/>
      <c r="Q182" s="10"/>
    </row>
    <row r="183" spans="1:17" ht="21.75" customHeight="1" x14ac:dyDescent="0.15">
      <c r="A183" s="6"/>
      <c r="B183" s="6"/>
      <c r="C183" s="6"/>
      <c r="D183" s="6"/>
      <c r="E183" s="6"/>
      <c r="F183" s="6"/>
      <c r="G183" s="6"/>
      <c r="H183" s="6"/>
      <c r="I183" s="6"/>
      <c r="J183" s="6"/>
      <c r="K183" s="7"/>
      <c r="L183" s="7"/>
      <c r="M183" s="6"/>
      <c r="N183" s="6"/>
      <c r="O183" s="6"/>
      <c r="P183" s="6"/>
      <c r="Q183" s="6"/>
    </row>
    <row r="184" spans="1:17" ht="21.75" customHeight="1" x14ac:dyDescent="0.15">
      <c r="A184" s="10"/>
      <c r="B184" s="10"/>
      <c r="C184" s="10"/>
      <c r="D184" s="10"/>
      <c r="E184" s="10"/>
      <c r="F184" s="10"/>
      <c r="G184" s="10"/>
      <c r="H184" s="10"/>
      <c r="I184" s="10"/>
      <c r="J184" s="10"/>
      <c r="K184" s="11"/>
      <c r="L184" s="11"/>
      <c r="M184" s="10"/>
      <c r="N184" s="10"/>
      <c r="O184" s="10"/>
      <c r="P184" s="10"/>
      <c r="Q184" s="10"/>
    </row>
    <row r="185" spans="1:17" ht="21.75" customHeight="1" x14ac:dyDescent="0.15">
      <c r="A185" s="6"/>
      <c r="B185" s="6"/>
      <c r="C185" s="6"/>
      <c r="D185" s="6"/>
      <c r="E185" s="6"/>
      <c r="F185" s="6"/>
      <c r="G185" s="6"/>
      <c r="H185" s="6"/>
      <c r="I185" s="6"/>
      <c r="J185" s="6"/>
      <c r="K185" s="7"/>
      <c r="L185" s="7"/>
      <c r="M185" s="6"/>
      <c r="N185" s="6"/>
      <c r="O185" s="6"/>
      <c r="P185" s="6"/>
      <c r="Q185" s="6"/>
    </row>
    <row r="186" spans="1:17" ht="21.75" customHeight="1" x14ac:dyDescent="0.15">
      <c r="A186" s="10"/>
      <c r="B186" s="10"/>
      <c r="C186" s="10"/>
      <c r="D186" s="10"/>
      <c r="E186" s="10"/>
      <c r="F186" s="10"/>
      <c r="G186" s="10"/>
      <c r="H186" s="10"/>
      <c r="I186" s="10"/>
      <c r="J186" s="10"/>
      <c r="K186" s="11"/>
      <c r="L186" s="11"/>
      <c r="M186" s="10"/>
      <c r="N186" s="10"/>
      <c r="O186" s="10"/>
      <c r="P186" s="10"/>
      <c r="Q186" s="10"/>
    </row>
    <row r="187" spans="1:17" ht="21.75" customHeight="1" x14ac:dyDescent="0.15">
      <c r="A187" s="6"/>
      <c r="B187" s="6"/>
      <c r="C187" s="6"/>
      <c r="D187" s="6"/>
      <c r="E187" s="6"/>
      <c r="F187" s="6"/>
      <c r="G187" s="6"/>
      <c r="H187" s="6"/>
      <c r="I187" s="6"/>
      <c r="J187" s="6"/>
      <c r="K187" s="7"/>
      <c r="L187" s="7"/>
      <c r="M187" s="6"/>
      <c r="N187" s="6"/>
      <c r="O187" s="6"/>
      <c r="P187" s="6"/>
      <c r="Q187" s="6"/>
    </row>
    <row r="188" spans="1:17" ht="21.75" customHeight="1" x14ac:dyDescent="0.15">
      <c r="A188" s="10"/>
      <c r="B188" s="10"/>
      <c r="C188" s="10"/>
      <c r="D188" s="10"/>
      <c r="E188" s="10"/>
      <c r="F188" s="10"/>
      <c r="G188" s="10"/>
      <c r="H188" s="10"/>
      <c r="I188" s="10"/>
      <c r="J188" s="10"/>
      <c r="K188" s="11"/>
      <c r="L188" s="11"/>
      <c r="M188" s="10"/>
      <c r="N188" s="10"/>
      <c r="O188" s="10"/>
      <c r="P188" s="10"/>
      <c r="Q188" s="10"/>
    </row>
    <row r="189" spans="1:17" ht="21.75" customHeight="1" x14ac:dyDescent="0.15">
      <c r="A189" s="6"/>
      <c r="B189" s="6"/>
      <c r="C189" s="6"/>
      <c r="D189" s="6"/>
      <c r="E189" s="6"/>
      <c r="F189" s="6"/>
      <c r="G189" s="6"/>
      <c r="H189" s="6"/>
      <c r="I189" s="6"/>
      <c r="J189" s="6"/>
      <c r="K189" s="7"/>
      <c r="L189" s="7"/>
      <c r="M189" s="6"/>
      <c r="N189" s="6"/>
      <c r="O189" s="6"/>
      <c r="P189" s="6"/>
      <c r="Q189" s="6"/>
    </row>
    <row r="190" spans="1:17" ht="21.75" customHeight="1" x14ac:dyDescent="0.15">
      <c r="A190" s="10"/>
      <c r="B190" s="10"/>
      <c r="C190" s="10"/>
      <c r="D190" s="10"/>
      <c r="E190" s="10"/>
      <c r="F190" s="10"/>
      <c r="G190" s="10"/>
      <c r="H190" s="10"/>
      <c r="I190" s="10"/>
      <c r="J190" s="10"/>
      <c r="K190" s="11"/>
      <c r="L190" s="11"/>
      <c r="M190" s="10"/>
      <c r="N190" s="10"/>
      <c r="O190" s="10"/>
      <c r="P190" s="10"/>
      <c r="Q190" s="10"/>
    </row>
    <row r="191" spans="1:17" ht="21.75" customHeight="1" x14ac:dyDescent="0.15">
      <c r="A191" s="6"/>
      <c r="B191" s="6"/>
      <c r="C191" s="6"/>
      <c r="D191" s="6"/>
      <c r="E191" s="6"/>
      <c r="F191" s="6"/>
      <c r="G191" s="6"/>
      <c r="H191" s="6"/>
      <c r="I191" s="6"/>
      <c r="J191" s="6"/>
      <c r="K191" s="7"/>
      <c r="L191" s="7"/>
      <c r="M191" s="6"/>
      <c r="N191" s="6"/>
      <c r="O191" s="6"/>
      <c r="P191" s="6"/>
      <c r="Q191" s="6"/>
    </row>
    <row r="192" spans="1:17" ht="21.75" customHeight="1" x14ac:dyDescent="0.15">
      <c r="A192" s="10"/>
      <c r="B192" s="10"/>
      <c r="C192" s="10"/>
      <c r="D192" s="10"/>
      <c r="E192" s="10"/>
      <c r="F192" s="10"/>
      <c r="G192" s="10"/>
      <c r="H192" s="10"/>
      <c r="I192" s="10"/>
      <c r="J192" s="10"/>
      <c r="K192" s="11"/>
      <c r="L192" s="11"/>
      <c r="M192" s="10"/>
      <c r="N192" s="10"/>
      <c r="O192" s="10"/>
      <c r="P192" s="10"/>
      <c r="Q192" s="10"/>
    </row>
    <row r="193" spans="1:17" ht="21.75" customHeight="1" x14ac:dyDescent="0.15">
      <c r="A193" s="6"/>
      <c r="B193" s="6"/>
      <c r="C193" s="6"/>
      <c r="D193" s="6"/>
      <c r="E193" s="6"/>
      <c r="F193" s="6"/>
      <c r="G193" s="6"/>
      <c r="H193" s="6"/>
      <c r="I193" s="6"/>
      <c r="J193" s="6"/>
      <c r="K193" s="7"/>
      <c r="L193" s="7"/>
      <c r="M193" s="6"/>
      <c r="N193" s="6"/>
      <c r="O193" s="6"/>
      <c r="P193" s="6"/>
      <c r="Q193" s="6"/>
    </row>
    <row r="194" spans="1:17" ht="21.75" customHeight="1" x14ac:dyDescent="0.15">
      <c r="A194" s="10"/>
      <c r="B194" s="10"/>
      <c r="C194" s="10"/>
      <c r="D194" s="10"/>
      <c r="E194" s="10"/>
      <c r="F194" s="10"/>
      <c r="G194" s="10"/>
      <c r="H194" s="10"/>
      <c r="I194" s="10"/>
      <c r="J194" s="10"/>
      <c r="K194" s="11"/>
      <c r="L194" s="11"/>
      <c r="M194" s="10"/>
      <c r="N194" s="10"/>
      <c r="O194" s="10"/>
      <c r="P194" s="10"/>
      <c r="Q194" s="10"/>
    </row>
    <row r="195" spans="1:17" ht="21.75" customHeight="1" x14ac:dyDescent="0.15">
      <c r="A195" s="6"/>
      <c r="B195" s="6"/>
      <c r="C195" s="6"/>
      <c r="D195" s="6"/>
      <c r="E195" s="6"/>
      <c r="F195" s="6"/>
      <c r="G195" s="6"/>
      <c r="H195" s="6"/>
      <c r="I195" s="6"/>
      <c r="J195" s="6"/>
      <c r="K195" s="7"/>
      <c r="L195" s="7"/>
      <c r="M195" s="6"/>
      <c r="N195" s="6"/>
      <c r="O195" s="6"/>
      <c r="P195" s="6"/>
      <c r="Q195" s="6"/>
    </row>
    <row r="196" spans="1:17" ht="21.75" customHeight="1" x14ac:dyDescent="0.15">
      <c r="A196" s="10"/>
      <c r="B196" s="10"/>
      <c r="C196" s="10"/>
      <c r="D196" s="10"/>
      <c r="E196" s="10"/>
      <c r="F196" s="10"/>
      <c r="G196" s="10"/>
      <c r="H196" s="10"/>
      <c r="I196" s="10"/>
      <c r="J196" s="10"/>
      <c r="K196" s="11"/>
      <c r="L196" s="11"/>
      <c r="M196" s="10"/>
      <c r="N196" s="10"/>
      <c r="O196" s="10"/>
      <c r="P196" s="10"/>
      <c r="Q196" s="10"/>
    </row>
    <row r="197" spans="1:17" ht="21.75" customHeight="1" x14ac:dyDescent="0.15">
      <c r="A197" s="6"/>
      <c r="B197" s="6"/>
      <c r="C197" s="6"/>
      <c r="D197" s="6"/>
      <c r="E197" s="6"/>
      <c r="F197" s="6"/>
      <c r="G197" s="6"/>
      <c r="H197" s="6"/>
      <c r="I197" s="6"/>
      <c r="J197" s="6"/>
      <c r="K197" s="7"/>
      <c r="L197" s="7"/>
      <c r="M197" s="6"/>
      <c r="N197" s="6"/>
      <c r="O197" s="6"/>
      <c r="P197" s="6"/>
      <c r="Q197" s="6"/>
    </row>
    <row r="198" spans="1:17" ht="21.75" customHeight="1" x14ac:dyDescent="0.15">
      <c r="A198" s="10"/>
      <c r="B198" s="10"/>
      <c r="C198" s="10"/>
      <c r="D198" s="10"/>
      <c r="E198" s="10"/>
      <c r="F198" s="10"/>
      <c r="G198" s="10"/>
      <c r="H198" s="10"/>
      <c r="I198" s="10"/>
      <c r="J198" s="10"/>
      <c r="K198" s="11"/>
      <c r="L198" s="11"/>
      <c r="M198" s="10"/>
      <c r="N198" s="10"/>
      <c r="O198" s="10"/>
      <c r="P198" s="10"/>
      <c r="Q198" s="10"/>
    </row>
    <row r="199" spans="1:17" ht="21.75" customHeight="1" x14ac:dyDescent="0.15">
      <c r="A199" s="6"/>
      <c r="B199" s="6"/>
      <c r="C199" s="6"/>
      <c r="D199" s="6"/>
      <c r="E199" s="6"/>
      <c r="F199" s="6"/>
      <c r="G199" s="6"/>
      <c r="H199" s="6"/>
      <c r="I199" s="6"/>
      <c r="J199" s="6"/>
      <c r="K199" s="7"/>
      <c r="L199" s="7"/>
      <c r="M199" s="6"/>
      <c r="N199" s="6"/>
      <c r="O199" s="6"/>
      <c r="P199" s="6"/>
      <c r="Q199" s="6"/>
    </row>
    <row r="200" spans="1:17" ht="21.75" customHeight="1" x14ac:dyDescent="0.15">
      <c r="A200" s="10"/>
      <c r="B200" s="10"/>
      <c r="C200" s="10"/>
      <c r="D200" s="10"/>
      <c r="E200" s="10"/>
      <c r="F200" s="10"/>
      <c r="G200" s="10"/>
      <c r="H200" s="10"/>
      <c r="I200" s="10"/>
      <c r="J200" s="10"/>
      <c r="K200" s="11"/>
      <c r="L200" s="11"/>
      <c r="M200" s="10"/>
      <c r="N200" s="10"/>
      <c r="O200" s="10"/>
      <c r="P200" s="10"/>
      <c r="Q200" s="10"/>
    </row>
    <row r="201" spans="1:17" ht="21.75" customHeight="1" x14ac:dyDescent="0.15">
      <c r="A201" s="6"/>
      <c r="B201" s="6"/>
      <c r="C201" s="6"/>
      <c r="D201" s="6"/>
      <c r="E201" s="6"/>
      <c r="F201" s="6"/>
      <c r="G201" s="6"/>
      <c r="H201" s="6"/>
      <c r="I201" s="6"/>
      <c r="J201" s="6"/>
      <c r="K201" s="7"/>
      <c r="L201" s="7"/>
      <c r="M201" s="6"/>
      <c r="N201" s="6"/>
      <c r="O201" s="6"/>
      <c r="P201" s="6"/>
      <c r="Q201" s="6"/>
    </row>
    <row r="202" spans="1:17" ht="21.75" customHeight="1" x14ac:dyDescent="0.15">
      <c r="A202" s="10"/>
      <c r="B202" s="10"/>
      <c r="C202" s="10"/>
      <c r="D202" s="10"/>
      <c r="E202" s="10"/>
      <c r="F202" s="10"/>
      <c r="G202" s="10"/>
      <c r="H202" s="10"/>
      <c r="I202" s="10"/>
      <c r="J202" s="10"/>
      <c r="K202" s="11"/>
      <c r="L202" s="11"/>
      <c r="M202" s="10"/>
      <c r="N202" s="10"/>
      <c r="O202" s="10"/>
      <c r="P202" s="10"/>
      <c r="Q202" s="10"/>
    </row>
    <row r="203" spans="1:17" ht="21.75" customHeight="1" x14ac:dyDescent="0.15">
      <c r="A203" s="6"/>
      <c r="B203" s="6"/>
      <c r="C203" s="6"/>
      <c r="D203" s="6"/>
      <c r="E203" s="6"/>
      <c r="F203" s="6"/>
      <c r="G203" s="6"/>
      <c r="H203" s="6"/>
      <c r="I203" s="6"/>
      <c r="J203" s="6"/>
      <c r="K203" s="7"/>
      <c r="L203" s="7"/>
      <c r="M203" s="6"/>
      <c r="N203" s="6"/>
      <c r="O203" s="6"/>
      <c r="P203" s="6"/>
      <c r="Q203" s="6"/>
    </row>
  </sheetData>
  <mergeCells count="2">
    <mergeCell ref="A1:O1"/>
    <mergeCell ref="A2:O2"/>
  </mergeCells>
  <conditionalFormatting sqref="J4:J203">
    <cfRule type="containsText" dxfId="6" priority="4" operator="containsText" text="YES">
      <formula>NOT(ISERROR(SEARCH("YES",J4)))</formula>
    </cfRule>
  </conditionalFormatting>
  <conditionalFormatting sqref="N4:N203">
    <cfRule type="containsText" dxfId="5" priority="2" operator="containsText" text="Open">
      <formula>NOT(ISERROR(SEARCH("Open",N4)))</formula>
    </cfRule>
    <cfRule type="containsText" dxfId="4" priority="3" operator="containsText" text="Closed">
      <formula>NOT(ISERROR(SEARCH("Closed",N4)))</formula>
    </cfRule>
  </conditionalFormatting>
  <dataValidations count="1">
    <dataValidation type="list" sqref="N4:N203" xr:uid="{00000000-0002-0000-0A00-000000000000}">
      <formula1>"Open,In Progress,Closed,Escalated"</formula1>
      <formula2>0</formula2>
    </dataValidation>
  </dataValidation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4A100"/>
  </sheetPr>
  <dimension ref="A1:J303"/>
  <sheetViews>
    <sheetView showGridLines="0" zoomScaleNormal="100" workbookViewId="0"/>
  </sheetViews>
  <sheetFormatPr baseColWidth="10" defaultColWidth="8.6640625" defaultRowHeight="15" customHeight="1" x14ac:dyDescent="0.2"/>
  <cols>
    <col min="1" max="1" width="10" style="1" customWidth="1"/>
    <col min="2" max="2" width="30" style="1" customWidth="1"/>
    <col min="3" max="3" width="11" style="1" customWidth="1"/>
    <col min="4" max="4" width="16" style="1" customWidth="1"/>
    <col min="5" max="5" width="22" style="1" customWidth="1"/>
    <col min="6" max="7" width="14" style="1" customWidth="1"/>
    <col min="8" max="8" width="18" style="1" customWidth="1"/>
    <col min="9" max="9" width="36" style="1" customWidth="1"/>
    <col min="10" max="10" width="12" style="1" customWidth="1"/>
  </cols>
  <sheetData>
    <row r="1" spans="1:10" ht="36" customHeight="1" x14ac:dyDescent="0.2">
      <c r="A1" s="121" t="s">
        <v>2370</v>
      </c>
      <c r="B1" s="122"/>
      <c r="C1" s="122"/>
      <c r="D1" s="122"/>
      <c r="E1" s="122"/>
      <c r="F1" s="122"/>
      <c r="G1" s="122"/>
      <c r="H1" s="122"/>
      <c r="I1" s="122"/>
      <c r="J1" s="122"/>
    </row>
    <row r="2" spans="1:10" ht="30" customHeight="1" x14ac:dyDescent="0.2">
      <c r="A2" s="140" t="s">
        <v>2371</v>
      </c>
      <c r="B2" s="122"/>
      <c r="C2" s="122"/>
      <c r="D2" s="122"/>
      <c r="E2" s="122"/>
      <c r="F2" s="122"/>
      <c r="G2" s="122"/>
      <c r="H2" s="122"/>
      <c r="I2" s="122"/>
      <c r="J2" s="122"/>
    </row>
    <row r="3" spans="1:10" ht="36" customHeight="1" x14ac:dyDescent="0.15">
      <c r="A3" s="5" t="s">
        <v>44</v>
      </c>
      <c r="B3" s="5" t="s">
        <v>290</v>
      </c>
      <c r="C3" s="5" t="s">
        <v>2372</v>
      </c>
      <c r="D3" s="5" t="s">
        <v>48</v>
      </c>
      <c r="E3" s="5" t="s">
        <v>2373</v>
      </c>
      <c r="F3" s="5" t="s">
        <v>2374</v>
      </c>
      <c r="G3" s="5" t="s">
        <v>2375</v>
      </c>
      <c r="H3" s="5" t="s">
        <v>2376</v>
      </c>
      <c r="I3" s="5" t="s">
        <v>2377</v>
      </c>
      <c r="J3" s="5" t="s">
        <v>27</v>
      </c>
    </row>
    <row r="4" spans="1:10" ht="19.5" customHeight="1" x14ac:dyDescent="0.15">
      <c r="A4" s="10" t="str">
        <f>IFERROR(IF(LARGE('Monthly Matrix'!$AI$4:$AN$76,1)&lt;0,"",INDEX('Monthly Matrix'!$A$4:$A$76,MATCH(LARGE('Monthly Matrix'!$AI$4:$AN$76,1),'Monthly Matrix'!$AI$4:$AN$76,0))),"")</f>
        <v/>
      </c>
      <c r="B4" s="10" t="str">
        <f>IFERROR(IF(LARGE('Monthly Matrix'!$AI$4:$AN$76,1)&lt;0,"",INDEX('Monthly Matrix'!$B$4:$B$76,MATCH(LARGE('Monthly Matrix'!$AI$4:$AN$76,1),'Monthly Matrix'!$AI$4:$AN$76,0))),"")</f>
        <v/>
      </c>
      <c r="C4" s="10" t="str">
        <f>IFERROR(IF(LARGE('Monthly Matrix'!$AI$4:$AN$76,1)&lt;0,"",INDEX('Monthly Matrix'!$V$4:$AA$76,MATCH(LARGE('Monthly Matrix'!$AI$4:$AN$76,1),'Monthly Matrix'!$AI$4:$AN$76,0))),"")</f>
        <v/>
      </c>
      <c r="D4" s="10" t="str">
        <f>IFERROR(IF(LARGE('Monthly Matrix'!$AI$4:$AN$76,1)&lt;0,"",INDEX('Monthly Matrix'!$G$4:$G$76,MATCH(LARGE('Monthly Matrix'!$AI$4:$AN$76,1),'Monthly Matrix'!$AI$4:$AN$76,0))),"")</f>
        <v/>
      </c>
      <c r="E4" s="10" t="e">
        <f>IF(LARGE('Monthly Matrix'!$AI$4:$AN$76,1)&lt;0,"",IF(INDEX('Monthly Matrix'!$V$4:$AA$76,MATCH(LARGE('Monthly Matrix'!$AI$4:$AN$76,1),'Monthly Matrix'!$AI$4:$AN$76,0))="HIGH","Site visit (3x per week)","Weekly check-in"))</f>
        <v>#N/A</v>
      </c>
      <c r="F4" s="10"/>
      <c r="G4" s="10"/>
      <c r="H4" s="10"/>
      <c r="I4" s="11"/>
      <c r="J4" s="10" t="str">
        <f>IF(LARGE('Monthly Matrix'!$AI$4:$AN$76,1)&lt;0,"","Scheduled")</f>
        <v>Scheduled</v>
      </c>
    </row>
    <row r="5" spans="1:10" ht="19.5" customHeight="1" x14ac:dyDescent="0.15">
      <c r="A5" s="6" t="str">
        <f>IFERROR(IF(LARGE('Monthly Matrix'!$AI$4:$AN$76,2)&lt;0,"",INDEX('Monthly Matrix'!$A$4:$A$76,MATCH(LARGE('Monthly Matrix'!$AI$4:$AN$76,2),'Monthly Matrix'!$AI$4:$AN$76,0))),"")</f>
        <v/>
      </c>
      <c r="B5" s="6" t="str">
        <f>IFERROR(IF(LARGE('Monthly Matrix'!$AI$4:$AN$76,2)&lt;0,"",INDEX('Monthly Matrix'!$B$4:$B$76,MATCH(LARGE('Monthly Matrix'!$AI$4:$AN$76,2),'Monthly Matrix'!$AI$4:$AN$76,0))),"")</f>
        <v/>
      </c>
      <c r="C5" s="6" t="str">
        <f>IFERROR(IF(LARGE('Monthly Matrix'!$AI$4:$AN$76,2)&lt;0,"",INDEX('Monthly Matrix'!$V$4:$AA$76,MATCH(LARGE('Monthly Matrix'!$AI$4:$AN$76,2),'Monthly Matrix'!$AI$4:$AN$76,0))),"")</f>
        <v/>
      </c>
      <c r="D5" s="6" t="str">
        <f>IFERROR(IF(LARGE('Monthly Matrix'!$AI$4:$AN$76,2)&lt;0,"",INDEX('Monthly Matrix'!$G$4:$G$76,MATCH(LARGE('Monthly Matrix'!$AI$4:$AN$76,2),'Monthly Matrix'!$AI$4:$AN$76,0))),"")</f>
        <v/>
      </c>
      <c r="E5" s="6" t="e">
        <f>IF(LARGE('Monthly Matrix'!$AI$4:$AN$76,2)&lt;0,"",IF(INDEX('Monthly Matrix'!$V$4:$AA$76,MATCH(LARGE('Monthly Matrix'!$AI$4:$AN$76,2),'Monthly Matrix'!$AI$4:$AN$76,0))="HIGH","Site visit (3x per week)","Weekly check-in"))</f>
        <v>#N/A</v>
      </c>
      <c r="F5" s="6"/>
      <c r="G5" s="6"/>
      <c r="H5" s="6"/>
      <c r="I5" s="7"/>
      <c r="J5" s="6" t="str">
        <f>IF(LARGE('Monthly Matrix'!$AI$4:$AN$76,2)&lt;0,"","Scheduled")</f>
        <v>Scheduled</v>
      </c>
    </row>
    <row r="6" spans="1:10" ht="19.5" customHeight="1" x14ac:dyDescent="0.15">
      <c r="A6" s="10" t="str">
        <f>IFERROR(IF(LARGE('Monthly Matrix'!$AI$4:$AN$76,3)&lt;0,"",INDEX('Monthly Matrix'!$A$4:$A$76,MATCH(LARGE('Monthly Matrix'!$AI$4:$AN$76,3),'Monthly Matrix'!$AI$4:$AN$76,0))),"")</f>
        <v/>
      </c>
      <c r="B6" s="10" t="str">
        <f>IFERROR(IF(LARGE('Monthly Matrix'!$AI$4:$AN$76,3)&lt;0,"",INDEX('Monthly Matrix'!$B$4:$B$76,MATCH(LARGE('Monthly Matrix'!$AI$4:$AN$76,3),'Monthly Matrix'!$AI$4:$AN$76,0))),"")</f>
        <v/>
      </c>
      <c r="C6" s="10" t="str">
        <f>IFERROR(IF(LARGE('Monthly Matrix'!$AI$4:$AN$76,3)&lt;0,"",INDEX('Monthly Matrix'!$V$4:$AA$76,MATCH(LARGE('Monthly Matrix'!$AI$4:$AN$76,3),'Monthly Matrix'!$AI$4:$AN$76,0))),"")</f>
        <v/>
      </c>
      <c r="D6" s="10" t="str">
        <f>IFERROR(IF(LARGE('Monthly Matrix'!$AI$4:$AN$76,3)&lt;0,"",INDEX('Monthly Matrix'!$G$4:$G$76,MATCH(LARGE('Monthly Matrix'!$AI$4:$AN$76,3),'Monthly Matrix'!$AI$4:$AN$76,0))),"")</f>
        <v/>
      </c>
      <c r="E6" s="10" t="e">
        <f>IF(LARGE('Monthly Matrix'!$AI$4:$AN$76,3)&lt;0,"",IF(INDEX('Monthly Matrix'!$V$4:$AA$76,MATCH(LARGE('Monthly Matrix'!$AI$4:$AN$76,3),'Monthly Matrix'!$AI$4:$AN$76,0))="HIGH","Site visit (3x per week)","Weekly check-in"))</f>
        <v>#N/A</v>
      </c>
      <c r="F6" s="10"/>
      <c r="G6" s="10"/>
      <c r="H6" s="10"/>
      <c r="I6" s="11"/>
      <c r="J6" s="10" t="str">
        <f>IF(LARGE('Monthly Matrix'!$AI$4:$AN$76,3)&lt;0,"","Scheduled")</f>
        <v>Scheduled</v>
      </c>
    </row>
    <row r="7" spans="1:10" ht="19.5" customHeight="1" x14ac:dyDescent="0.15">
      <c r="A7" s="6" t="str">
        <f>IFERROR(IF(LARGE('Monthly Matrix'!$AI$4:$AN$76,4)&lt;0,"",INDEX('Monthly Matrix'!$A$4:$A$76,MATCH(LARGE('Monthly Matrix'!$AI$4:$AN$76,4),'Monthly Matrix'!$AI$4:$AN$76,0))),"")</f>
        <v/>
      </c>
      <c r="B7" s="6" t="str">
        <f>IFERROR(IF(LARGE('Monthly Matrix'!$AI$4:$AN$76,4)&lt;0,"",INDEX('Monthly Matrix'!$B$4:$B$76,MATCH(LARGE('Monthly Matrix'!$AI$4:$AN$76,4),'Monthly Matrix'!$AI$4:$AN$76,0))),"")</f>
        <v/>
      </c>
      <c r="C7" s="6" t="str">
        <f>IFERROR(IF(LARGE('Monthly Matrix'!$AI$4:$AN$76,4)&lt;0,"",INDEX('Monthly Matrix'!$V$4:$AA$76,MATCH(LARGE('Monthly Matrix'!$AI$4:$AN$76,4),'Monthly Matrix'!$AI$4:$AN$76,0))),"")</f>
        <v/>
      </c>
      <c r="D7" s="6" t="str">
        <f>IFERROR(IF(LARGE('Monthly Matrix'!$AI$4:$AN$76,4)&lt;0,"",INDEX('Monthly Matrix'!$G$4:$G$76,MATCH(LARGE('Monthly Matrix'!$AI$4:$AN$76,4),'Monthly Matrix'!$AI$4:$AN$76,0))),"")</f>
        <v/>
      </c>
      <c r="E7" s="6" t="e">
        <f>IF(LARGE('Monthly Matrix'!$AI$4:$AN$76,4)&lt;0,"",IF(INDEX('Monthly Matrix'!$V$4:$AA$76,MATCH(LARGE('Monthly Matrix'!$AI$4:$AN$76,4),'Monthly Matrix'!$AI$4:$AN$76,0))="HIGH","Site visit (3x per week)","Weekly check-in"))</f>
        <v>#N/A</v>
      </c>
      <c r="F7" s="6"/>
      <c r="G7" s="6"/>
      <c r="H7" s="6"/>
      <c r="I7" s="7"/>
      <c r="J7" s="6" t="str">
        <f>IF(LARGE('Monthly Matrix'!$AI$4:$AN$76,4)&lt;0,"","Scheduled")</f>
        <v>Scheduled</v>
      </c>
    </row>
    <row r="8" spans="1:10" ht="19.5" customHeight="1" x14ac:dyDescent="0.15">
      <c r="A8" s="10" t="str">
        <f>IFERROR(IF(LARGE('Monthly Matrix'!$AI$4:$AN$76,5)&lt;0,"",INDEX('Monthly Matrix'!$A$4:$A$76,MATCH(LARGE('Monthly Matrix'!$AI$4:$AN$76,5),'Monthly Matrix'!$AI$4:$AN$76,0))),"")</f>
        <v/>
      </c>
      <c r="B8" s="10" t="str">
        <f>IFERROR(IF(LARGE('Monthly Matrix'!$AI$4:$AN$76,5)&lt;0,"",INDEX('Monthly Matrix'!$B$4:$B$76,MATCH(LARGE('Monthly Matrix'!$AI$4:$AN$76,5),'Monthly Matrix'!$AI$4:$AN$76,0))),"")</f>
        <v/>
      </c>
      <c r="C8" s="10" t="str">
        <f>IFERROR(IF(LARGE('Monthly Matrix'!$AI$4:$AN$76,5)&lt;0,"",INDEX('Monthly Matrix'!$V$4:$AA$76,MATCH(LARGE('Monthly Matrix'!$AI$4:$AN$76,5),'Monthly Matrix'!$AI$4:$AN$76,0))),"")</f>
        <v/>
      </c>
      <c r="D8" s="10" t="str">
        <f>IFERROR(IF(LARGE('Monthly Matrix'!$AI$4:$AN$76,5)&lt;0,"",INDEX('Monthly Matrix'!$G$4:$G$76,MATCH(LARGE('Monthly Matrix'!$AI$4:$AN$76,5),'Monthly Matrix'!$AI$4:$AN$76,0))),"")</f>
        <v/>
      </c>
      <c r="E8" s="10" t="e">
        <f>IF(LARGE('Monthly Matrix'!$AI$4:$AN$76,5)&lt;0,"",IF(INDEX('Monthly Matrix'!$V$4:$AA$76,MATCH(LARGE('Monthly Matrix'!$AI$4:$AN$76,5),'Monthly Matrix'!$AI$4:$AN$76,0))="HIGH","Site visit (3x per week)","Weekly check-in"))</f>
        <v>#N/A</v>
      </c>
      <c r="F8" s="10"/>
      <c r="G8" s="10"/>
      <c r="H8" s="10"/>
      <c r="I8" s="11"/>
      <c r="J8" s="10" t="str">
        <f>IF(LARGE('Monthly Matrix'!$AI$4:$AN$76,5)&lt;0,"","Scheduled")</f>
        <v>Scheduled</v>
      </c>
    </row>
    <row r="9" spans="1:10" ht="19.5" customHeight="1" x14ac:dyDescent="0.15">
      <c r="A9" s="6" t="str">
        <f>IFERROR(IF(LARGE('Monthly Matrix'!$AI$4:$AN$76,6)&lt;0,"",INDEX('Monthly Matrix'!$A$4:$A$76,MATCH(LARGE('Monthly Matrix'!$AI$4:$AN$76,6),'Monthly Matrix'!$AI$4:$AN$76,0))),"")</f>
        <v/>
      </c>
      <c r="B9" s="6" t="str">
        <f>IFERROR(IF(LARGE('Monthly Matrix'!$AI$4:$AN$76,6)&lt;0,"",INDEX('Monthly Matrix'!$B$4:$B$76,MATCH(LARGE('Monthly Matrix'!$AI$4:$AN$76,6),'Monthly Matrix'!$AI$4:$AN$76,0))),"")</f>
        <v/>
      </c>
      <c r="C9" s="6" t="str">
        <f>IFERROR(IF(LARGE('Monthly Matrix'!$AI$4:$AN$76,6)&lt;0,"",INDEX('Monthly Matrix'!$V$4:$AA$76,MATCH(LARGE('Monthly Matrix'!$AI$4:$AN$76,6),'Monthly Matrix'!$AI$4:$AN$76,0))),"")</f>
        <v/>
      </c>
      <c r="D9" s="6" t="str">
        <f>IFERROR(IF(LARGE('Monthly Matrix'!$AI$4:$AN$76,6)&lt;0,"",INDEX('Monthly Matrix'!$G$4:$G$76,MATCH(LARGE('Monthly Matrix'!$AI$4:$AN$76,6),'Monthly Matrix'!$AI$4:$AN$76,0))),"")</f>
        <v/>
      </c>
      <c r="E9" s="6" t="e">
        <f>IF(LARGE('Monthly Matrix'!$AI$4:$AN$76,6)&lt;0,"",IF(INDEX('Monthly Matrix'!$V$4:$AA$76,MATCH(LARGE('Monthly Matrix'!$AI$4:$AN$76,6),'Monthly Matrix'!$AI$4:$AN$76,0))="HIGH","Site visit (3x per week)","Weekly check-in"))</f>
        <v>#N/A</v>
      </c>
      <c r="F9" s="6"/>
      <c r="G9" s="6"/>
      <c r="H9" s="6"/>
      <c r="I9" s="7"/>
      <c r="J9" s="6" t="str">
        <f>IF(LARGE('Monthly Matrix'!$AI$4:$AN$76,6)&lt;0,"","Scheduled")</f>
        <v>Scheduled</v>
      </c>
    </row>
    <row r="10" spans="1:10" ht="19.5" customHeight="1" x14ac:dyDescent="0.15">
      <c r="A10" s="10" t="str">
        <f>IFERROR(IF(LARGE('Monthly Matrix'!$AI$4:$AN$76,7)&lt;0,"",INDEX('Monthly Matrix'!$A$4:$A$76,MATCH(LARGE('Monthly Matrix'!$AI$4:$AN$76,7),'Monthly Matrix'!$AI$4:$AN$76,0))),"")</f>
        <v/>
      </c>
      <c r="B10" s="10" t="str">
        <f>IFERROR(IF(LARGE('Monthly Matrix'!$AI$4:$AN$76,7)&lt;0,"",INDEX('Monthly Matrix'!$B$4:$B$76,MATCH(LARGE('Monthly Matrix'!$AI$4:$AN$76,7),'Monthly Matrix'!$AI$4:$AN$76,0))),"")</f>
        <v/>
      </c>
      <c r="C10" s="10" t="str">
        <f>IFERROR(IF(LARGE('Monthly Matrix'!$AI$4:$AN$76,7)&lt;0,"",INDEX('Monthly Matrix'!$V$4:$AA$76,MATCH(LARGE('Monthly Matrix'!$AI$4:$AN$76,7),'Monthly Matrix'!$AI$4:$AN$76,0))),"")</f>
        <v/>
      </c>
      <c r="D10" s="10" t="str">
        <f>IFERROR(IF(LARGE('Monthly Matrix'!$AI$4:$AN$76,7)&lt;0,"",INDEX('Monthly Matrix'!$G$4:$G$76,MATCH(LARGE('Monthly Matrix'!$AI$4:$AN$76,7),'Monthly Matrix'!$AI$4:$AN$76,0))),"")</f>
        <v/>
      </c>
      <c r="E10" s="10" t="e">
        <f>IF(LARGE('Monthly Matrix'!$AI$4:$AN$76,7)&lt;0,"",IF(INDEX('Monthly Matrix'!$V$4:$AA$76,MATCH(LARGE('Monthly Matrix'!$AI$4:$AN$76,7),'Monthly Matrix'!$AI$4:$AN$76,0))="HIGH","Site visit (3x per week)","Weekly check-in"))</f>
        <v>#N/A</v>
      </c>
      <c r="F10" s="10"/>
      <c r="G10" s="10"/>
      <c r="H10" s="10"/>
      <c r="I10" s="11"/>
      <c r="J10" s="10" t="str">
        <f>IF(LARGE('Monthly Matrix'!$AI$4:$AN$76,7)&lt;0,"","Scheduled")</f>
        <v>Scheduled</v>
      </c>
    </row>
    <row r="11" spans="1:10" ht="19.5" customHeight="1" x14ac:dyDescent="0.15">
      <c r="A11" s="6" t="str">
        <f>IFERROR(IF(LARGE('Monthly Matrix'!$AI$4:$AN$76,8)&lt;0,"",INDEX('Monthly Matrix'!$A$4:$A$76,MATCH(LARGE('Monthly Matrix'!$AI$4:$AN$76,8),'Monthly Matrix'!$AI$4:$AN$76,0))),"")</f>
        <v/>
      </c>
      <c r="B11" s="6" t="str">
        <f>IFERROR(IF(LARGE('Monthly Matrix'!$AI$4:$AN$76,8)&lt;0,"",INDEX('Monthly Matrix'!$B$4:$B$76,MATCH(LARGE('Monthly Matrix'!$AI$4:$AN$76,8),'Monthly Matrix'!$AI$4:$AN$76,0))),"")</f>
        <v/>
      </c>
      <c r="C11" s="6" t="str">
        <f>IFERROR(IF(LARGE('Monthly Matrix'!$AI$4:$AN$76,8)&lt;0,"",INDEX('Monthly Matrix'!$V$4:$AA$76,MATCH(LARGE('Monthly Matrix'!$AI$4:$AN$76,8),'Monthly Matrix'!$AI$4:$AN$76,0))),"")</f>
        <v/>
      </c>
      <c r="D11" s="6" t="str">
        <f>IFERROR(IF(LARGE('Monthly Matrix'!$AI$4:$AN$76,8)&lt;0,"",INDEX('Monthly Matrix'!$G$4:$G$76,MATCH(LARGE('Monthly Matrix'!$AI$4:$AN$76,8),'Monthly Matrix'!$AI$4:$AN$76,0))),"")</f>
        <v/>
      </c>
      <c r="E11" s="6" t="e">
        <f>IF(LARGE('Monthly Matrix'!$AI$4:$AN$76,8)&lt;0,"",IF(INDEX('Monthly Matrix'!$V$4:$AA$76,MATCH(LARGE('Monthly Matrix'!$AI$4:$AN$76,8),'Monthly Matrix'!$AI$4:$AN$76,0))="HIGH","Site visit (3x per week)","Weekly check-in"))</f>
        <v>#N/A</v>
      </c>
      <c r="F11" s="6"/>
      <c r="G11" s="6"/>
      <c r="H11" s="6"/>
      <c r="I11" s="7"/>
      <c r="J11" s="6" t="str">
        <f>IF(LARGE('Monthly Matrix'!$AI$4:$AN$76,8)&lt;0,"","Scheduled")</f>
        <v>Scheduled</v>
      </c>
    </row>
    <row r="12" spans="1:10" ht="19.5" customHeight="1" x14ac:dyDescent="0.15">
      <c r="A12" s="10" t="str">
        <f>IFERROR(IF(LARGE('Monthly Matrix'!$AI$4:$AN$76,9)&lt;0,"",INDEX('Monthly Matrix'!$A$4:$A$76,MATCH(LARGE('Monthly Matrix'!$AI$4:$AN$76,9),'Monthly Matrix'!$AI$4:$AN$76,0))),"")</f>
        <v/>
      </c>
      <c r="B12" s="10" t="str">
        <f>IFERROR(IF(LARGE('Monthly Matrix'!$AI$4:$AN$76,9)&lt;0,"",INDEX('Monthly Matrix'!$B$4:$B$76,MATCH(LARGE('Monthly Matrix'!$AI$4:$AN$76,9),'Monthly Matrix'!$AI$4:$AN$76,0))),"")</f>
        <v/>
      </c>
      <c r="C12" s="10" t="str">
        <f>IFERROR(IF(LARGE('Monthly Matrix'!$AI$4:$AN$76,9)&lt;0,"",INDEX('Monthly Matrix'!$V$4:$AA$76,MATCH(LARGE('Monthly Matrix'!$AI$4:$AN$76,9),'Monthly Matrix'!$AI$4:$AN$76,0))),"")</f>
        <v/>
      </c>
      <c r="D12" s="10" t="str">
        <f>IFERROR(IF(LARGE('Monthly Matrix'!$AI$4:$AN$76,9)&lt;0,"",INDEX('Monthly Matrix'!$G$4:$G$76,MATCH(LARGE('Monthly Matrix'!$AI$4:$AN$76,9),'Monthly Matrix'!$AI$4:$AN$76,0))),"")</f>
        <v/>
      </c>
      <c r="E12" s="10" t="e">
        <f>IF(LARGE('Monthly Matrix'!$AI$4:$AN$76,9)&lt;0,"",IF(INDEX('Monthly Matrix'!$V$4:$AA$76,MATCH(LARGE('Monthly Matrix'!$AI$4:$AN$76,9),'Monthly Matrix'!$AI$4:$AN$76,0))="HIGH","Site visit (3x per week)","Weekly check-in"))</f>
        <v>#N/A</v>
      </c>
      <c r="F12" s="10"/>
      <c r="G12" s="10"/>
      <c r="H12" s="10"/>
      <c r="I12" s="11"/>
      <c r="J12" s="10" t="str">
        <f>IF(LARGE('Monthly Matrix'!$AI$4:$AN$76,9)&lt;0,"","Scheduled")</f>
        <v>Scheduled</v>
      </c>
    </row>
    <row r="13" spans="1:10" ht="19.5" customHeight="1" x14ac:dyDescent="0.15">
      <c r="A13" s="6" t="str">
        <f>IFERROR(IF(LARGE('Monthly Matrix'!$AI$4:$AN$76,10)&lt;0,"",INDEX('Monthly Matrix'!$A$4:$A$76,MATCH(LARGE('Monthly Matrix'!$AI$4:$AN$76,10),'Monthly Matrix'!$AI$4:$AN$76,0))),"")</f>
        <v/>
      </c>
      <c r="B13" s="6" t="str">
        <f>IFERROR(IF(LARGE('Monthly Matrix'!$AI$4:$AN$76,10)&lt;0,"",INDEX('Monthly Matrix'!$B$4:$B$76,MATCH(LARGE('Monthly Matrix'!$AI$4:$AN$76,10),'Monthly Matrix'!$AI$4:$AN$76,0))),"")</f>
        <v/>
      </c>
      <c r="C13" s="6" t="str">
        <f>IFERROR(IF(LARGE('Monthly Matrix'!$AI$4:$AN$76,10)&lt;0,"",INDEX('Monthly Matrix'!$V$4:$AA$76,MATCH(LARGE('Monthly Matrix'!$AI$4:$AN$76,10),'Monthly Matrix'!$AI$4:$AN$76,0))),"")</f>
        <v/>
      </c>
      <c r="D13" s="6" t="str">
        <f>IFERROR(IF(LARGE('Monthly Matrix'!$AI$4:$AN$76,10)&lt;0,"",INDEX('Monthly Matrix'!$G$4:$G$76,MATCH(LARGE('Monthly Matrix'!$AI$4:$AN$76,10),'Monthly Matrix'!$AI$4:$AN$76,0))),"")</f>
        <v/>
      </c>
      <c r="E13" s="6" t="e">
        <f>IF(LARGE('Monthly Matrix'!$AI$4:$AN$76,10)&lt;0,"",IF(INDEX('Monthly Matrix'!$V$4:$AA$76,MATCH(LARGE('Monthly Matrix'!$AI$4:$AN$76,10),'Monthly Matrix'!$AI$4:$AN$76,0))="HIGH","Site visit (3x per week)","Weekly check-in"))</f>
        <v>#N/A</v>
      </c>
      <c r="F13" s="6"/>
      <c r="G13" s="6"/>
      <c r="H13" s="6"/>
      <c r="I13" s="7"/>
      <c r="J13" s="6" t="str">
        <f>IF(LARGE('Monthly Matrix'!$AI$4:$AN$76,10)&lt;0,"","Scheduled")</f>
        <v>Scheduled</v>
      </c>
    </row>
    <row r="14" spans="1:10" ht="19.5" customHeight="1" x14ac:dyDescent="0.15">
      <c r="A14" s="10" t="str">
        <f>IFERROR(IF(LARGE('Monthly Matrix'!$AI$4:$AN$76,11)&lt;0,"",INDEX('Monthly Matrix'!$A$4:$A$76,MATCH(LARGE('Monthly Matrix'!$AI$4:$AN$76,11),'Monthly Matrix'!$AI$4:$AN$76,0))),"")</f>
        <v/>
      </c>
      <c r="B14" s="10" t="str">
        <f>IFERROR(IF(LARGE('Monthly Matrix'!$AI$4:$AN$76,11)&lt;0,"",INDEX('Monthly Matrix'!$B$4:$B$76,MATCH(LARGE('Monthly Matrix'!$AI$4:$AN$76,11),'Monthly Matrix'!$AI$4:$AN$76,0))),"")</f>
        <v/>
      </c>
      <c r="C14" s="10" t="str">
        <f>IFERROR(IF(LARGE('Monthly Matrix'!$AI$4:$AN$76,11)&lt;0,"",INDEX('Monthly Matrix'!$V$4:$AA$76,MATCH(LARGE('Monthly Matrix'!$AI$4:$AN$76,11),'Monthly Matrix'!$AI$4:$AN$76,0))),"")</f>
        <v/>
      </c>
      <c r="D14" s="10" t="str">
        <f>IFERROR(IF(LARGE('Monthly Matrix'!$AI$4:$AN$76,11)&lt;0,"",INDEX('Monthly Matrix'!$G$4:$G$76,MATCH(LARGE('Monthly Matrix'!$AI$4:$AN$76,11),'Monthly Matrix'!$AI$4:$AN$76,0))),"")</f>
        <v/>
      </c>
      <c r="E14" s="10" t="e">
        <f>IF(LARGE('Monthly Matrix'!$AI$4:$AN$76,11)&lt;0,"",IF(INDEX('Monthly Matrix'!$V$4:$AA$76,MATCH(LARGE('Monthly Matrix'!$AI$4:$AN$76,11),'Monthly Matrix'!$AI$4:$AN$76,0))="HIGH","Site visit (3x per week)","Weekly check-in"))</f>
        <v>#N/A</v>
      </c>
      <c r="F14" s="10"/>
      <c r="G14" s="10"/>
      <c r="H14" s="10"/>
      <c r="I14" s="11"/>
      <c r="J14" s="10" t="str">
        <f>IF(LARGE('Monthly Matrix'!$AI$4:$AN$76,11)&lt;0,"","Scheduled")</f>
        <v>Scheduled</v>
      </c>
    </row>
    <row r="15" spans="1:10" ht="19.5" customHeight="1" x14ac:dyDescent="0.15">
      <c r="A15" s="6" t="str">
        <f>IFERROR(IF(LARGE('Monthly Matrix'!$AI$4:$AN$76,12)&lt;0,"",INDEX('Monthly Matrix'!$A$4:$A$76,MATCH(LARGE('Monthly Matrix'!$AI$4:$AN$76,12),'Monthly Matrix'!$AI$4:$AN$76,0))),"")</f>
        <v/>
      </c>
      <c r="B15" s="6" t="str">
        <f>IFERROR(IF(LARGE('Monthly Matrix'!$AI$4:$AN$76,12)&lt;0,"",INDEX('Monthly Matrix'!$B$4:$B$76,MATCH(LARGE('Monthly Matrix'!$AI$4:$AN$76,12),'Monthly Matrix'!$AI$4:$AN$76,0))),"")</f>
        <v/>
      </c>
      <c r="C15" s="6" t="str">
        <f>IFERROR(IF(LARGE('Monthly Matrix'!$AI$4:$AN$76,12)&lt;0,"",INDEX('Monthly Matrix'!$V$4:$AA$76,MATCH(LARGE('Monthly Matrix'!$AI$4:$AN$76,12),'Monthly Matrix'!$AI$4:$AN$76,0))),"")</f>
        <v/>
      </c>
      <c r="D15" s="6" t="str">
        <f>IFERROR(IF(LARGE('Monthly Matrix'!$AI$4:$AN$76,12)&lt;0,"",INDEX('Monthly Matrix'!$G$4:$G$76,MATCH(LARGE('Monthly Matrix'!$AI$4:$AN$76,12),'Monthly Matrix'!$AI$4:$AN$76,0))),"")</f>
        <v/>
      </c>
      <c r="E15" s="6" t="e">
        <f>IF(LARGE('Monthly Matrix'!$AI$4:$AN$76,12)&lt;0,"",IF(INDEX('Monthly Matrix'!$V$4:$AA$76,MATCH(LARGE('Monthly Matrix'!$AI$4:$AN$76,12),'Monthly Matrix'!$AI$4:$AN$76,0))="HIGH","Site visit (3x per week)","Weekly check-in"))</f>
        <v>#N/A</v>
      </c>
      <c r="F15" s="6"/>
      <c r="G15" s="6"/>
      <c r="H15" s="6"/>
      <c r="I15" s="7"/>
      <c r="J15" s="6" t="str">
        <f>IF(LARGE('Monthly Matrix'!$AI$4:$AN$76,12)&lt;0,"","Scheduled")</f>
        <v>Scheduled</v>
      </c>
    </row>
    <row r="16" spans="1:10" ht="19.5" customHeight="1" x14ac:dyDescent="0.15">
      <c r="A16" s="10" t="str">
        <f>IFERROR(IF(LARGE('Monthly Matrix'!$AI$4:$AN$76,13)&lt;0,"",INDEX('Monthly Matrix'!$A$4:$A$76,MATCH(LARGE('Monthly Matrix'!$AI$4:$AN$76,13),'Monthly Matrix'!$AI$4:$AN$76,0))),"")</f>
        <v/>
      </c>
      <c r="B16" s="10" t="str">
        <f>IFERROR(IF(LARGE('Monthly Matrix'!$AI$4:$AN$76,13)&lt;0,"",INDEX('Monthly Matrix'!$B$4:$B$76,MATCH(LARGE('Monthly Matrix'!$AI$4:$AN$76,13),'Monthly Matrix'!$AI$4:$AN$76,0))),"")</f>
        <v/>
      </c>
      <c r="C16" s="10" t="str">
        <f>IFERROR(IF(LARGE('Monthly Matrix'!$AI$4:$AN$76,13)&lt;0,"",INDEX('Monthly Matrix'!$V$4:$AA$76,MATCH(LARGE('Monthly Matrix'!$AI$4:$AN$76,13),'Monthly Matrix'!$AI$4:$AN$76,0))),"")</f>
        <v/>
      </c>
      <c r="D16" s="10" t="str">
        <f>IFERROR(IF(LARGE('Monthly Matrix'!$AI$4:$AN$76,13)&lt;0,"",INDEX('Monthly Matrix'!$G$4:$G$76,MATCH(LARGE('Monthly Matrix'!$AI$4:$AN$76,13),'Monthly Matrix'!$AI$4:$AN$76,0))),"")</f>
        <v/>
      </c>
      <c r="E16" s="10" t="e">
        <f>IF(LARGE('Monthly Matrix'!$AI$4:$AN$76,13)&lt;0,"",IF(INDEX('Monthly Matrix'!$V$4:$AA$76,MATCH(LARGE('Monthly Matrix'!$AI$4:$AN$76,13),'Monthly Matrix'!$AI$4:$AN$76,0))="HIGH","Site visit (3x per week)","Weekly check-in"))</f>
        <v>#N/A</v>
      </c>
      <c r="F16" s="10"/>
      <c r="G16" s="10"/>
      <c r="H16" s="10"/>
      <c r="I16" s="11"/>
      <c r="J16" s="10" t="str">
        <f>IF(LARGE('Monthly Matrix'!$AI$4:$AN$76,13)&lt;0,"","Scheduled")</f>
        <v>Scheduled</v>
      </c>
    </row>
    <row r="17" spans="1:10" ht="19.5" customHeight="1" x14ac:dyDescent="0.15">
      <c r="A17" s="6" t="str">
        <f>IFERROR(IF(LARGE('Monthly Matrix'!$AI$4:$AN$76,14)&lt;0,"",INDEX('Monthly Matrix'!$A$4:$A$76,MATCH(LARGE('Monthly Matrix'!$AI$4:$AN$76,14),'Monthly Matrix'!$AI$4:$AN$76,0))),"")</f>
        <v/>
      </c>
      <c r="B17" s="6" t="str">
        <f>IFERROR(IF(LARGE('Monthly Matrix'!$AI$4:$AN$76,14)&lt;0,"",INDEX('Monthly Matrix'!$B$4:$B$76,MATCH(LARGE('Monthly Matrix'!$AI$4:$AN$76,14),'Monthly Matrix'!$AI$4:$AN$76,0))),"")</f>
        <v/>
      </c>
      <c r="C17" s="6" t="str">
        <f>IFERROR(IF(LARGE('Monthly Matrix'!$AI$4:$AN$76,14)&lt;0,"",INDEX('Monthly Matrix'!$V$4:$AA$76,MATCH(LARGE('Monthly Matrix'!$AI$4:$AN$76,14),'Monthly Matrix'!$AI$4:$AN$76,0))),"")</f>
        <v/>
      </c>
      <c r="D17" s="6" t="str">
        <f>IFERROR(IF(LARGE('Monthly Matrix'!$AI$4:$AN$76,14)&lt;0,"",INDEX('Monthly Matrix'!$G$4:$G$76,MATCH(LARGE('Monthly Matrix'!$AI$4:$AN$76,14),'Monthly Matrix'!$AI$4:$AN$76,0))),"")</f>
        <v/>
      </c>
      <c r="E17" s="6" t="e">
        <f>IF(LARGE('Monthly Matrix'!$AI$4:$AN$76,14)&lt;0,"",IF(INDEX('Monthly Matrix'!$V$4:$AA$76,MATCH(LARGE('Monthly Matrix'!$AI$4:$AN$76,14),'Monthly Matrix'!$AI$4:$AN$76,0))="HIGH","Site visit (3x per week)","Weekly check-in"))</f>
        <v>#N/A</v>
      </c>
      <c r="F17" s="6"/>
      <c r="G17" s="6"/>
      <c r="H17" s="6"/>
      <c r="I17" s="7"/>
      <c r="J17" s="6" t="str">
        <f>IF(LARGE('Monthly Matrix'!$AI$4:$AN$76,14)&lt;0,"","Scheduled")</f>
        <v>Scheduled</v>
      </c>
    </row>
    <row r="18" spans="1:10" ht="19.5" customHeight="1" x14ac:dyDescent="0.15">
      <c r="A18" s="10" t="str">
        <f>IFERROR(IF(LARGE('Monthly Matrix'!$AI$4:$AN$76,15)&lt;0,"",INDEX('Monthly Matrix'!$A$4:$A$76,MATCH(LARGE('Monthly Matrix'!$AI$4:$AN$76,15),'Monthly Matrix'!$AI$4:$AN$76,0))),"")</f>
        <v/>
      </c>
      <c r="B18" s="10" t="str">
        <f>IFERROR(IF(LARGE('Monthly Matrix'!$AI$4:$AN$76,15)&lt;0,"",INDEX('Monthly Matrix'!$B$4:$B$76,MATCH(LARGE('Monthly Matrix'!$AI$4:$AN$76,15),'Monthly Matrix'!$AI$4:$AN$76,0))),"")</f>
        <v/>
      </c>
      <c r="C18" s="10" t="str">
        <f>IFERROR(IF(LARGE('Monthly Matrix'!$AI$4:$AN$76,15)&lt;0,"",INDEX('Monthly Matrix'!$V$4:$AA$76,MATCH(LARGE('Monthly Matrix'!$AI$4:$AN$76,15),'Monthly Matrix'!$AI$4:$AN$76,0))),"")</f>
        <v/>
      </c>
      <c r="D18" s="10" t="str">
        <f>IFERROR(IF(LARGE('Monthly Matrix'!$AI$4:$AN$76,15)&lt;0,"",INDEX('Monthly Matrix'!$G$4:$G$76,MATCH(LARGE('Monthly Matrix'!$AI$4:$AN$76,15),'Monthly Matrix'!$AI$4:$AN$76,0))),"")</f>
        <v/>
      </c>
      <c r="E18" s="10" t="e">
        <f>IF(LARGE('Monthly Matrix'!$AI$4:$AN$76,15)&lt;0,"",IF(INDEX('Monthly Matrix'!$V$4:$AA$76,MATCH(LARGE('Monthly Matrix'!$AI$4:$AN$76,15),'Monthly Matrix'!$AI$4:$AN$76,0))="HIGH","Site visit (3x per week)","Weekly check-in"))</f>
        <v>#N/A</v>
      </c>
      <c r="F18" s="10"/>
      <c r="G18" s="10"/>
      <c r="H18" s="10"/>
      <c r="I18" s="11"/>
      <c r="J18" s="10" t="str">
        <f>IF(LARGE('Monthly Matrix'!$AI$4:$AN$76,15)&lt;0,"","Scheduled")</f>
        <v>Scheduled</v>
      </c>
    </row>
    <row r="19" spans="1:10" ht="19.5" customHeight="1" x14ac:dyDescent="0.15">
      <c r="A19" s="6" t="str">
        <f>IFERROR(IF(LARGE('Monthly Matrix'!$AI$4:$AN$76,16)&lt;0,"",INDEX('Monthly Matrix'!$A$4:$A$76,MATCH(LARGE('Monthly Matrix'!$AI$4:$AN$76,16),'Monthly Matrix'!$AI$4:$AN$76,0))),"")</f>
        <v/>
      </c>
      <c r="B19" s="6" t="str">
        <f>IFERROR(IF(LARGE('Monthly Matrix'!$AI$4:$AN$76,16)&lt;0,"",INDEX('Monthly Matrix'!$B$4:$B$76,MATCH(LARGE('Monthly Matrix'!$AI$4:$AN$76,16),'Monthly Matrix'!$AI$4:$AN$76,0))),"")</f>
        <v/>
      </c>
      <c r="C19" s="6" t="str">
        <f>IFERROR(IF(LARGE('Monthly Matrix'!$AI$4:$AN$76,16)&lt;0,"",INDEX('Monthly Matrix'!$V$4:$AA$76,MATCH(LARGE('Monthly Matrix'!$AI$4:$AN$76,16),'Monthly Matrix'!$AI$4:$AN$76,0))),"")</f>
        <v/>
      </c>
      <c r="D19" s="6" t="str">
        <f>IFERROR(IF(LARGE('Monthly Matrix'!$AI$4:$AN$76,16)&lt;0,"",INDEX('Monthly Matrix'!$G$4:$G$76,MATCH(LARGE('Monthly Matrix'!$AI$4:$AN$76,16),'Monthly Matrix'!$AI$4:$AN$76,0))),"")</f>
        <v/>
      </c>
      <c r="E19" s="6" t="e">
        <f>IF(LARGE('Monthly Matrix'!$AI$4:$AN$76,16)&lt;0,"",IF(INDEX('Monthly Matrix'!$V$4:$AA$76,MATCH(LARGE('Monthly Matrix'!$AI$4:$AN$76,16),'Monthly Matrix'!$AI$4:$AN$76,0))="HIGH","Site visit (3x per week)","Weekly check-in"))</f>
        <v>#N/A</v>
      </c>
      <c r="F19" s="6"/>
      <c r="G19" s="6"/>
      <c r="H19" s="6"/>
      <c r="I19" s="7"/>
      <c r="J19" s="6" t="str">
        <f>IF(LARGE('Monthly Matrix'!$AI$4:$AN$76,16)&lt;0,"","Scheduled")</f>
        <v>Scheduled</v>
      </c>
    </row>
    <row r="20" spans="1:10" ht="19.5" customHeight="1" x14ac:dyDescent="0.15">
      <c r="A20" s="10" t="str">
        <f>IFERROR(IF(LARGE('Monthly Matrix'!$AI$4:$AN$76,17)&lt;0,"",INDEX('Monthly Matrix'!$A$4:$A$76,MATCH(LARGE('Monthly Matrix'!$AI$4:$AN$76,17),'Monthly Matrix'!$AI$4:$AN$76,0))),"")</f>
        <v/>
      </c>
      <c r="B20" s="10" t="str">
        <f>IFERROR(IF(LARGE('Monthly Matrix'!$AI$4:$AN$76,17)&lt;0,"",INDEX('Monthly Matrix'!$B$4:$B$76,MATCH(LARGE('Monthly Matrix'!$AI$4:$AN$76,17),'Monthly Matrix'!$AI$4:$AN$76,0))),"")</f>
        <v/>
      </c>
      <c r="C20" s="10" t="str">
        <f>IFERROR(IF(LARGE('Monthly Matrix'!$AI$4:$AN$76,17)&lt;0,"",INDEX('Monthly Matrix'!$V$4:$AA$76,MATCH(LARGE('Monthly Matrix'!$AI$4:$AN$76,17),'Monthly Matrix'!$AI$4:$AN$76,0))),"")</f>
        <v/>
      </c>
      <c r="D20" s="10" t="str">
        <f>IFERROR(IF(LARGE('Monthly Matrix'!$AI$4:$AN$76,17)&lt;0,"",INDEX('Monthly Matrix'!$G$4:$G$76,MATCH(LARGE('Monthly Matrix'!$AI$4:$AN$76,17),'Monthly Matrix'!$AI$4:$AN$76,0))),"")</f>
        <v/>
      </c>
      <c r="E20" s="10" t="e">
        <f>IF(LARGE('Monthly Matrix'!$AI$4:$AN$76,17)&lt;0,"",IF(INDEX('Monthly Matrix'!$V$4:$AA$76,MATCH(LARGE('Monthly Matrix'!$AI$4:$AN$76,17),'Monthly Matrix'!$AI$4:$AN$76,0))="HIGH","Site visit (3x per week)","Weekly check-in"))</f>
        <v>#N/A</v>
      </c>
      <c r="F20" s="10"/>
      <c r="G20" s="10"/>
      <c r="H20" s="10"/>
      <c r="I20" s="11"/>
      <c r="J20" s="10" t="str">
        <f>IF(LARGE('Monthly Matrix'!$AI$4:$AN$76,17)&lt;0,"","Scheduled")</f>
        <v>Scheduled</v>
      </c>
    </row>
    <row r="21" spans="1:10" ht="19.5" customHeight="1" x14ac:dyDescent="0.15">
      <c r="A21" s="6" t="str">
        <f>IFERROR(IF(LARGE('Monthly Matrix'!$AI$4:$AN$76,18)&lt;0,"",INDEX('Monthly Matrix'!$A$4:$A$76,MATCH(LARGE('Monthly Matrix'!$AI$4:$AN$76,18),'Monthly Matrix'!$AI$4:$AN$76,0))),"")</f>
        <v/>
      </c>
      <c r="B21" s="6" t="str">
        <f>IFERROR(IF(LARGE('Monthly Matrix'!$AI$4:$AN$76,18)&lt;0,"",INDEX('Monthly Matrix'!$B$4:$B$76,MATCH(LARGE('Monthly Matrix'!$AI$4:$AN$76,18),'Monthly Matrix'!$AI$4:$AN$76,0))),"")</f>
        <v/>
      </c>
      <c r="C21" s="6" t="str">
        <f>IFERROR(IF(LARGE('Monthly Matrix'!$AI$4:$AN$76,18)&lt;0,"",INDEX('Monthly Matrix'!$V$4:$AA$76,MATCH(LARGE('Monthly Matrix'!$AI$4:$AN$76,18),'Monthly Matrix'!$AI$4:$AN$76,0))),"")</f>
        <v/>
      </c>
      <c r="D21" s="6" t="str">
        <f>IFERROR(IF(LARGE('Monthly Matrix'!$AI$4:$AN$76,18)&lt;0,"",INDEX('Monthly Matrix'!$G$4:$G$76,MATCH(LARGE('Monthly Matrix'!$AI$4:$AN$76,18),'Monthly Matrix'!$AI$4:$AN$76,0))),"")</f>
        <v/>
      </c>
      <c r="E21" s="6" t="e">
        <f>IF(LARGE('Monthly Matrix'!$AI$4:$AN$76,18)&lt;0,"",IF(INDEX('Monthly Matrix'!$V$4:$AA$76,MATCH(LARGE('Monthly Matrix'!$AI$4:$AN$76,18),'Monthly Matrix'!$AI$4:$AN$76,0))="HIGH","Site visit (3x per week)","Weekly check-in"))</f>
        <v>#N/A</v>
      </c>
      <c r="F21" s="6"/>
      <c r="G21" s="6"/>
      <c r="H21" s="6"/>
      <c r="I21" s="7"/>
      <c r="J21" s="6" t="str">
        <f>IF(LARGE('Monthly Matrix'!$AI$4:$AN$76,18)&lt;0,"","Scheduled")</f>
        <v>Scheduled</v>
      </c>
    </row>
    <row r="22" spans="1:10" ht="19.5" customHeight="1" x14ac:dyDescent="0.15">
      <c r="A22" s="10" t="str">
        <f>IFERROR(IF(LARGE('Monthly Matrix'!$AI$4:$AN$76,19)&lt;0,"",INDEX('Monthly Matrix'!$A$4:$A$76,MATCH(LARGE('Monthly Matrix'!$AI$4:$AN$76,19),'Monthly Matrix'!$AI$4:$AN$76,0))),"")</f>
        <v/>
      </c>
      <c r="B22" s="10" t="str">
        <f>IFERROR(IF(LARGE('Monthly Matrix'!$AI$4:$AN$76,19)&lt;0,"",INDEX('Monthly Matrix'!$B$4:$B$76,MATCH(LARGE('Monthly Matrix'!$AI$4:$AN$76,19),'Monthly Matrix'!$AI$4:$AN$76,0))),"")</f>
        <v/>
      </c>
      <c r="C22" s="10" t="str">
        <f>IFERROR(IF(LARGE('Monthly Matrix'!$AI$4:$AN$76,19)&lt;0,"",INDEX('Monthly Matrix'!$V$4:$AA$76,MATCH(LARGE('Monthly Matrix'!$AI$4:$AN$76,19),'Monthly Matrix'!$AI$4:$AN$76,0))),"")</f>
        <v/>
      </c>
      <c r="D22" s="10" t="str">
        <f>IFERROR(IF(LARGE('Monthly Matrix'!$AI$4:$AN$76,19)&lt;0,"",INDEX('Monthly Matrix'!$G$4:$G$76,MATCH(LARGE('Monthly Matrix'!$AI$4:$AN$76,19),'Monthly Matrix'!$AI$4:$AN$76,0))),"")</f>
        <v/>
      </c>
      <c r="E22" s="10" t="e">
        <f>IF(LARGE('Monthly Matrix'!$AI$4:$AN$76,19)&lt;0,"",IF(INDEX('Monthly Matrix'!$V$4:$AA$76,MATCH(LARGE('Monthly Matrix'!$AI$4:$AN$76,19),'Monthly Matrix'!$AI$4:$AN$76,0))="HIGH","Site visit (3x per week)","Weekly check-in"))</f>
        <v>#N/A</v>
      </c>
      <c r="F22" s="10"/>
      <c r="G22" s="10"/>
      <c r="H22" s="10"/>
      <c r="I22" s="11"/>
      <c r="J22" s="10" t="str">
        <f>IF(LARGE('Monthly Matrix'!$AI$4:$AN$76,19)&lt;0,"","Scheduled")</f>
        <v>Scheduled</v>
      </c>
    </row>
    <row r="23" spans="1:10" ht="19.5" customHeight="1" x14ac:dyDescent="0.15">
      <c r="A23" s="6" t="str">
        <f>IFERROR(IF(LARGE('Monthly Matrix'!$AI$4:$AN$76,20)&lt;0,"",INDEX('Monthly Matrix'!$A$4:$A$76,MATCH(LARGE('Monthly Matrix'!$AI$4:$AN$76,20),'Monthly Matrix'!$AI$4:$AN$76,0))),"")</f>
        <v/>
      </c>
      <c r="B23" s="6" t="str">
        <f>IFERROR(IF(LARGE('Monthly Matrix'!$AI$4:$AN$76,20)&lt;0,"",INDEX('Monthly Matrix'!$B$4:$B$76,MATCH(LARGE('Monthly Matrix'!$AI$4:$AN$76,20),'Monthly Matrix'!$AI$4:$AN$76,0))),"")</f>
        <v/>
      </c>
      <c r="C23" s="6" t="str">
        <f>IFERROR(IF(LARGE('Monthly Matrix'!$AI$4:$AN$76,20)&lt;0,"",INDEX('Monthly Matrix'!$V$4:$AA$76,MATCH(LARGE('Monthly Matrix'!$AI$4:$AN$76,20),'Monthly Matrix'!$AI$4:$AN$76,0))),"")</f>
        <v/>
      </c>
      <c r="D23" s="6" t="str">
        <f>IFERROR(IF(LARGE('Monthly Matrix'!$AI$4:$AN$76,20)&lt;0,"",INDEX('Monthly Matrix'!$G$4:$G$76,MATCH(LARGE('Monthly Matrix'!$AI$4:$AN$76,20),'Monthly Matrix'!$AI$4:$AN$76,0))),"")</f>
        <v/>
      </c>
      <c r="E23" s="6" t="e">
        <f>IF(LARGE('Monthly Matrix'!$AI$4:$AN$76,20)&lt;0,"",IF(INDEX('Monthly Matrix'!$V$4:$AA$76,MATCH(LARGE('Monthly Matrix'!$AI$4:$AN$76,20),'Monthly Matrix'!$AI$4:$AN$76,0))="HIGH","Site visit (3x per week)","Weekly check-in"))</f>
        <v>#N/A</v>
      </c>
      <c r="F23" s="6"/>
      <c r="G23" s="6"/>
      <c r="H23" s="6"/>
      <c r="I23" s="7"/>
      <c r="J23" s="6" t="str">
        <f>IF(LARGE('Monthly Matrix'!$AI$4:$AN$76,20)&lt;0,"","Scheduled")</f>
        <v>Scheduled</v>
      </c>
    </row>
    <row r="24" spans="1:10" ht="19.5" customHeight="1" x14ac:dyDescent="0.15">
      <c r="A24" s="10" t="str">
        <f>IFERROR(IF(LARGE('Monthly Matrix'!$AI$4:$AN$76,21)&lt;0,"",INDEX('Monthly Matrix'!$A$4:$A$76,MATCH(LARGE('Monthly Matrix'!$AI$4:$AN$76,21),'Monthly Matrix'!$AI$4:$AN$76,0))),"")</f>
        <v/>
      </c>
      <c r="B24" s="10" t="str">
        <f>IFERROR(IF(LARGE('Monthly Matrix'!$AI$4:$AN$76,21)&lt;0,"",INDEX('Monthly Matrix'!$B$4:$B$76,MATCH(LARGE('Monthly Matrix'!$AI$4:$AN$76,21),'Monthly Matrix'!$AI$4:$AN$76,0))),"")</f>
        <v/>
      </c>
      <c r="C24" s="10" t="str">
        <f>IFERROR(IF(LARGE('Monthly Matrix'!$AI$4:$AN$76,21)&lt;0,"",INDEX('Monthly Matrix'!$V$4:$AA$76,MATCH(LARGE('Monthly Matrix'!$AI$4:$AN$76,21),'Monthly Matrix'!$AI$4:$AN$76,0))),"")</f>
        <v/>
      </c>
      <c r="D24" s="10" t="str">
        <f>IFERROR(IF(LARGE('Monthly Matrix'!$AI$4:$AN$76,21)&lt;0,"",INDEX('Monthly Matrix'!$G$4:$G$76,MATCH(LARGE('Monthly Matrix'!$AI$4:$AN$76,21),'Monthly Matrix'!$AI$4:$AN$76,0))),"")</f>
        <v/>
      </c>
      <c r="E24" s="10" t="e">
        <f>IF(LARGE('Monthly Matrix'!$AI$4:$AN$76,21)&lt;0,"",IF(INDEX('Monthly Matrix'!$V$4:$AA$76,MATCH(LARGE('Monthly Matrix'!$AI$4:$AN$76,21),'Monthly Matrix'!$AI$4:$AN$76,0))="HIGH","Site visit (3x per week)","Weekly check-in"))</f>
        <v>#N/A</v>
      </c>
      <c r="F24" s="10"/>
      <c r="G24" s="10"/>
      <c r="H24" s="10"/>
      <c r="I24" s="11"/>
      <c r="J24" s="10" t="str">
        <f>IF(LARGE('Monthly Matrix'!$AI$4:$AN$76,21)&lt;0,"","Scheduled")</f>
        <v>Scheduled</v>
      </c>
    </row>
    <row r="25" spans="1:10" ht="19.5" customHeight="1" x14ac:dyDescent="0.15">
      <c r="A25" s="6" t="str">
        <f>IFERROR(IF(LARGE('Monthly Matrix'!$AI$4:$AN$76,22)&lt;0,"",INDEX('Monthly Matrix'!$A$4:$A$76,MATCH(LARGE('Monthly Matrix'!$AI$4:$AN$76,22),'Monthly Matrix'!$AI$4:$AN$76,0))),"")</f>
        <v/>
      </c>
      <c r="B25" s="6" t="str">
        <f>IFERROR(IF(LARGE('Monthly Matrix'!$AI$4:$AN$76,22)&lt;0,"",INDEX('Monthly Matrix'!$B$4:$B$76,MATCH(LARGE('Monthly Matrix'!$AI$4:$AN$76,22),'Monthly Matrix'!$AI$4:$AN$76,0))),"")</f>
        <v/>
      </c>
      <c r="C25" s="6" t="str">
        <f>IFERROR(IF(LARGE('Monthly Matrix'!$AI$4:$AN$76,22)&lt;0,"",INDEX('Monthly Matrix'!$V$4:$AA$76,MATCH(LARGE('Monthly Matrix'!$AI$4:$AN$76,22),'Monthly Matrix'!$AI$4:$AN$76,0))),"")</f>
        <v/>
      </c>
      <c r="D25" s="6" t="str">
        <f>IFERROR(IF(LARGE('Monthly Matrix'!$AI$4:$AN$76,22)&lt;0,"",INDEX('Monthly Matrix'!$G$4:$G$76,MATCH(LARGE('Monthly Matrix'!$AI$4:$AN$76,22),'Monthly Matrix'!$AI$4:$AN$76,0))),"")</f>
        <v/>
      </c>
      <c r="E25" s="6" t="e">
        <f>IF(LARGE('Monthly Matrix'!$AI$4:$AN$76,22)&lt;0,"",IF(INDEX('Monthly Matrix'!$V$4:$AA$76,MATCH(LARGE('Monthly Matrix'!$AI$4:$AN$76,22),'Monthly Matrix'!$AI$4:$AN$76,0))="HIGH","Site visit (3x per week)","Weekly check-in"))</f>
        <v>#N/A</v>
      </c>
      <c r="F25" s="6"/>
      <c r="G25" s="6"/>
      <c r="H25" s="6"/>
      <c r="I25" s="7"/>
      <c r="J25" s="6" t="str">
        <f>IF(LARGE('Monthly Matrix'!$AI$4:$AN$76,22)&lt;0,"","Scheduled")</f>
        <v>Scheduled</v>
      </c>
    </row>
    <row r="26" spans="1:10" ht="19.5" customHeight="1" x14ac:dyDescent="0.15">
      <c r="A26" s="10" t="str">
        <f>IFERROR(IF(LARGE('Monthly Matrix'!$AI$4:$AN$76,23)&lt;0,"",INDEX('Monthly Matrix'!$A$4:$A$76,MATCH(LARGE('Monthly Matrix'!$AI$4:$AN$76,23),'Monthly Matrix'!$AI$4:$AN$76,0))),"")</f>
        <v/>
      </c>
      <c r="B26" s="10" t="str">
        <f>IFERROR(IF(LARGE('Monthly Matrix'!$AI$4:$AN$76,23)&lt;0,"",INDEX('Monthly Matrix'!$B$4:$B$76,MATCH(LARGE('Monthly Matrix'!$AI$4:$AN$76,23),'Monthly Matrix'!$AI$4:$AN$76,0))),"")</f>
        <v/>
      </c>
      <c r="C26" s="10" t="str">
        <f>IFERROR(IF(LARGE('Monthly Matrix'!$AI$4:$AN$76,23)&lt;0,"",INDEX('Monthly Matrix'!$V$4:$AA$76,MATCH(LARGE('Monthly Matrix'!$AI$4:$AN$76,23),'Monthly Matrix'!$AI$4:$AN$76,0))),"")</f>
        <v/>
      </c>
      <c r="D26" s="10" t="str">
        <f>IFERROR(IF(LARGE('Monthly Matrix'!$AI$4:$AN$76,23)&lt;0,"",INDEX('Monthly Matrix'!$G$4:$G$76,MATCH(LARGE('Monthly Matrix'!$AI$4:$AN$76,23),'Monthly Matrix'!$AI$4:$AN$76,0))),"")</f>
        <v/>
      </c>
      <c r="E26" s="10" t="e">
        <f>IF(LARGE('Monthly Matrix'!$AI$4:$AN$76,23)&lt;0,"",IF(INDEX('Monthly Matrix'!$V$4:$AA$76,MATCH(LARGE('Monthly Matrix'!$AI$4:$AN$76,23),'Monthly Matrix'!$AI$4:$AN$76,0))="HIGH","Site visit (3x per week)","Weekly check-in"))</f>
        <v>#N/A</v>
      </c>
      <c r="F26" s="10"/>
      <c r="G26" s="10"/>
      <c r="H26" s="10"/>
      <c r="I26" s="11"/>
      <c r="J26" s="10" t="str">
        <f>IF(LARGE('Monthly Matrix'!$AI$4:$AN$76,23)&lt;0,"","Scheduled")</f>
        <v>Scheduled</v>
      </c>
    </row>
    <row r="27" spans="1:10" ht="19.5" customHeight="1" x14ac:dyDescent="0.15">
      <c r="A27" s="6" t="str">
        <f>IFERROR(IF(LARGE('Monthly Matrix'!$AI$4:$AN$76,24)&lt;0,"",INDEX('Monthly Matrix'!$A$4:$A$76,MATCH(LARGE('Monthly Matrix'!$AI$4:$AN$76,24),'Monthly Matrix'!$AI$4:$AN$76,0))),"")</f>
        <v/>
      </c>
      <c r="B27" s="6" t="str">
        <f>IFERROR(IF(LARGE('Monthly Matrix'!$AI$4:$AN$76,24)&lt;0,"",INDEX('Monthly Matrix'!$B$4:$B$76,MATCH(LARGE('Monthly Matrix'!$AI$4:$AN$76,24),'Monthly Matrix'!$AI$4:$AN$76,0))),"")</f>
        <v/>
      </c>
      <c r="C27" s="6" t="str">
        <f>IFERROR(IF(LARGE('Monthly Matrix'!$AI$4:$AN$76,24)&lt;0,"",INDEX('Monthly Matrix'!$V$4:$AA$76,MATCH(LARGE('Monthly Matrix'!$AI$4:$AN$76,24),'Monthly Matrix'!$AI$4:$AN$76,0))),"")</f>
        <v/>
      </c>
      <c r="D27" s="6" t="str">
        <f>IFERROR(IF(LARGE('Monthly Matrix'!$AI$4:$AN$76,24)&lt;0,"",INDEX('Monthly Matrix'!$G$4:$G$76,MATCH(LARGE('Monthly Matrix'!$AI$4:$AN$76,24),'Monthly Matrix'!$AI$4:$AN$76,0))),"")</f>
        <v/>
      </c>
      <c r="E27" s="6" t="e">
        <f>IF(LARGE('Monthly Matrix'!$AI$4:$AN$76,24)&lt;0,"",IF(INDEX('Monthly Matrix'!$V$4:$AA$76,MATCH(LARGE('Monthly Matrix'!$AI$4:$AN$76,24),'Monthly Matrix'!$AI$4:$AN$76,0))="HIGH","Site visit (3x per week)","Weekly check-in"))</f>
        <v>#N/A</v>
      </c>
      <c r="F27" s="6"/>
      <c r="G27" s="6"/>
      <c r="H27" s="6"/>
      <c r="I27" s="7"/>
      <c r="J27" s="6" t="str">
        <f>IF(LARGE('Monthly Matrix'!$AI$4:$AN$76,24)&lt;0,"","Scheduled")</f>
        <v>Scheduled</v>
      </c>
    </row>
    <row r="28" spans="1:10" ht="19.5" customHeight="1" x14ac:dyDescent="0.15">
      <c r="A28" s="10" t="str">
        <f>IFERROR(IF(LARGE('Monthly Matrix'!$AI$4:$AN$76,25)&lt;0,"",INDEX('Monthly Matrix'!$A$4:$A$76,MATCH(LARGE('Monthly Matrix'!$AI$4:$AN$76,25),'Monthly Matrix'!$AI$4:$AN$76,0))),"")</f>
        <v/>
      </c>
      <c r="B28" s="10" t="str">
        <f>IFERROR(IF(LARGE('Monthly Matrix'!$AI$4:$AN$76,25)&lt;0,"",INDEX('Monthly Matrix'!$B$4:$B$76,MATCH(LARGE('Monthly Matrix'!$AI$4:$AN$76,25),'Monthly Matrix'!$AI$4:$AN$76,0))),"")</f>
        <v/>
      </c>
      <c r="C28" s="10" t="str">
        <f>IFERROR(IF(LARGE('Monthly Matrix'!$AI$4:$AN$76,25)&lt;0,"",INDEX('Monthly Matrix'!$V$4:$AA$76,MATCH(LARGE('Monthly Matrix'!$AI$4:$AN$76,25),'Monthly Matrix'!$AI$4:$AN$76,0))),"")</f>
        <v/>
      </c>
      <c r="D28" s="10" t="str">
        <f>IFERROR(IF(LARGE('Monthly Matrix'!$AI$4:$AN$76,25)&lt;0,"",INDEX('Monthly Matrix'!$G$4:$G$76,MATCH(LARGE('Monthly Matrix'!$AI$4:$AN$76,25),'Monthly Matrix'!$AI$4:$AN$76,0))),"")</f>
        <v/>
      </c>
      <c r="E28" s="10" t="e">
        <f>IF(LARGE('Monthly Matrix'!$AI$4:$AN$76,25)&lt;0,"",IF(INDEX('Monthly Matrix'!$V$4:$AA$76,MATCH(LARGE('Monthly Matrix'!$AI$4:$AN$76,25),'Monthly Matrix'!$AI$4:$AN$76,0))="HIGH","Site visit (3x per week)","Weekly check-in"))</f>
        <v>#N/A</v>
      </c>
      <c r="F28" s="10"/>
      <c r="G28" s="10"/>
      <c r="H28" s="10"/>
      <c r="I28" s="11"/>
      <c r="J28" s="10" t="str">
        <f>IF(LARGE('Monthly Matrix'!$AI$4:$AN$76,25)&lt;0,"","Scheduled")</f>
        <v>Scheduled</v>
      </c>
    </row>
    <row r="29" spans="1:10" ht="19.5" customHeight="1" x14ac:dyDescent="0.15">
      <c r="A29" s="6" t="str">
        <f>IFERROR(IF(LARGE('Monthly Matrix'!$AI$4:$AN$76,26)&lt;0,"",INDEX('Monthly Matrix'!$A$4:$A$76,MATCH(LARGE('Monthly Matrix'!$AI$4:$AN$76,26),'Monthly Matrix'!$AI$4:$AN$76,0))),"")</f>
        <v/>
      </c>
      <c r="B29" s="6" t="str">
        <f>IFERROR(IF(LARGE('Monthly Matrix'!$AI$4:$AN$76,26)&lt;0,"",INDEX('Monthly Matrix'!$B$4:$B$76,MATCH(LARGE('Monthly Matrix'!$AI$4:$AN$76,26),'Monthly Matrix'!$AI$4:$AN$76,0))),"")</f>
        <v/>
      </c>
      <c r="C29" s="6" t="str">
        <f>IFERROR(IF(LARGE('Monthly Matrix'!$AI$4:$AN$76,26)&lt;0,"",INDEX('Monthly Matrix'!$V$4:$AA$76,MATCH(LARGE('Monthly Matrix'!$AI$4:$AN$76,26),'Monthly Matrix'!$AI$4:$AN$76,0))),"")</f>
        <v/>
      </c>
      <c r="D29" s="6" t="str">
        <f>IFERROR(IF(LARGE('Monthly Matrix'!$AI$4:$AN$76,26)&lt;0,"",INDEX('Monthly Matrix'!$G$4:$G$76,MATCH(LARGE('Monthly Matrix'!$AI$4:$AN$76,26),'Monthly Matrix'!$AI$4:$AN$76,0))),"")</f>
        <v/>
      </c>
      <c r="E29" s="6" t="e">
        <f>IF(LARGE('Monthly Matrix'!$AI$4:$AN$76,26)&lt;0,"",IF(INDEX('Monthly Matrix'!$V$4:$AA$76,MATCH(LARGE('Monthly Matrix'!$AI$4:$AN$76,26),'Monthly Matrix'!$AI$4:$AN$76,0))="HIGH","Site visit (3x per week)","Weekly check-in"))</f>
        <v>#N/A</v>
      </c>
      <c r="F29" s="6"/>
      <c r="G29" s="6"/>
      <c r="H29" s="6"/>
      <c r="I29" s="7"/>
      <c r="J29" s="6" t="str">
        <f>IF(LARGE('Monthly Matrix'!$AI$4:$AN$76,26)&lt;0,"","Scheduled")</f>
        <v>Scheduled</v>
      </c>
    </row>
    <row r="30" spans="1:10" ht="19.5" customHeight="1" x14ac:dyDescent="0.15">
      <c r="A30" s="10" t="str">
        <f>IFERROR(IF(LARGE('Monthly Matrix'!$AI$4:$AN$76,27)&lt;0,"",INDEX('Monthly Matrix'!$A$4:$A$76,MATCH(LARGE('Monthly Matrix'!$AI$4:$AN$76,27),'Monthly Matrix'!$AI$4:$AN$76,0))),"")</f>
        <v/>
      </c>
      <c r="B30" s="10" t="str">
        <f>IFERROR(IF(LARGE('Monthly Matrix'!$AI$4:$AN$76,27)&lt;0,"",INDEX('Monthly Matrix'!$B$4:$B$76,MATCH(LARGE('Monthly Matrix'!$AI$4:$AN$76,27),'Monthly Matrix'!$AI$4:$AN$76,0))),"")</f>
        <v/>
      </c>
      <c r="C30" s="10" t="str">
        <f>IFERROR(IF(LARGE('Monthly Matrix'!$AI$4:$AN$76,27)&lt;0,"",INDEX('Monthly Matrix'!$V$4:$AA$76,MATCH(LARGE('Monthly Matrix'!$AI$4:$AN$76,27),'Monthly Matrix'!$AI$4:$AN$76,0))),"")</f>
        <v/>
      </c>
      <c r="D30" s="10" t="str">
        <f>IFERROR(IF(LARGE('Monthly Matrix'!$AI$4:$AN$76,27)&lt;0,"",INDEX('Monthly Matrix'!$G$4:$G$76,MATCH(LARGE('Monthly Matrix'!$AI$4:$AN$76,27),'Monthly Matrix'!$AI$4:$AN$76,0))),"")</f>
        <v/>
      </c>
      <c r="E30" s="10" t="e">
        <f>IF(LARGE('Monthly Matrix'!$AI$4:$AN$76,27)&lt;0,"",IF(INDEX('Monthly Matrix'!$V$4:$AA$76,MATCH(LARGE('Monthly Matrix'!$AI$4:$AN$76,27),'Monthly Matrix'!$AI$4:$AN$76,0))="HIGH","Site visit (3x per week)","Weekly check-in"))</f>
        <v>#N/A</v>
      </c>
      <c r="F30" s="10"/>
      <c r="G30" s="10"/>
      <c r="H30" s="10"/>
      <c r="I30" s="11"/>
      <c r="J30" s="10" t="str">
        <f>IF(LARGE('Monthly Matrix'!$AI$4:$AN$76,27)&lt;0,"","Scheduled")</f>
        <v>Scheduled</v>
      </c>
    </row>
    <row r="31" spans="1:10" ht="19.5" customHeight="1" x14ac:dyDescent="0.15">
      <c r="A31" s="6" t="str">
        <f>IFERROR(IF(LARGE('Monthly Matrix'!$AI$4:$AN$76,28)&lt;0,"",INDEX('Monthly Matrix'!$A$4:$A$76,MATCH(LARGE('Monthly Matrix'!$AI$4:$AN$76,28),'Monthly Matrix'!$AI$4:$AN$76,0))),"")</f>
        <v/>
      </c>
      <c r="B31" s="6" t="str">
        <f>IFERROR(IF(LARGE('Monthly Matrix'!$AI$4:$AN$76,28)&lt;0,"",INDEX('Monthly Matrix'!$B$4:$B$76,MATCH(LARGE('Monthly Matrix'!$AI$4:$AN$76,28),'Monthly Matrix'!$AI$4:$AN$76,0))),"")</f>
        <v/>
      </c>
      <c r="C31" s="6" t="str">
        <f>IFERROR(IF(LARGE('Monthly Matrix'!$AI$4:$AN$76,28)&lt;0,"",INDEX('Monthly Matrix'!$V$4:$AA$76,MATCH(LARGE('Monthly Matrix'!$AI$4:$AN$76,28),'Monthly Matrix'!$AI$4:$AN$76,0))),"")</f>
        <v/>
      </c>
      <c r="D31" s="6" t="str">
        <f>IFERROR(IF(LARGE('Monthly Matrix'!$AI$4:$AN$76,28)&lt;0,"",INDEX('Monthly Matrix'!$G$4:$G$76,MATCH(LARGE('Monthly Matrix'!$AI$4:$AN$76,28),'Monthly Matrix'!$AI$4:$AN$76,0))),"")</f>
        <v/>
      </c>
      <c r="E31" s="6" t="e">
        <f>IF(LARGE('Monthly Matrix'!$AI$4:$AN$76,28)&lt;0,"",IF(INDEX('Monthly Matrix'!$V$4:$AA$76,MATCH(LARGE('Monthly Matrix'!$AI$4:$AN$76,28),'Monthly Matrix'!$AI$4:$AN$76,0))="HIGH","Site visit (3x per week)","Weekly check-in"))</f>
        <v>#N/A</v>
      </c>
      <c r="F31" s="6"/>
      <c r="G31" s="6"/>
      <c r="H31" s="6"/>
      <c r="I31" s="7"/>
      <c r="J31" s="6" t="str">
        <f>IF(LARGE('Monthly Matrix'!$AI$4:$AN$76,28)&lt;0,"","Scheduled")</f>
        <v>Scheduled</v>
      </c>
    </row>
    <row r="32" spans="1:10" ht="19.5" customHeight="1" x14ac:dyDescent="0.15">
      <c r="A32" s="10" t="str">
        <f>IFERROR(IF(LARGE('Monthly Matrix'!$AI$4:$AN$76,29)&lt;0,"",INDEX('Monthly Matrix'!$A$4:$A$76,MATCH(LARGE('Monthly Matrix'!$AI$4:$AN$76,29),'Monthly Matrix'!$AI$4:$AN$76,0))),"")</f>
        <v/>
      </c>
      <c r="B32" s="10" t="str">
        <f>IFERROR(IF(LARGE('Monthly Matrix'!$AI$4:$AN$76,29)&lt;0,"",INDEX('Monthly Matrix'!$B$4:$B$76,MATCH(LARGE('Monthly Matrix'!$AI$4:$AN$76,29),'Monthly Matrix'!$AI$4:$AN$76,0))),"")</f>
        <v/>
      </c>
      <c r="C32" s="10" t="str">
        <f>IFERROR(IF(LARGE('Monthly Matrix'!$AI$4:$AN$76,29)&lt;0,"",INDEX('Monthly Matrix'!$V$4:$AA$76,MATCH(LARGE('Monthly Matrix'!$AI$4:$AN$76,29),'Monthly Matrix'!$AI$4:$AN$76,0))),"")</f>
        <v/>
      </c>
      <c r="D32" s="10" t="str">
        <f>IFERROR(IF(LARGE('Monthly Matrix'!$AI$4:$AN$76,29)&lt;0,"",INDEX('Monthly Matrix'!$G$4:$G$76,MATCH(LARGE('Monthly Matrix'!$AI$4:$AN$76,29),'Monthly Matrix'!$AI$4:$AN$76,0))),"")</f>
        <v/>
      </c>
      <c r="E32" s="10" t="e">
        <f>IF(LARGE('Monthly Matrix'!$AI$4:$AN$76,29)&lt;0,"",IF(INDEX('Monthly Matrix'!$V$4:$AA$76,MATCH(LARGE('Monthly Matrix'!$AI$4:$AN$76,29),'Monthly Matrix'!$AI$4:$AN$76,0))="HIGH","Site visit (3x per week)","Weekly check-in"))</f>
        <v>#N/A</v>
      </c>
      <c r="F32" s="10"/>
      <c r="G32" s="10"/>
      <c r="H32" s="10"/>
      <c r="I32" s="11"/>
      <c r="J32" s="10" t="str">
        <f>IF(LARGE('Monthly Matrix'!$AI$4:$AN$76,29)&lt;0,"","Scheduled")</f>
        <v>Scheduled</v>
      </c>
    </row>
    <row r="33" spans="1:10" ht="19.5" customHeight="1" x14ac:dyDescent="0.15">
      <c r="A33" s="6" t="str">
        <f>IFERROR(IF(LARGE('Monthly Matrix'!$AI$4:$AN$76,30)&lt;0,"",INDEX('Monthly Matrix'!$A$4:$A$76,MATCH(LARGE('Monthly Matrix'!$AI$4:$AN$76,30),'Monthly Matrix'!$AI$4:$AN$76,0))),"")</f>
        <v/>
      </c>
      <c r="B33" s="6" t="str">
        <f>IFERROR(IF(LARGE('Monthly Matrix'!$AI$4:$AN$76,30)&lt;0,"",INDEX('Monthly Matrix'!$B$4:$B$76,MATCH(LARGE('Monthly Matrix'!$AI$4:$AN$76,30),'Monthly Matrix'!$AI$4:$AN$76,0))),"")</f>
        <v/>
      </c>
      <c r="C33" s="6" t="str">
        <f>IFERROR(IF(LARGE('Monthly Matrix'!$AI$4:$AN$76,30)&lt;0,"",INDEX('Monthly Matrix'!$V$4:$AA$76,MATCH(LARGE('Monthly Matrix'!$AI$4:$AN$76,30),'Monthly Matrix'!$AI$4:$AN$76,0))),"")</f>
        <v/>
      </c>
      <c r="D33" s="6" t="str">
        <f>IFERROR(IF(LARGE('Monthly Matrix'!$AI$4:$AN$76,30)&lt;0,"",INDEX('Monthly Matrix'!$G$4:$G$76,MATCH(LARGE('Monthly Matrix'!$AI$4:$AN$76,30),'Monthly Matrix'!$AI$4:$AN$76,0))),"")</f>
        <v/>
      </c>
      <c r="E33" s="6" t="e">
        <f>IF(LARGE('Monthly Matrix'!$AI$4:$AN$76,30)&lt;0,"",IF(INDEX('Monthly Matrix'!$V$4:$AA$76,MATCH(LARGE('Monthly Matrix'!$AI$4:$AN$76,30),'Monthly Matrix'!$AI$4:$AN$76,0))="HIGH","Site visit (3x per week)","Weekly check-in"))</f>
        <v>#N/A</v>
      </c>
      <c r="F33" s="6"/>
      <c r="G33" s="6"/>
      <c r="H33" s="6"/>
      <c r="I33" s="7"/>
      <c r="J33" s="6" t="str">
        <f>IF(LARGE('Monthly Matrix'!$AI$4:$AN$76,30)&lt;0,"","Scheduled")</f>
        <v>Scheduled</v>
      </c>
    </row>
    <row r="34" spans="1:10" ht="19.5" customHeight="1" x14ac:dyDescent="0.15">
      <c r="A34" s="10" t="str">
        <f>IFERROR(IF(LARGE('Monthly Matrix'!$AI$4:$AN$76,31)&lt;0,"",INDEX('Monthly Matrix'!$A$4:$A$76,MATCH(LARGE('Monthly Matrix'!$AI$4:$AN$76,31),'Monthly Matrix'!$AI$4:$AN$76,0))),"")</f>
        <v/>
      </c>
      <c r="B34" s="10" t="str">
        <f>IFERROR(IF(LARGE('Monthly Matrix'!$AI$4:$AN$76,31)&lt;0,"",INDEX('Monthly Matrix'!$B$4:$B$76,MATCH(LARGE('Monthly Matrix'!$AI$4:$AN$76,31),'Monthly Matrix'!$AI$4:$AN$76,0))),"")</f>
        <v/>
      </c>
      <c r="C34" s="10" t="str">
        <f>IFERROR(IF(LARGE('Monthly Matrix'!$AI$4:$AN$76,31)&lt;0,"",INDEX('Monthly Matrix'!$V$4:$AA$76,MATCH(LARGE('Monthly Matrix'!$AI$4:$AN$76,31),'Monthly Matrix'!$AI$4:$AN$76,0))),"")</f>
        <v/>
      </c>
      <c r="D34" s="10" t="str">
        <f>IFERROR(IF(LARGE('Monthly Matrix'!$AI$4:$AN$76,31)&lt;0,"",INDEX('Monthly Matrix'!$G$4:$G$76,MATCH(LARGE('Monthly Matrix'!$AI$4:$AN$76,31),'Monthly Matrix'!$AI$4:$AN$76,0))),"")</f>
        <v/>
      </c>
      <c r="E34" s="10" t="e">
        <f>IF(LARGE('Monthly Matrix'!$AI$4:$AN$76,31)&lt;0,"",IF(INDEX('Monthly Matrix'!$V$4:$AA$76,MATCH(LARGE('Monthly Matrix'!$AI$4:$AN$76,31),'Monthly Matrix'!$AI$4:$AN$76,0))="HIGH","Site visit (3x per week)","Weekly check-in"))</f>
        <v>#N/A</v>
      </c>
      <c r="F34" s="10"/>
      <c r="G34" s="10"/>
      <c r="H34" s="10"/>
      <c r="I34" s="11"/>
      <c r="J34" s="10" t="str">
        <f>IF(LARGE('Monthly Matrix'!$AI$4:$AN$76,31)&lt;0,"","Scheduled")</f>
        <v>Scheduled</v>
      </c>
    </row>
    <row r="35" spans="1:10" ht="19.5" customHeight="1" x14ac:dyDescent="0.15">
      <c r="A35" s="6" t="str">
        <f>IFERROR(IF(LARGE('Monthly Matrix'!$AI$4:$AN$76,32)&lt;0,"",INDEX('Monthly Matrix'!$A$4:$A$76,MATCH(LARGE('Monthly Matrix'!$AI$4:$AN$76,32),'Monthly Matrix'!$AI$4:$AN$76,0))),"")</f>
        <v/>
      </c>
      <c r="B35" s="6" t="str">
        <f>IFERROR(IF(LARGE('Monthly Matrix'!$AI$4:$AN$76,32)&lt;0,"",INDEX('Monthly Matrix'!$B$4:$B$76,MATCH(LARGE('Monthly Matrix'!$AI$4:$AN$76,32),'Monthly Matrix'!$AI$4:$AN$76,0))),"")</f>
        <v/>
      </c>
      <c r="C35" s="6" t="str">
        <f>IFERROR(IF(LARGE('Monthly Matrix'!$AI$4:$AN$76,32)&lt;0,"",INDEX('Monthly Matrix'!$V$4:$AA$76,MATCH(LARGE('Monthly Matrix'!$AI$4:$AN$76,32),'Monthly Matrix'!$AI$4:$AN$76,0))),"")</f>
        <v/>
      </c>
      <c r="D35" s="6" t="str">
        <f>IFERROR(IF(LARGE('Monthly Matrix'!$AI$4:$AN$76,32)&lt;0,"",INDEX('Monthly Matrix'!$G$4:$G$76,MATCH(LARGE('Monthly Matrix'!$AI$4:$AN$76,32),'Monthly Matrix'!$AI$4:$AN$76,0))),"")</f>
        <v/>
      </c>
      <c r="E35" s="6" t="e">
        <f>IF(LARGE('Monthly Matrix'!$AI$4:$AN$76,32)&lt;0,"",IF(INDEX('Monthly Matrix'!$V$4:$AA$76,MATCH(LARGE('Monthly Matrix'!$AI$4:$AN$76,32),'Monthly Matrix'!$AI$4:$AN$76,0))="HIGH","Site visit (3x per week)","Weekly check-in"))</f>
        <v>#N/A</v>
      </c>
      <c r="F35" s="6"/>
      <c r="G35" s="6"/>
      <c r="H35" s="6"/>
      <c r="I35" s="7"/>
      <c r="J35" s="6" t="str">
        <f>IF(LARGE('Monthly Matrix'!$AI$4:$AN$76,32)&lt;0,"","Scheduled")</f>
        <v>Scheduled</v>
      </c>
    </row>
    <row r="36" spans="1:10" ht="19.5" customHeight="1" x14ac:dyDescent="0.15">
      <c r="A36" s="10" t="str">
        <f>IFERROR(IF(LARGE('Monthly Matrix'!$AI$4:$AN$76,33)&lt;0,"",INDEX('Monthly Matrix'!$A$4:$A$76,MATCH(LARGE('Monthly Matrix'!$AI$4:$AN$76,33),'Monthly Matrix'!$AI$4:$AN$76,0))),"")</f>
        <v/>
      </c>
      <c r="B36" s="10" t="str">
        <f>IFERROR(IF(LARGE('Monthly Matrix'!$AI$4:$AN$76,33)&lt;0,"",INDEX('Monthly Matrix'!$B$4:$B$76,MATCH(LARGE('Monthly Matrix'!$AI$4:$AN$76,33),'Monthly Matrix'!$AI$4:$AN$76,0))),"")</f>
        <v/>
      </c>
      <c r="C36" s="10" t="str">
        <f>IFERROR(IF(LARGE('Monthly Matrix'!$AI$4:$AN$76,33)&lt;0,"",INDEX('Monthly Matrix'!$V$4:$AA$76,MATCH(LARGE('Monthly Matrix'!$AI$4:$AN$76,33),'Monthly Matrix'!$AI$4:$AN$76,0))),"")</f>
        <v/>
      </c>
      <c r="D36" s="10" t="str">
        <f>IFERROR(IF(LARGE('Monthly Matrix'!$AI$4:$AN$76,33)&lt;0,"",INDEX('Monthly Matrix'!$G$4:$G$76,MATCH(LARGE('Monthly Matrix'!$AI$4:$AN$76,33),'Monthly Matrix'!$AI$4:$AN$76,0))),"")</f>
        <v/>
      </c>
      <c r="E36" s="10" t="e">
        <f>IF(LARGE('Monthly Matrix'!$AI$4:$AN$76,33)&lt;0,"",IF(INDEX('Monthly Matrix'!$V$4:$AA$76,MATCH(LARGE('Monthly Matrix'!$AI$4:$AN$76,33),'Monthly Matrix'!$AI$4:$AN$76,0))="HIGH","Site visit (3x per week)","Weekly check-in"))</f>
        <v>#N/A</v>
      </c>
      <c r="F36" s="10"/>
      <c r="G36" s="10"/>
      <c r="H36" s="10"/>
      <c r="I36" s="11"/>
      <c r="J36" s="10" t="str">
        <f>IF(LARGE('Monthly Matrix'!$AI$4:$AN$76,33)&lt;0,"","Scheduled")</f>
        <v>Scheduled</v>
      </c>
    </row>
    <row r="37" spans="1:10" ht="19.5" customHeight="1" x14ac:dyDescent="0.15">
      <c r="A37" s="6" t="str">
        <f>IFERROR(IF(LARGE('Monthly Matrix'!$AI$4:$AN$76,34)&lt;0,"",INDEX('Monthly Matrix'!$A$4:$A$76,MATCH(LARGE('Monthly Matrix'!$AI$4:$AN$76,34),'Monthly Matrix'!$AI$4:$AN$76,0))),"")</f>
        <v/>
      </c>
      <c r="B37" s="6" t="str">
        <f>IFERROR(IF(LARGE('Monthly Matrix'!$AI$4:$AN$76,34)&lt;0,"",INDEX('Monthly Matrix'!$B$4:$B$76,MATCH(LARGE('Monthly Matrix'!$AI$4:$AN$76,34),'Monthly Matrix'!$AI$4:$AN$76,0))),"")</f>
        <v/>
      </c>
      <c r="C37" s="6" t="str">
        <f>IFERROR(IF(LARGE('Monthly Matrix'!$AI$4:$AN$76,34)&lt;0,"",INDEX('Monthly Matrix'!$V$4:$AA$76,MATCH(LARGE('Monthly Matrix'!$AI$4:$AN$76,34),'Monthly Matrix'!$AI$4:$AN$76,0))),"")</f>
        <v/>
      </c>
      <c r="D37" s="6" t="str">
        <f>IFERROR(IF(LARGE('Monthly Matrix'!$AI$4:$AN$76,34)&lt;0,"",INDEX('Monthly Matrix'!$G$4:$G$76,MATCH(LARGE('Monthly Matrix'!$AI$4:$AN$76,34),'Monthly Matrix'!$AI$4:$AN$76,0))),"")</f>
        <v/>
      </c>
      <c r="E37" s="6" t="e">
        <f>IF(LARGE('Monthly Matrix'!$AI$4:$AN$76,34)&lt;0,"",IF(INDEX('Monthly Matrix'!$V$4:$AA$76,MATCH(LARGE('Monthly Matrix'!$AI$4:$AN$76,34),'Monthly Matrix'!$AI$4:$AN$76,0))="HIGH","Site visit (3x per week)","Weekly check-in"))</f>
        <v>#N/A</v>
      </c>
      <c r="F37" s="6"/>
      <c r="G37" s="6"/>
      <c r="H37" s="6"/>
      <c r="I37" s="7"/>
      <c r="J37" s="6" t="str">
        <f>IF(LARGE('Monthly Matrix'!$AI$4:$AN$76,34)&lt;0,"","Scheduled")</f>
        <v>Scheduled</v>
      </c>
    </row>
    <row r="38" spans="1:10" ht="19.5" customHeight="1" x14ac:dyDescent="0.15">
      <c r="A38" s="10" t="str">
        <f>IFERROR(IF(LARGE('Monthly Matrix'!$AI$4:$AN$76,35)&lt;0,"",INDEX('Monthly Matrix'!$A$4:$A$76,MATCH(LARGE('Monthly Matrix'!$AI$4:$AN$76,35),'Monthly Matrix'!$AI$4:$AN$76,0))),"")</f>
        <v/>
      </c>
      <c r="B38" s="10" t="str">
        <f>IFERROR(IF(LARGE('Monthly Matrix'!$AI$4:$AN$76,35)&lt;0,"",INDEX('Monthly Matrix'!$B$4:$B$76,MATCH(LARGE('Monthly Matrix'!$AI$4:$AN$76,35),'Monthly Matrix'!$AI$4:$AN$76,0))),"")</f>
        <v/>
      </c>
      <c r="C38" s="10" t="str">
        <f>IFERROR(IF(LARGE('Monthly Matrix'!$AI$4:$AN$76,35)&lt;0,"",INDEX('Monthly Matrix'!$V$4:$AA$76,MATCH(LARGE('Monthly Matrix'!$AI$4:$AN$76,35),'Monthly Matrix'!$AI$4:$AN$76,0))),"")</f>
        <v/>
      </c>
      <c r="D38" s="10" t="str">
        <f>IFERROR(IF(LARGE('Monthly Matrix'!$AI$4:$AN$76,35)&lt;0,"",INDEX('Monthly Matrix'!$G$4:$G$76,MATCH(LARGE('Monthly Matrix'!$AI$4:$AN$76,35),'Monthly Matrix'!$AI$4:$AN$76,0))),"")</f>
        <v/>
      </c>
      <c r="E38" s="10" t="e">
        <f>IF(LARGE('Monthly Matrix'!$AI$4:$AN$76,35)&lt;0,"",IF(INDEX('Monthly Matrix'!$V$4:$AA$76,MATCH(LARGE('Monthly Matrix'!$AI$4:$AN$76,35),'Monthly Matrix'!$AI$4:$AN$76,0))="HIGH","Site visit (3x per week)","Weekly check-in"))</f>
        <v>#N/A</v>
      </c>
      <c r="F38" s="10"/>
      <c r="G38" s="10"/>
      <c r="H38" s="10"/>
      <c r="I38" s="11"/>
      <c r="J38" s="10" t="str">
        <f>IF(LARGE('Monthly Matrix'!$AI$4:$AN$76,35)&lt;0,"","Scheduled")</f>
        <v>Scheduled</v>
      </c>
    </row>
    <row r="39" spans="1:10" ht="19.5" customHeight="1" x14ac:dyDescent="0.15">
      <c r="A39" s="6" t="str">
        <f>IFERROR(IF(LARGE('Monthly Matrix'!$AI$4:$AN$76,36)&lt;0,"",INDEX('Monthly Matrix'!$A$4:$A$76,MATCH(LARGE('Monthly Matrix'!$AI$4:$AN$76,36),'Monthly Matrix'!$AI$4:$AN$76,0))),"")</f>
        <v/>
      </c>
      <c r="B39" s="6" t="str">
        <f>IFERROR(IF(LARGE('Monthly Matrix'!$AI$4:$AN$76,36)&lt;0,"",INDEX('Monthly Matrix'!$B$4:$B$76,MATCH(LARGE('Monthly Matrix'!$AI$4:$AN$76,36),'Monthly Matrix'!$AI$4:$AN$76,0))),"")</f>
        <v/>
      </c>
      <c r="C39" s="6" t="str">
        <f>IFERROR(IF(LARGE('Monthly Matrix'!$AI$4:$AN$76,36)&lt;0,"",INDEX('Monthly Matrix'!$V$4:$AA$76,MATCH(LARGE('Monthly Matrix'!$AI$4:$AN$76,36),'Monthly Matrix'!$AI$4:$AN$76,0))),"")</f>
        <v/>
      </c>
      <c r="D39" s="6" t="str">
        <f>IFERROR(IF(LARGE('Monthly Matrix'!$AI$4:$AN$76,36)&lt;0,"",INDEX('Monthly Matrix'!$G$4:$G$76,MATCH(LARGE('Monthly Matrix'!$AI$4:$AN$76,36),'Monthly Matrix'!$AI$4:$AN$76,0))),"")</f>
        <v/>
      </c>
      <c r="E39" s="6" t="e">
        <f>IF(LARGE('Monthly Matrix'!$AI$4:$AN$76,36)&lt;0,"",IF(INDEX('Monthly Matrix'!$V$4:$AA$76,MATCH(LARGE('Monthly Matrix'!$AI$4:$AN$76,36),'Monthly Matrix'!$AI$4:$AN$76,0))="HIGH","Site visit (3x per week)","Weekly check-in"))</f>
        <v>#N/A</v>
      </c>
      <c r="F39" s="6"/>
      <c r="G39" s="6"/>
      <c r="H39" s="6"/>
      <c r="I39" s="7"/>
      <c r="J39" s="6" t="str">
        <f>IF(LARGE('Monthly Matrix'!$AI$4:$AN$76,36)&lt;0,"","Scheduled")</f>
        <v>Scheduled</v>
      </c>
    </row>
    <row r="40" spans="1:10" ht="19.5" customHeight="1" x14ac:dyDescent="0.15">
      <c r="A40" s="10" t="str">
        <f>IFERROR(IF(LARGE('Monthly Matrix'!$AI$4:$AN$76,37)&lt;0,"",INDEX('Monthly Matrix'!$A$4:$A$76,MATCH(LARGE('Monthly Matrix'!$AI$4:$AN$76,37),'Monthly Matrix'!$AI$4:$AN$76,0))),"")</f>
        <v/>
      </c>
      <c r="B40" s="10" t="str">
        <f>IFERROR(IF(LARGE('Monthly Matrix'!$AI$4:$AN$76,37)&lt;0,"",INDEX('Monthly Matrix'!$B$4:$B$76,MATCH(LARGE('Monthly Matrix'!$AI$4:$AN$76,37),'Monthly Matrix'!$AI$4:$AN$76,0))),"")</f>
        <v/>
      </c>
      <c r="C40" s="10" t="str">
        <f>IFERROR(IF(LARGE('Monthly Matrix'!$AI$4:$AN$76,37)&lt;0,"",INDEX('Monthly Matrix'!$V$4:$AA$76,MATCH(LARGE('Monthly Matrix'!$AI$4:$AN$76,37),'Monthly Matrix'!$AI$4:$AN$76,0))),"")</f>
        <v/>
      </c>
      <c r="D40" s="10" t="str">
        <f>IFERROR(IF(LARGE('Monthly Matrix'!$AI$4:$AN$76,37)&lt;0,"",INDEX('Monthly Matrix'!$G$4:$G$76,MATCH(LARGE('Monthly Matrix'!$AI$4:$AN$76,37),'Monthly Matrix'!$AI$4:$AN$76,0))),"")</f>
        <v/>
      </c>
      <c r="E40" s="10" t="e">
        <f>IF(LARGE('Monthly Matrix'!$AI$4:$AN$76,37)&lt;0,"",IF(INDEX('Monthly Matrix'!$V$4:$AA$76,MATCH(LARGE('Monthly Matrix'!$AI$4:$AN$76,37),'Monthly Matrix'!$AI$4:$AN$76,0))="HIGH","Site visit (3x per week)","Weekly check-in"))</f>
        <v>#N/A</v>
      </c>
      <c r="F40" s="10"/>
      <c r="G40" s="10"/>
      <c r="H40" s="10"/>
      <c r="I40" s="11"/>
      <c r="J40" s="10" t="str">
        <f>IF(LARGE('Monthly Matrix'!$AI$4:$AN$76,37)&lt;0,"","Scheduled")</f>
        <v>Scheduled</v>
      </c>
    </row>
    <row r="41" spans="1:10" ht="19.5" customHeight="1" x14ac:dyDescent="0.15">
      <c r="A41" s="6" t="str">
        <f>IFERROR(IF(LARGE('Monthly Matrix'!$AI$4:$AN$76,38)&lt;0,"",INDEX('Monthly Matrix'!$A$4:$A$76,MATCH(LARGE('Monthly Matrix'!$AI$4:$AN$76,38),'Monthly Matrix'!$AI$4:$AN$76,0))),"")</f>
        <v/>
      </c>
      <c r="B41" s="6" t="str">
        <f>IFERROR(IF(LARGE('Monthly Matrix'!$AI$4:$AN$76,38)&lt;0,"",INDEX('Monthly Matrix'!$B$4:$B$76,MATCH(LARGE('Monthly Matrix'!$AI$4:$AN$76,38),'Monthly Matrix'!$AI$4:$AN$76,0))),"")</f>
        <v/>
      </c>
      <c r="C41" s="6" t="str">
        <f>IFERROR(IF(LARGE('Monthly Matrix'!$AI$4:$AN$76,38)&lt;0,"",INDEX('Monthly Matrix'!$V$4:$AA$76,MATCH(LARGE('Monthly Matrix'!$AI$4:$AN$76,38),'Monthly Matrix'!$AI$4:$AN$76,0))),"")</f>
        <v/>
      </c>
      <c r="D41" s="6" t="str">
        <f>IFERROR(IF(LARGE('Monthly Matrix'!$AI$4:$AN$76,38)&lt;0,"",INDEX('Monthly Matrix'!$G$4:$G$76,MATCH(LARGE('Monthly Matrix'!$AI$4:$AN$76,38),'Monthly Matrix'!$AI$4:$AN$76,0))),"")</f>
        <v/>
      </c>
      <c r="E41" s="6" t="e">
        <f>IF(LARGE('Monthly Matrix'!$AI$4:$AN$76,38)&lt;0,"",IF(INDEX('Monthly Matrix'!$V$4:$AA$76,MATCH(LARGE('Monthly Matrix'!$AI$4:$AN$76,38),'Monthly Matrix'!$AI$4:$AN$76,0))="HIGH","Site visit (3x per week)","Weekly check-in"))</f>
        <v>#N/A</v>
      </c>
      <c r="F41" s="6"/>
      <c r="G41" s="6"/>
      <c r="H41" s="6"/>
      <c r="I41" s="7"/>
      <c r="J41" s="6" t="str">
        <f>IF(LARGE('Monthly Matrix'!$AI$4:$AN$76,38)&lt;0,"","Scheduled")</f>
        <v>Scheduled</v>
      </c>
    </row>
    <row r="42" spans="1:10" ht="19.5" customHeight="1" x14ac:dyDescent="0.15">
      <c r="A42" s="10" t="str">
        <f>IFERROR(IF(LARGE('Monthly Matrix'!$AI$4:$AN$76,39)&lt;0,"",INDEX('Monthly Matrix'!$A$4:$A$76,MATCH(LARGE('Monthly Matrix'!$AI$4:$AN$76,39),'Monthly Matrix'!$AI$4:$AN$76,0))),"")</f>
        <v/>
      </c>
      <c r="B42" s="10" t="str">
        <f>IFERROR(IF(LARGE('Monthly Matrix'!$AI$4:$AN$76,39)&lt;0,"",INDEX('Monthly Matrix'!$B$4:$B$76,MATCH(LARGE('Monthly Matrix'!$AI$4:$AN$76,39),'Monthly Matrix'!$AI$4:$AN$76,0))),"")</f>
        <v/>
      </c>
      <c r="C42" s="10" t="str">
        <f>IFERROR(IF(LARGE('Monthly Matrix'!$AI$4:$AN$76,39)&lt;0,"",INDEX('Monthly Matrix'!$V$4:$AA$76,MATCH(LARGE('Monthly Matrix'!$AI$4:$AN$76,39),'Monthly Matrix'!$AI$4:$AN$76,0))),"")</f>
        <v/>
      </c>
      <c r="D42" s="10" t="str">
        <f>IFERROR(IF(LARGE('Monthly Matrix'!$AI$4:$AN$76,39)&lt;0,"",INDEX('Monthly Matrix'!$G$4:$G$76,MATCH(LARGE('Monthly Matrix'!$AI$4:$AN$76,39),'Monthly Matrix'!$AI$4:$AN$76,0))),"")</f>
        <v/>
      </c>
      <c r="E42" s="10" t="e">
        <f>IF(LARGE('Monthly Matrix'!$AI$4:$AN$76,39)&lt;0,"",IF(INDEX('Monthly Matrix'!$V$4:$AA$76,MATCH(LARGE('Monthly Matrix'!$AI$4:$AN$76,39),'Monthly Matrix'!$AI$4:$AN$76,0))="HIGH","Site visit (3x per week)","Weekly check-in"))</f>
        <v>#N/A</v>
      </c>
      <c r="F42" s="10"/>
      <c r="G42" s="10"/>
      <c r="H42" s="10"/>
      <c r="I42" s="11"/>
      <c r="J42" s="10" t="str">
        <f>IF(LARGE('Monthly Matrix'!$AI$4:$AN$76,39)&lt;0,"","Scheduled")</f>
        <v>Scheduled</v>
      </c>
    </row>
    <row r="43" spans="1:10" ht="19.5" customHeight="1" x14ac:dyDescent="0.15">
      <c r="A43" s="6" t="str">
        <f>IFERROR(IF(LARGE('Monthly Matrix'!$AI$4:$AN$76,40)&lt;0,"",INDEX('Monthly Matrix'!$A$4:$A$76,MATCH(LARGE('Monthly Matrix'!$AI$4:$AN$76,40),'Monthly Matrix'!$AI$4:$AN$76,0))),"")</f>
        <v/>
      </c>
      <c r="B43" s="6" t="str">
        <f>IFERROR(IF(LARGE('Monthly Matrix'!$AI$4:$AN$76,40)&lt;0,"",INDEX('Monthly Matrix'!$B$4:$B$76,MATCH(LARGE('Monthly Matrix'!$AI$4:$AN$76,40),'Monthly Matrix'!$AI$4:$AN$76,0))),"")</f>
        <v/>
      </c>
      <c r="C43" s="6" t="str">
        <f>IFERROR(IF(LARGE('Monthly Matrix'!$AI$4:$AN$76,40)&lt;0,"",INDEX('Monthly Matrix'!$V$4:$AA$76,MATCH(LARGE('Monthly Matrix'!$AI$4:$AN$76,40),'Monthly Matrix'!$AI$4:$AN$76,0))),"")</f>
        <v/>
      </c>
      <c r="D43" s="6" t="str">
        <f>IFERROR(IF(LARGE('Monthly Matrix'!$AI$4:$AN$76,40)&lt;0,"",INDEX('Monthly Matrix'!$G$4:$G$76,MATCH(LARGE('Monthly Matrix'!$AI$4:$AN$76,40),'Monthly Matrix'!$AI$4:$AN$76,0))),"")</f>
        <v/>
      </c>
      <c r="E43" s="6" t="e">
        <f>IF(LARGE('Monthly Matrix'!$AI$4:$AN$76,40)&lt;0,"",IF(INDEX('Monthly Matrix'!$V$4:$AA$76,MATCH(LARGE('Monthly Matrix'!$AI$4:$AN$76,40),'Monthly Matrix'!$AI$4:$AN$76,0))="HIGH","Site visit (3x per week)","Weekly check-in"))</f>
        <v>#N/A</v>
      </c>
      <c r="F43" s="6"/>
      <c r="G43" s="6"/>
      <c r="H43" s="6"/>
      <c r="I43" s="7"/>
      <c r="J43" s="6" t="str">
        <f>IF(LARGE('Monthly Matrix'!$AI$4:$AN$76,40)&lt;0,"","Scheduled")</f>
        <v>Scheduled</v>
      </c>
    </row>
    <row r="44" spans="1:10" ht="19.5" customHeight="1" x14ac:dyDescent="0.15">
      <c r="A44" s="10" t="str">
        <f>IFERROR(IF(LARGE('Monthly Matrix'!$AI$4:$AN$76,41)&lt;0,"",INDEX('Monthly Matrix'!$A$4:$A$76,MATCH(LARGE('Monthly Matrix'!$AI$4:$AN$76,41),'Monthly Matrix'!$AI$4:$AN$76,0))),"")</f>
        <v/>
      </c>
      <c r="B44" s="10" t="str">
        <f>IFERROR(IF(LARGE('Monthly Matrix'!$AI$4:$AN$76,41)&lt;0,"",INDEX('Monthly Matrix'!$B$4:$B$76,MATCH(LARGE('Monthly Matrix'!$AI$4:$AN$76,41),'Monthly Matrix'!$AI$4:$AN$76,0))),"")</f>
        <v/>
      </c>
      <c r="C44" s="10" t="str">
        <f>IFERROR(IF(LARGE('Monthly Matrix'!$AI$4:$AN$76,41)&lt;0,"",INDEX('Monthly Matrix'!$V$4:$AA$76,MATCH(LARGE('Monthly Matrix'!$AI$4:$AN$76,41),'Monthly Matrix'!$AI$4:$AN$76,0))),"")</f>
        <v/>
      </c>
      <c r="D44" s="10" t="str">
        <f>IFERROR(IF(LARGE('Monthly Matrix'!$AI$4:$AN$76,41)&lt;0,"",INDEX('Monthly Matrix'!$G$4:$G$76,MATCH(LARGE('Monthly Matrix'!$AI$4:$AN$76,41),'Monthly Matrix'!$AI$4:$AN$76,0))),"")</f>
        <v/>
      </c>
      <c r="E44" s="10" t="e">
        <f>IF(LARGE('Monthly Matrix'!$AI$4:$AN$76,41)&lt;0,"",IF(INDEX('Monthly Matrix'!$V$4:$AA$76,MATCH(LARGE('Monthly Matrix'!$AI$4:$AN$76,41),'Monthly Matrix'!$AI$4:$AN$76,0))="HIGH","Site visit (3x per week)","Weekly check-in"))</f>
        <v>#N/A</v>
      </c>
      <c r="F44" s="10"/>
      <c r="G44" s="10"/>
      <c r="H44" s="10"/>
      <c r="I44" s="11"/>
      <c r="J44" s="10" t="str">
        <f>IF(LARGE('Monthly Matrix'!$AI$4:$AN$76,41)&lt;0,"","Scheduled")</f>
        <v>Scheduled</v>
      </c>
    </row>
    <row r="45" spans="1:10" ht="19.5" customHeight="1" x14ac:dyDescent="0.15">
      <c r="A45" s="6" t="str">
        <f>IFERROR(IF(LARGE('Monthly Matrix'!$AI$4:$AN$76,42)&lt;0,"",INDEX('Monthly Matrix'!$A$4:$A$76,MATCH(LARGE('Monthly Matrix'!$AI$4:$AN$76,42),'Monthly Matrix'!$AI$4:$AN$76,0))),"")</f>
        <v/>
      </c>
      <c r="B45" s="6" t="str">
        <f>IFERROR(IF(LARGE('Monthly Matrix'!$AI$4:$AN$76,42)&lt;0,"",INDEX('Monthly Matrix'!$B$4:$B$76,MATCH(LARGE('Monthly Matrix'!$AI$4:$AN$76,42),'Monthly Matrix'!$AI$4:$AN$76,0))),"")</f>
        <v/>
      </c>
      <c r="C45" s="6" t="str">
        <f>IFERROR(IF(LARGE('Monthly Matrix'!$AI$4:$AN$76,42)&lt;0,"",INDEX('Monthly Matrix'!$V$4:$AA$76,MATCH(LARGE('Monthly Matrix'!$AI$4:$AN$76,42),'Monthly Matrix'!$AI$4:$AN$76,0))),"")</f>
        <v/>
      </c>
      <c r="D45" s="6" t="str">
        <f>IFERROR(IF(LARGE('Monthly Matrix'!$AI$4:$AN$76,42)&lt;0,"",INDEX('Monthly Matrix'!$G$4:$G$76,MATCH(LARGE('Monthly Matrix'!$AI$4:$AN$76,42),'Monthly Matrix'!$AI$4:$AN$76,0))),"")</f>
        <v/>
      </c>
      <c r="E45" s="6" t="e">
        <f>IF(LARGE('Monthly Matrix'!$AI$4:$AN$76,42)&lt;0,"",IF(INDEX('Monthly Matrix'!$V$4:$AA$76,MATCH(LARGE('Monthly Matrix'!$AI$4:$AN$76,42),'Monthly Matrix'!$AI$4:$AN$76,0))="HIGH","Site visit (3x per week)","Weekly check-in"))</f>
        <v>#N/A</v>
      </c>
      <c r="F45" s="6"/>
      <c r="G45" s="6"/>
      <c r="H45" s="6"/>
      <c r="I45" s="7"/>
      <c r="J45" s="6" t="str">
        <f>IF(LARGE('Monthly Matrix'!$AI$4:$AN$76,42)&lt;0,"","Scheduled")</f>
        <v>Scheduled</v>
      </c>
    </row>
    <row r="46" spans="1:10" ht="19.5" customHeight="1" x14ac:dyDescent="0.15">
      <c r="A46" s="10" t="str">
        <f>IFERROR(IF(LARGE('Monthly Matrix'!$AI$4:$AN$76,43)&lt;0,"",INDEX('Monthly Matrix'!$A$4:$A$76,MATCH(LARGE('Monthly Matrix'!$AI$4:$AN$76,43),'Monthly Matrix'!$AI$4:$AN$76,0))),"")</f>
        <v/>
      </c>
      <c r="B46" s="10" t="str">
        <f>IFERROR(IF(LARGE('Monthly Matrix'!$AI$4:$AN$76,43)&lt;0,"",INDEX('Monthly Matrix'!$B$4:$B$76,MATCH(LARGE('Monthly Matrix'!$AI$4:$AN$76,43),'Monthly Matrix'!$AI$4:$AN$76,0))),"")</f>
        <v/>
      </c>
      <c r="C46" s="10" t="str">
        <f>IFERROR(IF(LARGE('Monthly Matrix'!$AI$4:$AN$76,43)&lt;0,"",INDEX('Monthly Matrix'!$V$4:$AA$76,MATCH(LARGE('Monthly Matrix'!$AI$4:$AN$76,43),'Monthly Matrix'!$AI$4:$AN$76,0))),"")</f>
        <v/>
      </c>
      <c r="D46" s="10" t="str">
        <f>IFERROR(IF(LARGE('Monthly Matrix'!$AI$4:$AN$76,43)&lt;0,"",INDEX('Monthly Matrix'!$G$4:$G$76,MATCH(LARGE('Monthly Matrix'!$AI$4:$AN$76,43),'Monthly Matrix'!$AI$4:$AN$76,0))),"")</f>
        <v/>
      </c>
      <c r="E46" s="10" t="e">
        <f>IF(LARGE('Monthly Matrix'!$AI$4:$AN$76,43)&lt;0,"",IF(INDEX('Monthly Matrix'!$V$4:$AA$76,MATCH(LARGE('Monthly Matrix'!$AI$4:$AN$76,43),'Monthly Matrix'!$AI$4:$AN$76,0))="HIGH","Site visit (3x per week)","Weekly check-in"))</f>
        <v>#N/A</v>
      </c>
      <c r="F46" s="10"/>
      <c r="G46" s="10"/>
      <c r="H46" s="10"/>
      <c r="I46" s="11"/>
      <c r="J46" s="10" t="str">
        <f>IF(LARGE('Monthly Matrix'!$AI$4:$AN$76,43)&lt;0,"","Scheduled")</f>
        <v>Scheduled</v>
      </c>
    </row>
    <row r="47" spans="1:10" ht="19.5" customHeight="1" x14ac:dyDescent="0.15">
      <c r="A47" s="6" t="str">
        <f>IFERROR(IF(LARGE('Monthly Matrix'!$AI$4:$AN$76,44)&lt;0,"",INDEX('Monthly Matrix'!$A$4:$A$76,MATCH(LARGE('Monthly Matrix'!$AI$4:$AN$76,44),'Monthly Matrix'!$AI$4:$AN$76,0))),"")</f>
        <v/>
      </c>
      <c r="B47" s="6" t="str">
        <f>IFERROR(IF(LARGE('Monthly Matrix'!$AI$4:$AN$76,44)&lt;0,"",INDEX('Monthly Matrix'!$B$4:$B$76,MATCH(LARGE('Monthly Matrix'!$AI$4:$AN$76,44),'Monthly Matrix'!$AI$4:$AN$76,0))),"")</f>
        <v/>
      </c>
      <c r="C47" s="6" t="str">
        <f>IFERROR(IF(LARGE('Monthly Matrix'!$AI$4:$AN$76,44)&lt;0,"",INDEX('Monthly Matrix'!$V$4:$AA$76,MATCH(LARGE('Monthly Matrix'!$AI$4:$AN$76,44),'Monthly Matrix'!$AI$4:$AN$76,0))),"")</f>
        <v/>
      </c>
      <c r="D47" s="6" t="str">
        <f>IFERROR(IF(LARGE('Monthly Matrix'!$AI$4:$AN$76,44)&lt;0,"",INDEX('Monthly Matrix'!$G$4:$G$76,MATCH(LARGE('Monthly Matrix'!$AI$4:$AN$76,44),'Monthly Matrix'!$AI$4:$AN$76,0))),"")</f>
        <v/>
      </c>
      <c r="E47" s="6" t="e">
        <f>IF(LARGE('Monthly Matrix'!$AI$4:$AN$76,44)&lt;0,"",IF(INDEX('Monthly Matrix'!$V$4:$AA$76,MATCH(LARGE('Monthly Matrix'!$AI$4:$AN$76,44),'Monthly Matrix'!$AI$4:$AN$76,0))="HIGH","Site visit (3x per week)","Weekly check-in"))</f>
        <v>#N/A</v>
      </c>
      <c r="F47" s="6"/>
      <c r="G47" s="6"/>
      <c r="H47" s="6"/>
      <c r="I47" s="7"/>
      <c r="J47" s="6" t="str">
        <f>IF(LARGE('Monthly Matrix'!$AI$4:$AN$76,44)&lt;0,"","Scheduled")</f>
        <v>Scheduled</v>
      </c>
    </row>
    <row r="48" spans="1:10" ht="19.5" customHeight="1" x14ac:dyDescent="0.15">
      <c r="A48" s="10" t="str">
        <f>IFERROR(IF(LARGE('Monthly Matrix'!$AI$4:$AN$76,45)&lt;0,"",INDEX('Monthly Matrix'!$A$4:$A$76,MATCH(LARGE('Monthly Matrix'!$AI$4:$AN$76,45),'Monthly Matrix'!$AI$4:$AN$76,0))),"")</f>
        <v/>
      </c>
      <c r="B48" s="10" t="str">
        <f>IFERROR(IF(LARGE('Monthly Matrix'!$AI$4:$AN$76,45)&lt;0,"",INDEX('Monthly Matrix'!$B$4:$B$76,MATCH(LARGE('Monthly Matrix'!$AI$4:$AN$76,45),'Monthly Matrix'!$AI$4:$AN$76,0))),"")</f>
        <v/>
      </c>
      <c r="C48" s="10" t="str">
        <f>IFERROR(IF(LARGE('Monthly Matrix'!$AI$4:$AN$76,45)&lt;0,"",INDEX('Monthly Matrix'!$V$4:$AA$76,MATCH(LARGE('Monthly Matrix'!$AI$4:$AN$76,45),'Monthly Matrix'!$AI$4:$AN$76,0))),"")</f>
        <v/>
      </c>
      <c r="D48" s="10" t="str">
        <f>IFERROR(IF(LARGE('Monthly Matrix'!$AI$4:$AN$76,45)&lt;0,"",INDEX('Monthly Matrix'!$G$4:$G$76,MATCH(LARGE('Monthly Matrix'!$AI$4:$AN$76,45),'Monthly Matrix'!$AI$4:$AN$76,0))),"")</f>
        <v/>
      </c>
      <c r="E48" s="10" t="e">
        <f>IF(LARGE('Monthly Matrix'!$AI$4:$AN$76,45)&lt;0,"",IF(INDEX('Monthly Matrix'!$V$4:$AA$76,MATCH(LARGE('Monthly Matrix'!$AI$4:$AN$76,45),'Monthly Matrix'!$AI$4:$AN$76,0))="HIGH","Site visit (3x per week)","Weekly check-in"))</f>
        <v>#N/A</v>
      </c>
      <c r="F48" s="10"/>
      <c r="G48" s="10"/>
      <c r="H48" s="10"/>
      <c r="I48" s="11"/>
      <c r="J48" s="10" t="str">
        <f>IF(LARGE('Monthly Matrix'!$AI$4:$AN$76,45)&lt;0,"","Scheduled")</f>
        <v>Scheduled</v>
      </c>
    </row>
    <row r="49" spans="1:10" ht="19.5" customHeight="1" x14ac:dyDescent="0.15">
      <c r="A49" s="6" t="str">
        <f>IFERROR(IF(LARGE('Monthly Matrix'!$AI$4:$AN$76,46)&lt;0,"",INDEX('Monthly Matrix'!$A$4:$A$76,MATCH(LARGE('Monthly Matrix'!$AI$4:$AN$76,46),'Monthly Matrix'!$AI$4:$AN$76,0))),"")</f>
        <v/>
      </c>
      <c r="B49" s="6" t="str">
        <f>IFERROR(IF(LARGE('Monthly Matrix'!$AI$4:$AN$76,46)&lt;0,"",INDEX('Monthly Matrix'!$B$4:$B$76,MATCH(LARGE('Monthly Matrix'!$AI$4:$AN$76,46),'Monthly Matrix'!$AI$4:$AN$76,0))),"")</f>
        <v/>
      </c>
      <c r="C49" s="6" t="str">
        <f>IFERROR(IF(LARGE('Monthly Matrix'!$AI$4:$AN$76,46)&lt;0,"",INDEX('Monthly Matrix'!$V$4:$AA$76,MATCH(LARGE('Monthly Matrix'!$AI$4:$AN$76,46),'Monthly Matrix'!$AI$4:$AN$76,0))),"")</f>
        <v/>
      </c>
      <c r="D49" s="6" t="str">
        <f>IFERROR(IF(LARGE('Monthly Matrix'!$AI$4:$AN$76,46)&lt;0,"",INDEX('Monthly Matrix'!$G$4:$G$76,MATCH(LARGE('Monthly Matrix'!$AI$4:$AN$76,46),'Monthly Matrix'!$AI$4:$AN$76,0))),"")</f>
        <v/>
      </c>
      <c r="E49" s="6" t="e">
        <f>IF(LARGE('Monthly Matrix'!$AI$4:$AN$76,46)&lt;0,"",IF(INDEX('Monthly Matrix'!$V$4:$AA$76,MATCH(LARGE('Monthly Matrix'!$AI$4:$AN$76,46),'Monthly Matrix'!$AI$4:$AN$76,0))="HIGH","Site visit (3x per week)","Weekly check-in"))</f>
        <v>#N/A</v>
      </c>
      <c r="F49" s="6"/>
      <c r="G49" s="6"/>
      <c r="H49" s="6"/>
      <c r="I49" s="7"/>
      <c r="J49" s="6" t="str">
        <f>IF(LARGE('Monthly Matrix'!$AI$4:$AN$76,46)&lt;0,"","Scheduled")</f>
        <v>Scheduled</v>
      </c>
    </row>
    <row r="50" spans="1:10" ht="19.5" customHeight="1" x14ac:dyDescent="0.15">
      <c r="A50" s="10" t="str">
        <f>IFERROR(IF(LARGE('Monthly Matrix'!$AI$4:$AN$76,47)&lt;0,"",INDEX('Monthly Matrix'!$A$4:$A$76,MATCH(LARGE('Monthly Matrix'!$AI$4:$AN$76,47),'Monthly Matrix'!$AI$4:$AN$76,0))),"")</f>
        <v/>
      </c>
      <c r="B50" s="10" t="str">
        <f>IFERROR(IF(LARGE('Monthly Matrix'!$AI$4:$AN$76,47)&lt;0,"",INDEX('Monthly Matrix'!$B$4:$B$76,MATCH(LARGE('Monthly Matrix'!$AI$4:$AN$76,47),'Monthly Matrix'!$AI$4:$AN$76,0))),"")</f>
        <v/>
      </c>
      <c r="C50" s="10" t="str">
        <f>IFERROR(IF(LARGE('Monthly Matrix'!$AI$4:$AN$76,47)&lt;0,"",INDEX('Monthly Matrix'!$V$4:$AA$76,MATCH(LARGE('Monthly Matrix'!$AI$4:$AN$76,47),'Monthly Matrix'!$AI$4:$AN$76,0))),"")</f>
        <v/>
      </c>
      <c r="D50" s="10" t="str">
        <f>IFERROR(IF(LARGE('Monthly Matrix'!$AI$4:$AN$76,47)&lt;0,"",INDEX('Monthly Matrix'!$G$4:$G$76,MATCH(LARGE('Monthly Matrix'!$AI$4:$AN$76,47),'Monthly Matrix'!$AI$4:$AN$76,0))),"")</f>
        <v/>
      </c>
      <c r="E50" s="10" t="e">
        <f>IF(LARGE('Monthly Matrix'!$AI$4:$AN$76,47)&lt;0,"",IF(INDEX('Monthly Matrix'!$V$4:$AA$76,MATCH(LARGE('Monthly Matrix'!$AI$4:$AN$76,47),'Monthly Matrix'!$AI$4:$AN$76,0))="HIGH","Site visit (3x per week)","Weekly check-in"))</f>
        <v>#N/A</v>
      </c>
      <c r="F50" s="10"/>
      <c r="G50" s="10"/>
      <c r="H50" s="10"/>
      <c r="I50" s="11"/>
      <c r="J50" s="10" t="str">
        <f>IF(LARGE('Monthly Matrix'!$AI$4:$AN$76,47)&lt;0,"","Scheduled")</f>
        <v>Scheduled</v>
      </c>
    </row>
    <row r="51" spans="1:10" ht="19.5" customHeight="1" x14ac:dyDescent="0.15">
      <c r="A51" s="6" t="str">
        <f>IFERROR(IF(LARGE('Monthly Matrix'!$AI$4:$AN$76,48)&lt;0,"",INDEX('Monthly Matrix'!$A$4:$A$76,MATCH(LARGE('Monthly Matrix'!$AI$4:$AN$76,48),'Monthly Matrix'!$AI$4:$AN$76,0))),"")</f>
        <v/>
      </c>
      <c r="B51" s="6" t="str">
        <f>IFERROR(IF(LARGE('Monthly Matrix'!$AI$4:$AN$76,48)&lt;0,"",INDEX('Monthly Matrix'!$B$4:$B$76,MATCH(LARGE('Monthly Matrix'!$AI$4:$AN$76,48),'Monthly Matrix'!$AI$4:$AN$76,0))),"")</f>
        <v/>
      </c>
      <c r="C51" s="6" t="str">
        <f>IFERROR(IF(LARGE('Monthly Matrix'!$AI$4:$AN$76,48)&lt;0,"",INDEX('Monthly Matrix'!$V$4:$AA$76,MATCH(LARGE('Monthly Matrix'!$AI$4:$AN$76,48),'Monthly Matrix'!$AI$4:$AN$76,0))),"")</f>
        <v/>
      </c>
      <c r="D51" s="6" t="str">
        <f>IFERROR(IF(LARGE('Monthly Matrix'!$AI$4:$AN$76,48)&lt;0,"",INDEX('Monthly Matrix'!$G$4:$G$76,MATCH(LARGE('Monthly Matrix'!$AI$4:$AN$76,48),'Monthly Matrix'!$AI$4:$AN$76,0))),"")</f>
        <v/>
      </c>
      <c r="E51" s="6" t="e">
        <f>IF(LARGE('Monthly Matrix'!$AI$4:$AN$76,48)&lt;0,"",IF(INDEX('Monthly Matrix'!$V$4:$AA$76,MATCH(LARGE('Monthly Matrix'!$AI$4:$AN$76,48),'Monthly Matrix'!$AI$4:$AN$76,0))="HIGH","Site visit (3x per week)","Weekly check-in"))</f>
        <v>#N/A</v>
      </c>
      <c r="F51" s="6"/>
      <c r="G51" s="6"/>
      <c r="H51" s="6"/>
      <c r="I51" s="7"/>
      <c r="J51" s="6" t="str">
        <f>IF(LARGE('Monthly Matrix'!$AI$4:$AN$76,48)&lt;0,"","Scheduled")</f>
        <v>Scheduled</v>
      </c>
    </row>
    <row r="52" spans="1:10" ht="19.5" customHeight="1" x14ac:dyDescent="0.15">
      <c r="A52" s="10" t="str">
        <f>IFERROR(IF(LARGE('Monthly Matrix'!$AI$4:$AN$76,49)&lt;0,"",INDEX('Monthly Matrix'!$A$4:$A$76,MATCH(LARGE('Monthly Matrix'!$AI$4:$AN$76,49),'Monthly Matrix'!$AI$4:$AN$76,0))),"")</f>
        <v/>
      </c>
      <c r="B52" s="10" t="str">
        <f>IFERROR(IF(LARGE('Monthly Matrix'!$AI$4:$AN$76,49)&lt;0,"",INDEX('Monthly Matrix'!$B$4:$B$76,MATCH(LARGE('Monthly Matrix'!$AI$4:$AN$76,49),'Monthly Matrix'!$AI$4:$AN$76,0))),"")</f>
        <v/>
      </c>
      <c r="C52" s="10" t="str">
        <f>IFERROR(IF(LARGE('Monthly Matrix'!$AI$4:$AN$76,49)&lt;0,"",INDEX('Monthly Matrix'!$V$4:$AA$76,MATCH(LARGE('Monthly Matrix'!$AI$4:$AN$76,49),'Monthly Matrix'!$AI$4:$AN$76,0))),"")</f>
        <v/>
      </c>
      <c r="D52" s="10" t="str">
        <f>IFERROR(IF(LARGE('Monthly Matrix'!$AI$4:$AN$76,49)&lt;0,"",INDEX('Monthly Matrix'!$G$4:$G$76,MATCH(LARGE('Monthly Matrix'!$AI$4:$AN$76,49),'Monthly Matrix'!$AI$4:$AN$76,0))),"")</f>
        <v/>
      </c>
      <c r="E52" s="10" t="e">
        <f>IF(LARGE('Monthly Matrix'!$AI$4:$AN$76,49)&lt;0,"",IF(INDEX('Monthly Matrix'!$V$4:$AA$76,MATCH(LARGE('Monthly Matrix'!$AI$4:$AN$76,49),'Monthly Matrix'!$AI$4:$AN$76,0))="HIGH","Site visit (3x per week)","Weekly check-in"))</f>
        <v>#N/A</v>
      </c>
      <c r="F52" s="10"/>
      <c r="G52" s="10"/>
      <c r="H52" s="10"/>
      <c r="I52" s="11"/>
      <c r="J52" s="10" t="str">
        <f>IF(LARGE('Monthly Matrix'!$AI$4:$AN$76,49)&lt;0,"","Scheduled")</f>
        <v>Scheduled</v>
      </c>
    </row>
    <row r="53" spans="1:10" ht="19.5" customHeight="1" x14ac:dyDescent="0.15">
      <c r="A53" s="6" t="str">
        <f>IFERROR(IF(LARGE('Monthly Matrix'!$AI$4:$AN$76,50)&lt;0,"",INDEX('Monthly Matrix'!$A$4:$A$76,MATCH(LARGE('Monthly Matrix'!$AI$4:$AN$76,50),'Monthly Matrix'!$AI$4:$AN$76,0))),"")</f>
        <v/>
      </c>
      <c r="B53" s="6" t="str">
        <f>IFERROR(IF(LARGE('Monthly Matrix'!$AI$4:$AN$76,50)&lt;0,"",INDEX('Monthly Matrix'!$B$4:$B$76,MATCH(LARGE('Monthly Matrix'!$AI$4:$AN$76,50),'Monthly Matrix'!$AI$4:$AN$76,0))),"")</f>
        <v/>
      </c>
      <c r="C53" s="6" t="str">
        <f>IFERROR(IF(LARGE('Monthly Matrix'!$AI$4:$AN$76,50)&lt;0,"",INDEX('Monthly Matrix'!$V$4:$AA$76,MATCH(LARGE('Monthly Matrix'!$AI$4:$AN$76,50),'Monthly Matrix'!$AI$4:$AN$76,0))),"")</f>
        <v/>
      </c>
      <c r="D53" s="6" t="str">
        <f>IFERROR(IF(LARGE('Monthly Matrix'!$AI$4:$AN$76,50)&lt;0,"",INDEX('Monthly Matrix'!$G$4:$G$76,MATCH(LARGE('Monthly Matrix'!$AI$4:$AN$76,50),'Monthly Matrix'!$AI$4:$AN$76,0))),"")</f>
        <v/>
      </c>
      <c r="E53" s="6" t="e">
        <f>IF(LARGE('Monthly Matrix'!$AI$4:$AN$76,50)&lt;0,"",IF(INDEX('Monthly Matrix'!$V$4:$AA$76,MATCH(LARGE('Monthly Matrix'!$AI$4:$AN$76,50),'Monthly Matrix'!$AI$4:$AN$76,0))="HIGH","Site visit (3x per week)","Weekly check-in"))</f>
        <v>#N/A</v>
      </c>
      <c r="F53" s="6"/>
      <c r="G53" s="6"/>
      <c r="H53" s="6"/>
      <c r="I53" s="7"/>
      <c r="J53" s="6" t="str">
        <f>IF(LARGE('Monthly Matrix'!$AI$4:$AN$76,50)&lt;0,"","Scheduled")</f>
        <v>Scheduled</v>
      </c>
    </row>
    <row r="54" spans="1:10" ht="19.5" customHeight="1" x14ac:dyDescent="0.15">
      <c r="A54" s="10" t="str">
        <f>IFERROR(IF(LARGE('Monthly Matrix'!$AI$4:$AN$76,51)&lt;0,"",INDEX('Monthly Matrix'!$A$4:$A$76,MATCH(LARGE('Monthly Matrix'!$AI$4:$AN$76,51),'Monthly Matrix'!$AI$4:$AN$76,0))),"")</f>
        <v/>
      </c>
      <c r="B54" s="10" t="str">
        <f>IFERROR(IF(LARGE('Monthly Matrix'!$AI$4:$AN$76,51)&lt;0,"",INDEX('Monthly Matrix'!$B$4:$B$76,MATCH(LARGE('Monthly Matrix'!$AI$4:$AN$76,51),'Monthly Matrix'!$AI$4:$AN$76,0))),"")</f>
        <v/>
      </c>
      <c r="C54" s="10" t="str">
        <f>IFERROR(IF(LARGE('Monthly Matrix'!$AI$4:$AN$76,51)&lt;0,"",INDEX('Monthly Matrix'!$V$4:$AA$76,MATCH(LARGE('Monthly Matrix'!$AI$4:$AN$76,51),'Monthly Matrix'!$AI$4:$AN$76,0))),"")</f>
        <v/>
      </c>
      <c r="D54" s="10" t="str">
        <f>IFERROR(IF(LARGE('Monthly Matrix'!$AI$4:$AN$76,51)&lt;0,"",INDEX('Monthly Matrix'!$G$4:$G$76,MATCH(LARGE('Monthly Matrix'!$AI$4:$AN$76,51),'Monthly Matrix'!$AI$4:$AN$76,0))),"")</f>
        <v/>
      </c>
      <c r="E54" s="10" t="e">
        <f>IF(LARGE('Monthly Matrix'!$AI$4:$AN$76,51)&lt;0,"",IF(INDEX('Monthly Matrix'!$V$4:$AA$76,MATCH(LARGE('Monthly Matrix'!$AI$4:$AN$76,51),'Monthly Matrix'!$AI$4:$AN$76,0))="HIGH","Site visit (3x per week)","Weekly check-in"))</f>
        <v>#N/A</v>
      </c>
      <c r="F54" s="10"/>
      <c r="G54" s="10"/>
      <c r="H54" s="10"/>
      <c r="I54" s="11"/>
      <c r="J54" s="10" t="str">
        <f>IF(LARGE('Monthly Matrix'!$AI$4:$AN$76,51)&lt;0,"","Scheduled")</f>
        <v>Scheduled</v>
      </c>
    </row>
    <row r="55" spans="1:10" ht="19.5" customHeight="1" x14ac:dyDescent="0.15">
      <c r="A55" s="6" t="str">
        <f>IFERROR(IF(LARGE('Monthly Matrix'!$AI$4:$AN$76,52)&lt;0,"",INDEX('Monthly Matrix'!$A$4:$A$76,MATCH(LARGE('Monthly Matrix'!$AI$4:$AN$76,52),'Monthly Matrix'!$AI$4:$AN$76,0))),"")</f>
        <v/>
      </c>
      <c r="B55" s="6" t="str">
        <f>IFERROR(IF(LARGE('Monthly Matrix'!$AI$4:$AN$76,52)&lt;0,"",INDEX('Monthly Matrix'!$B$4:$B$76,MATCH(LARGE('Monthly Matrix'!$AI$4:$AN$76,52),'Monthly Matrix'!$AI$4:$AN$76,0))),"")</f>
        <v/>
      </c>
      <c r="C55" s="6" t="str">
        <f>IFERROR(IF(LARGE('Monthly Matrix'!$AI$4:$AN$76,52)&lt;0,"",INDEX('Monthly Matrix'!$V$4:$AA$76,MATCH(LARGE('Monthly Matrix'!$AI$4:$AN$76,52),'Monthly Matrix'!$AI$4:$AN$76,0))),"")</f>
        <v/>
      </c>
      <c r="D55" s="6" t="str">
        <f>IFERROR(IF(LARGE('Monthly Matrix'!$AI$4:$AN$76,52)&lt;0,"",INDEX('Monthly Matrix'!$G$4:$G$76,MATCH(LARGE('Monthly Matrix'!$AI$4:$AN$76,52),'Monthly Matrix'!$AI$4:$AN$76,0))),"")</f>
        <v/>
      </c>
      <c r="E55" s="6" t="e">
        <f>IF(LARGE('Monthly Matrix'!$AI$4:$AN$76,52)&lt;0,"",IF(INDEX('Monthly Matrix'!$V$4:$AA$76,MATCH(LARGE('Monthly Matrix'!$AI$4:$AN$76,52),'Monthly Matrix'!$AI$4:$AN$76,0))="HIGH","Site visit (3x per week)","Weekly check-in"))</f>
        <v>#N/A</v>
      </c>
      <c r="F55" s="6"/>
      <c r="G55" s="6"/>
      <c r="H55" s="6"/>
      <c r="I55" s="7"/>
      <c r="J55" s="6" t="str">
        <f>IF(LARGE('Monthly Matrix'!$AI$4:$AN$76,52)&lt;0,"","Scheduled")</f>
        <v>Scheduled</v>
      </c>
    </row>
    <row r="56" spans="1:10" ht="19.5" customHeight="1" x14ac:dyDescent="0.15">
      <c r="A56" s="10" t="str">
        <f>IFERROR(IF(LARGE('Monthly Matrix'!$AI$4:$AN$76,53)&lt;0,"",INDEX('Monthly Matrix'!$A$4:$A$76,MATCH(LARGE('Monthly Matrix'!$AI$4:$AN$76,53),'Monthly Matrix'!$AI$4:$AN$76,0))),"")</f>
        <v/>
      </c>
      <c r="B56" s="10" t="str">
        <f>IFERROR(IF(LARGE('Monthly Matrix'!$AI$4:$AN$76,53)&lt;0,"",INDEX('Monthly Matrix'!$B$4:$B$76,MATCH(LARGE('Monthly Matrix'!$AI$4:$AN$76,53),'Monthly Matrix'!$AI$4:$AN$76,0))),"")</f>
        <v/>
      </c>
      <c r="C56" s="10" t="str">
        <f>IFERROR(IF(LARGE('Monthly Matrix'!$AI$4:$AN$76,53)&lt;0,"",INDEX('Monthly Matrix'!$V$4:$AA$76,MATCH(LARGE('Monthly Matrix'!$AI$4:$AN$76,53),'Monthly Matrix'!$AI$4:$AN$76,0))),"")</f>
        <v/>
      </c>
      <c r="D56" s="10" t="str">
        <f>IFERROR(IF(LARGE('Monthly Matrix'!$AI$4:$AN$76,53)&lt;0,"",INDEX('Monthly Matrix'!$G$4:$G$76,MATCH(LARGE('Monthly Matrix'!$AI$4:$AN$76,53),'Monthly Matrix'!$AI$4:$AN$76,0))),"")</f>
        <v/>
      </c>
      <c r="E56" s="10" t="e">
        <f>IF(LARGE('Monthly Matrix'!$AI$4:$AN$76,53)&lt;0,"",IF(INDEX('Monthly Matrix'!$V$4:$AA$76,MATCH(LARGE('Monthly Matrix'!$AI$4:$AN$76,53),'Monthly Matrix'!$AI$4:$AN$76,0))="HIGH","Site visit (3x per week)","Weekly check-in"))</f>
        <v>#N/A</v>
      </c>
      <c r="F56" s="10"/>
      <c r="G56" s="10"/>
      <c r="H56" s="10"/>
      <c r="I56" s="11"/>
      <c r="J56" s="10" t="str">
        <f>IF(LARGE('Monthly Matrix'!$AI$4:$AN$76,53)&lt;0,"","Scheduled")</f>
        <v>Scheduled</v>
      </c>
    </row>
    <row r="57" spans="1:10" ht="19.5" customHeight="1" x14ac:dyDescent="0.15">
      <c r="A57" s="6" t="str">
        <f>IFERROR(IF(LARGE('Monthly Matrix'!$AI$4:$AN$76,54)&lt;0,"",INDEX('Monthly Matrix'!$A$4:$A$76,MATCH(LARGE('Monthly Matrix'!$AI$4:$AN$76,54),'Monthly Matrix'!$AI$4:$AN$76,0))),"")</f>
        <v/>
      </c>
      <c r="B57" s="6" t="str">
        <f>IFERROR(IF(LARGE('Monthly Matrix'!$AI$4:$AN$76,54)&lt;0,"",INDEX('Monthly Matrix'!$B$4:$B$76,MATCH(LARGE('Monthly Matrix'!$AI$4:$AN$76,54),'Monthly Matrix'!$AI$4:$AN$76,0))),"")</f>
        <v/>
      </c>
      <c r="C57" s="6" t="str">
        <f>IFERROR(IF(LARGE('Monthly Matrix'!$AI$4:$AN$76,54)&lt;0,"",INDEX('Monthly Matrix'!$V$4:$AA$76,MATCH(LARGE('Monthly Matrix'!$AI$4:$AN$76,54),'Monthly Matrix'!$AI$4:$AN$76,0))),"")</f>
        <v/>
      </c>
      <c r="D57" s="6" t="str">
        <f>IFERROR(IF(LARGE('Monthly Matrix'!$AI$4:$AN$76,54)&lt;0,"",INDEX('Monthly Matrix'!$G$4:$G$76,MATCH(LARGE('Monthly Matrix'!$AI$4:$AN$76,54),'Monthly Matrix'!$AI$4:$AN$76,0))),"")</f>
        <v/>
      </c>
      <c r="E57" s="6" t="e">
        <f>IF(LARGE('Monthly Matrix'!$AI$4:$AN$76,54)&lt;0,"",IF(INDEX('Monthly Matrix'!$V$4:$AA$76,MATCH(LARGE('Monthly Matrix'!$AI$4:$AN$76,54),'Monthly Matrix'!$AI$4:$AN$76,0))="HIGH","Site visit (3x per week)","Weekly check-in"))</f>
        <v>#N/A</v>
      </c>
      <c r="F57" s="6"/>
      <c r="G57" s="6"/>
      <c r="H57" s="6"/>
      <c r="I57" s="7"/>
      <c r="J57" s="6" t="str">
        <f>IF(LARGE('Monthly Matrix'!$AI$4:$AN$76,54)&lt;0,"","Scheduled")</f>
        <v>Scheduled</v>
      </c>
    </row>
    <row r="58" spans="1:10" ht="19.5" customHeight="1" x14ac:dyDescent="0.15">
      <c r="A58" s="10" t="str">
        <f>IFERROR(IF(LARGE('Monthly Matrix'!$AI$4:$AN$76,55)&lt;0,"",INDEX('Monthly Matrix'!$A$4:$A$76,MATCH(LARGE('Monthly Matrix'!$AI$4:$AN$76,55),'Monthly Matrix'!$AI$4:$AN$76,0))),"")</f>
        <v/>
      </c>
      <c r="B58" s="10" t="str">
        <f>IFERROR(IF(LARGE('Monthly Matrix'!$AI$4:$AN$76,55)&lt;0,"",INDEX('Monthly Matrix'!$B$4:$B$76,MATCH(LARGE('Monthly Matrix'!$AI$4:$AN$76,55),'Monthly Matrix'!$AI$4:$AN$76,0))),"")</f>
        <v/>
      </c>
      <c r="C58" s="10" t="str">
        <f>IFERROR(IF(LARGE('Monthly Matrix'!$AI$4:$AN$76,55)&lt;0,"",INDEX('Monthly Matrix'!$V$4:$AA$76,MATCH(LARGE('Monthly Matrix'!$AI$4:$AN$76,55),'Monthly Matrix'!$AI$4:$AN$76,0))),"")</f>
        <v/>
      </c>
      <c r="D58" s="10" t="str">
        <f>IFERROR(IF(LARGE('Monthly Matrix'!$AI$4:$AN$76,55)&lt;0,"",INDEX('Monthly Matrix'!$G$4:$G$76,MATCH(LARGE('Monthly Matrix'!$AI$4:$AN$76,55),'Monthly Matrix'!$AI$4:$AN$76,0))),"")</f>
        <v/>
      </c>
      <c r="E58" s="10" t="e">
        <f>IF(LARGE('Monthly Matrix'!$AI$4:$AN$76,55)&lt;0,"",IF(INDEX('Monthly Matrix'!$V$4:$AA$76,MATCH(LARGE('Monthly Matrix'!$AI$4:$AN$76,55),'Monthly Matrix'!$AI$4:$AN$76,0))="HIGH","Site visit (3x per week)","Weekly check-in"))</f>
        <v>#N/A</v>
      </c>
      <c r="F58" s="10"/>
      <c r="G58" s="10"/>
      <c r="H58" s="10"/>
      <c r="I58" s="11"/>
      <c r="J58" s="10" t="str">
        <f>IF(LARGE('Monthly Matrix'!$AI$4:$AN$76,55)&lt;0,"","Scheduled")</f>
        <v>Scheduled</v>
      </c>
    </row>
    <row r="59" spans="1:10" ht="19.5" customHeight="1" x14ac:dyDescent="0.15">
      <c r="A59" s="6" t="str">
        <f>IFERROR(IF(LARGE('Monthly Matrix'!$AI$4:$AN$76,56)&lt;0,"",INDEX('Monthly Matrix'!$A$4:$A$76,MATCH(LARGE('Monthly Matrix'!$AI$4:$AN$76,56),'Monthly Matrix'!$AI$4:$AN$76,0))),"")</f>
        <v/>
      </c>
      <c r="B59" s="6" t="str">
        <f>IFERROR(IF(LARGE('Monthly Matrix'!$AI$4:$AN$76,56)&lt;0,"",INDEX('Monthly Matrix'!$B$4:$B$76,MATCH(LARGE('Monthly Matrix'!$AI$4:$AN$76,56),'Monthly Matrix'!$AI$4:$AN$76,0))),"")</f>
        <v/>
      </c>
      <c r="C59" s="6" t="str">
        <f>IFERROR(IF(LARGE('Monthly Matrix'!$AI$4:$AN$76,56)&lt;0,"",INDEX('Monthly Matrix'!$V$4:$AA$76,MATCH(LARGE('Monthly Matrix'!$AI$4:$AN$76,56),'Monthly Matrix'!$AI$4:$AN$76,0))),"")</f>
        <v/>
      </c>
      <c r="D59" s="6" t="str">
        <f>IFERROR(IF(LARGE('Monthly Matrix'!$AI$4:$AN$76,56)&lt;0,"",INDEX('Monthly Matrix'!$G$4:$G$76,MATCH(LARGE('Monthly Matrix'!$AI$4:$AN$76,56),'Monthly Matrix'!$AI$4:$AN$76,0))),"")</f>
        <v/>
      </c>
      <c r="E59" s="6" t="e">
        <f>IF(LARGE('Monthly Matrix'!$AI$4:$AN$76,56)&lt;0,"",IF(INDEX('Monthly Matrix'!$V$4:$AA$76,MATCH(LARGE('Monthly Matrix'!$AI$4:$AN$76,56),'Monthly Matrix'!$AI$4:$AN$76,0))="HIGH","Site visit (3x per week)","Weekly check-in"))</f>
        <v>#N/A</v>
      </c>
      <c r="F59" s="6"/>
      <c r="G59" s="6"/>
      <c r="H59" s="6"/>
      <c r="I59" s="7"/>
      <c r="J59" s="6" t="str">
        <f>IF(LARGE('Monthly Matrix'!$AI$4:$AN$76,56)&lt;0,"","Scheduled")</f>
        <v>Scheduled</v>
      </c>
    </row>
    <row r="60" spans="1:10" ht="19.5" customHeight="1" x14ac:dyDescent="0.15">
      <c r="A60" s="10" t="str">
        <f>IFERROR(IF(LARGE('Monthly Matrix'!$AI$4:$AN$76,57)&lt;0,"",INDEX('Monthly Matrix'!$A$4:$A$76,MATCH(LARGE('Monthly Matrix'!$AI$4:$AN$76,57),'Monthly Matrix'!$AI$4:$AN$76,0))),"")</f>
        <v/>
      </c>
      <c r="B60" s="10" t="str">
        <f>IFERROR(IF(LARGE('Monthly Matrix'!$AI$4:$AN$76,57)&lt;0,"",INDEX('Monthly Matrix'!$B$4:$B$76,MATCH(LARGE('Monthly Matrix'!$AI$4:$AN$76,57),'Monthly Matrix'!$AI$4:$AN$76,0))),"")</f>
        <v/>
      </c>
      <c r="C60" s="10" t="str">
        <f>IFERROR(IF(LARGE('Monthly Matrix'!$AI$4:$AN$76,57)&lt;0,"",INDEX('Monthly Matrix'!$V$4:$AA$76,MATCH(LARGE('Monthly Matrix'!$AI$4:$AN$76,57),'Monthly Matrix'!$AI$4:$AN$76,0))),"")</f>
        <v/>
      </c>
      <c r="D60" s="10" t="str">
        <f>IFERROR(IF(LARGE('Monthly Matrix'!$AI$4:$AN$76,57)&lt;0,"",INDEX('Monthly Matrix'!$G$4:$G$76,MATCH(LARGE('Monthly Matrix'!$AI$4:$AN$76,57),'Monthly Matrix'!$AI$4:$AN$76,0))),"")</f>
        <v/>
      </c>
      <c r="E60" s="10" t="e">
        <f>IF(LARGE('Monthly Matrix'!$AI$4:$AN$76,57)&lt;0,"",IF(INDEX('Monthly Matrix'!$V$4:$AA$76,MATCH(LARGE('Monthly Matrix'!$AI$4:$AN$76,57),'Monthly Matrix'!$AI$4:$AN$76,0))="HIGH","Site visit (3x per week)","Weekly check-in"))</f>
        <v>#N/A</v>
      </c>
      <c r="F60" s="10"/>
      <c r="G60" s="10"/>
      <c r="H60" s="10"/>
      <c r="I60" s="11"/>
      <c r="J60" s="10" t="str">
        <f>IF(LARGE('Monthly Matrix'!$AI$4:$AN$76,57)&lt;0,"","Scheduled")</f>
        <v>Scheduled</v>
      </c>
    </row>
    <row r="61" spans="1:10" ht="19.5" customHeight="1" x14ac:dyDescent="0.15">
      <c r="A61" s="6" t="str">
        <f>IFERROR(IF(LARGE('Monthly Matrix'!$AI$4:$AN$76,58)&lt;0,"",INDEX('Monthly Matrix'!$A$4:$A$76,MATCH(LARGE('Monthly Matrix'!$AI$4:$AN$76,58),'Monthly Matrix'!$AI$4:$AN$76,0))),"")</f>
        <v/>
      </c>
      <c r="B61" s="6" t="str">
        <f>IFERROR(IF(LARGE('Monthly Matrix'!$AI$4:$AN$76,58)&lt;0,"",INDEX('Monthly Matrix'!$B$4:$B$76,MATCH(LARGE('Monthly Matrix'!$AI$4:$AN$76,58),'Monthly Matrix'!$AI$4:$AN$76,0))),"")</f>
        <v/>
      </c>
      <c r="C61" s="6" t="str">
        <f>IFERROR(IF(LARGE('Monthly Matrix'!$AI$4:$AN$76,58)&lt;0,"",INDEX('Monthly Matrix'!$V$4:$AA$76,MATCH(LARGE('Monthly Matrix'!$AI$4:$AN$76,58),'Monthly Matrix'!$AI$4:$AN$76,0))),"")</f>
        <v/>
      </c>
      <c r="D61" s="6" t="str">
        <f>IFERROR(IF(LARGE('Monthly Matrix'!$AI$4:$AN$76,58)&lt;0,"",INDEX('Monthly Matrix'!$G$4:$G$76,MATCH(LARGE('Monthly Matrix'!$AI$4:$AN$76,58),'Monthly Matrix'!$AI$4:$AN$76,0))),"")</f>
        <v/>
      </c>
      <c r="E61" s="6" t="e">
        <f>IF(LARGE('Monthly Matrix'!$AI$4:$AN$76,58)&lt;0,"",IF(INDEX('Monthly Matrix'!$V$4:$AA$76,MATCH(LARGE('Monthly Matrix'!$AI$4:$AN$76,58),'Monthly Matrix'!$AI$4:$AN$76,0))="HIGH","Site visit (3x per week)","Weekly check-in"))</f>
        <v>#N/A</v>
      </c>
      <c r="F61" s="6"/>
      <c r="G61" s="6"/>
      <c r="H61" s="6"/>
      <c r="I61" s="7"/>
      <c r="J61" s="6" t="str">
        <f>IF(LARGE('Monthly Matrix'!$AI$4:$AN$76,58)&lt;0,"","Scheduled")</f>
        <v>Scheduled</v>
      </c>
    </row>
    <row r="62" spans="1:10" ht="19.5" customHeight="1" x14ac:dyDescent="0.15">
      <c r="A62" s="10" t="str">
        <f>IFERROR(IF(LARGE('Monthly Matrix'!$AI$4:$AN$76,59)&lt;0,"",INDEX('Monthly Matrix'!$A$4:$A$76,MATCH(LARGE('Monthly Matrix'!$AI$4:$AN$76,59),'Monthly Matrix'!$AI$4:$AN$76,0))),"")</f>
        <v/>
      </c>
      <c r="B62" s="10" t="str">
        <f>IFERROR(IF(LARGE('Monthly Matrix'!$AI$4:$AN$76,59)&lt;0,"",INDEX('Monthly Matrix'!$B$4:$B$76,MATCH(LARGE('Monthly Matrix'!$AI$4:$AN$76,59),'Monthly Matrix'!$AI$4:$AN$76,0))),"")</f>
        <v/>
      </c>
      <c r="C62" s="10" t="str">
        <f>IFERROR(IF(LARGE('Monthly Matrix'!$AI$4:$AN$76,59)&lt;0,"",INDEX('Monthly Matrix'!$V$4:$AA$76,MATCH(LARGE('Monthly Matrix'!$AI$4:$AN$76,59),'Monthly Matrix'!$AI$4:$AN$76,0))),"")</f>
        <v/>
      </c>
      <c r="D62" s="10" t="str">
        <f>IFERROR(IF(LARGE('Monthly Matrix'!$AI$4:$AN$76,59)&lt;0,"",INDEX('Monthly Matrix'!$G$4:$G$76,MATCH(LARGE('Monthly Matrix'!$AI$4:$AN$76,59),'Monthly Matrix'!$AI$4:$AN$76,0))),"")</f>
        <v/>
      </c>
      <c r="E62" s="10" t="e">
        <f>IF(LARGE('Monthly Matrix'!$AI$4:$AN$76,59)&lt;0,"",IF(INDEX('Monthly Matrix'!$V$4:$AA$76,MATCH(LARGE('Monthly Matrix'!$AI$4:$AN$76,59),'Monthly Matrix'!$AI$4:$AN$76,0))="HIGH","Site visit (3x per week)","Weekly check-in"))</f>
        <v>#N/A</v>
      </c>
      <c r="F62" s="10"/>
      <c r="G62" s="10"/>
      <c r="H62" s="10"/>
      <c r="I62" s="11"/>
      <c r="J62" s="10" t="str">
        <f>IF(LARGE('Monthly Matrix'!$AI$4:$AN$76,59)&lt;0,"","Scheduled")</f>
        <v>Scheduled</v>
      </c>
    </row>
    <row r="63" spans="1:10" ht="19.5" customHeight="1" x14ac:dyDescent="0.15">
      <c r="A63" s="6" t="str">
        <f>IFERROR(IF(LARGE('Monthly Matrix'!$AI$4:$AN$76,60)&lt;0,"",INDEX('Monthly Matrix'!$A$4:$A$76,MATCH(LARGE('Monthly Matrix'!$AI$4:$AN$76,60),'Monthly Matrix'!$AI$4:$AN$76,0))),"")</f>
        <v/>
      </c>
      <c r="B63" s="6" t="str">
        <f>IFERROR(IF(LARGE('Monthly Matrix'!$AI$4:$AN$76,60)&lt;0,"",INDEX('Monthly Matrix'!$B$4:$B$76,MATCH(LARGE('Monthly Matrix'!$AI$4:$AN$76,60),'Monthly Matrix'!$AI$4:$AN$76,0))),"")</f>
        <v/>
      </c>
      <c r="C63" s="6" t="str">
        <f>IFERROR(IF(LARGE('Monthly Matrix'!$AI$4:$AN$76,60)&lt;0,"",INDEX('Monthly Matrix'!$V$4:$AA$76,MATCH(LARGE('Monthly Matrix'!$AI$4:$AN$76,60),'Monthly Matrix'!$AI$4:$AN$76,0))),"")</f>
        <v/>
      </c>
      <c r="D63" s="6" t="str">
        <f>IFERROR(IF(LARGE('Monthly Matrix'!$AI$4:$AN$76,60)&lt;0,"",INDEX('Monthly Matrix'!$G$4:$G$76,MATCH(LARGE('Monthly Matrix'!$AI$4:$AN$76,60),'Monthly Matrix'!$AI$4:$AN$76,0))),"")</f>
        <v/>
      </c>
      <c r="E63" s="6" t="e">
        <f>IF(LARGE('Monthly Matrix'!$AI$4:$AN$76,60)&lt;0,"",IF(INDEX('Monthly Matrix'!$V$4:$AA$76,MATCH(LARGE('Monthly Matrix'!$AI$4:$AN$76,60),'Monthly Matrix'!$AI$4:$AN$76,0))="HIGH","Site visit (3x per week)","Weekly check-in"))</f>
        <v>#N/A</v>
      </c>
      <c r="F63" s="6"/>
      <c r="G63" s="6"/>
      <c r="H63" s="6"/>
      <c r="I63" s="7"/>
      <c r="J63" s="6" t="str">
        <f>IF(LARGE('Monthly Matrix'!$AI$4:$AN$76,60)&lt;0,"","Scheduled")</f>
        <v>Scheduled</v>
      </c>
    </row>
    <row r="64" spans="1:10" ht="19.5" customHeight="1" x14ac:dyDescent="0.15">
      <c r="A64" s="10" t="str">
        <f>IFERROR(IF(LARGE('Monthly Matrix'!$AI$4:$AN$76,61)&lt;0,"",INDEX('Monthly Matrix'!$A$4:$A$76,MATCH(LARGE('Monthly Matrix'!$AI$4:$AN$76,61),'Monthly Matrix'!$AI$4:$AN$76,0))),"")</f>
        <v/>
      </c>
      <c r="B64" s="10" t="str">
        <f>IFERROR(IF(LARGE('Monthly Matrix'!$AI$4:$AN$76,61)&lt;0,"",INDEX('Monthly Matrix'!$B$4:$B$76,MATCH(LARGE('Monthly Matrix'!$AI$4:$AN$76,61),'Monthly Matrix'!$AI$4:$AN$76,0))),"")</f>
        <v/>
      </c>
      <c r="C64" s="10" t="str">
        <f>IFERROR(IF(LARGE('Monthly Matrix'!$AI$4:$AN$76,61)&lt;0,"",INDEX('Monthly Matrix'!$V$4:$AA$76,MATCH(LARGE('Monthly Matrix'!$AI$4:$AN$76,61),'Monthly Matrix'!$AI$4:$AN$76,0))),"")</f>
        <v/>
      </c>
      <c r="D64" s="10" t="str">
        <f>IFERROR(IF(LARGE('Monthly Matrix'!$AI$4:$AN$76,61)&lt;0,"",INDEX('Monthly Matrix'!$G$4:$G$76,MATCH(LARGE('Monthly Matrix'!$AI$4:$AN$76,61),'Monthly Matrix'!$AI$4:$AN$76,0))),"")</f>
        <v/>
      </c>
      <c r="E64" s="10" t="e">
        <f>IF(LARGE('Monthly Matrix'!$AI$4:$AN$76,61)&lt;0,"",IF(INDEX('Monthly Matrix'!$V$4:$AA$76,MATCH(LARGE('Monthly Matrix'!$AI$4:$AN$76,61),'Monthly Matrix'!$AI$4:$AN$76,0))="HIGH","Site visit (3x per week)","Weekly check-in"))</f>
        <v>#N/A</v>
      </c>
      <c r="F64" s="10"/>
      <c r="G64" s="10"/>
      <c r="H64" s="10"/>
      <c r="I64" s="11"/>
      <c r="J64" s="10" t="str">
        <f>IF(LARGE('Monthly Matrix'!$AI$4:$AN$76,61)&lt;0,"","Scheduled")</f>
        <v>Scheduled</v>
      </c>
    </row>
    <row r="65" spans="1:10" ht="19.5" customHeight="1" x14ac:dyDescent="0.15">
      <c r="A65" s="6" t="str">
        <f>IFERROR(IF(LARGE('Monthly Matrix'!$AI$4:$AN$76,62)&lt;0,"",INDEX('Monthly Matrix'!$A$4:$A$76,MATCH(LARGE('Monthly Matrix'!$AI$4:$AN$76,62),'Monthly Matrix'!$AI$4:$AN$76,0))),"")</f>
        <v/>
      </c>
      <c r="B65" s="6" t="str">
        <f>IFERROR(IF(LARGE('Monthly Matrix'!$AI$4:$AN$76,62)&lt;0,"",INDEX('Monthly Matrix'!$B$4:$B$76,MATCH(LARGE('Monthly Matrix'!$AI$4:$AN$76,62),'Monthly Matrix'!$AI$4:$AN$76,0))),"")</f>
        <v/>
      </c>
      <c r="C65" s="6" t="str">
        <f>IFERROR(IF(LARGE('Monthly Matrix'!$AI$4:$AN$76,62)&lt;0,"",INDEX('Monthly Matrix'!$V$4:$AA$76,MATCH(LARGE('Monthly Matrix'!$AI$4:$AN$76,62),'Monthly Matrix'!$AI$4:$AN$76,0))),"")</f>
        <v/>
      </c>
      <c r="D65" s="6" t="str">
        <f>IFERROR(IF(LARGE('Monthly Matrix'!$AI$4:$AN$76,62)&lt;0,"",INDEX('Monthly Matrix'!$G$4:$G$76,MATCH(LARGE('Monthly Matrix'!$AI$4:$AN$76,62),'Monthly Matrix'!$AI$4:$AN$76,0))),"")</f>
        <v/>
      </c>
      <c r="E65" s="6" t="e">
        <f>IF(LARGE('Monthly Matrix'!$AI$4:$AN$76,62)&lt;0,"",IF(INDEX('Monthly Matrix'!$V$4:$AA$76,MATCH(LARGE('Monthly Matrix'!$AI$4:$AN$76,62),'Monthly Matrix'!$AI$4:$AN$76,0))="HIGH","Site visit (3x per week)","Weekly check-in"))</f>
        <v>#N/A</v>
      </c>
      <c r="F65" s="6"/>
      <c r="G65" s="6"/>
      <c r="H65" s="6"/>
      <c r="I65" s="7"/>
      <c r="J65" s="6" t="str">
        <f>IF(LARGE('Monthly Matrix'!$AI$4:$AN$76,62)&lt;0,"","Scheduled")</f>
        <v>Scheduled</v>
      </c>
    </row>
    <row r="66" spans="1:10" ht="19.5" customHeight="1" x14ac:dyDescent="0.15">
      <c r="A66" s="10" t="str">
        <f>IFERROR(IF(LARGE('Monthly Matrix'!$AI$4:$AN$76,63)&lt;0,"",INDEX('Monthly Matrix'!$A$4:$A$76,MATCH(LARGE('Monthly Matrix'!$AI$4:$AN$76,63),'Monthly Matrix'!$AI$4:$AN$76,0))),"")</f>
        <v/>
      </c>
      <c r="B66" s="10" t="str">
        <f>IFERROR(IF(LARGE('Monthly Matrix'!$AI$4:$AN$76,63)&lt;0,"",INDEX('Monthly Matrix'!$B$4:$B$76,MATCH(LARGE('Monthly Matrix'!$AI$4:$AN$76,63),'Monthly Matrix'!$AI$4:$AN$76,0))),"")</f>
        <v/>
      </c>
      <c r="C66" s="10" t="str">
        <f>IFERROR(IF(LARGE('Monthly Matrix'!$AI$4:$AN$76,63)&lt;0,"",INDEX('Monthly Matrix'!$V$4:$AA$76,MATCH(LARGE('Monthly Matrix'!$AI$4:$AN$76,63),'Monthly Matrix'!$AI$4:$AN$76,0))),"")</f>
        <v/>
      </c>
      <c r="D66" s="10" t="str">
        <f>IFERROR(IF(LARGE('Monthly Matrix'!$AI$4:$AN$76,63)&lt;0,"",INDEX('Monthly Matrix'!$G$4:$G$76,MATCH(LARGE('Monthly Matrix'!$AI$4:$AN$76,63),'Monthly Matrix'!$AI$4:$AN$76,0))),"")</f>
        <v/>
      </c>
      <c r="E66" s="10" t="e">
        <f>IF(LARGE('Monthly Matrix'!$AI$4:$AN$76,63)&lt;0,"",IF(INDEX('Monthly Matrix'!$V$4:$AA$76,MATCH(LARGE('Monthly Matrix'!$AI$4:$AN$76,63),'Monthly Matrix'!$AI$4:$AN$76,0))="HIGH","Site visit (3x per week)","Weekly check-in"))</f>
        <v>#N/A</v>
      </c>
      <c r="F66" s="10"/>
      <c r="G66" s="10"/>
      <c r="H66" s="10"/>
      <c r="I66" s="11"/>
      <c r="J66" s="10" t="str">
        <f>IF(LARGE('Monthly Matrix'!$AI$4:$AN$76,63)&lt;0,"","Scheduled")</f>
        <v>Scheduled</v>
      </c>
    </row>
    <row r="67" spans="1:10" ht="19.5" customHeight="1" x14ac:dyDescent="0.15">
      <c r="A67" s="6" t="str">
        <f>IFERROR(IF(LARGE('Monthly Matrix'!$AI$4:$AN$76,64)&lt;0,"",INDEX('Monthly Matrix'!$A$4:$A$76,MATCH(LARGE('Monthly Matrix'!$AI$4:$AN$76,64),'Monthly Matrix'!$AI$4:$AN$76,0))),"")</f>
        <v/>
      </c>
      <c r="B67" s="6" t="str">
        <f>IFERROR(IF(LARGE('Monthly Matrix'!$AI$4:$AN$76,64)&lt;0,"",INDEX('Monthly Matrix'!$B$4:$B$76,MATCH(LARGE('Monthly Matrix'!$AI$4:$AN$76,64),'Monthly Matrix'!$AI$4:$AN$76,0))),"")</f>
        <v/>
      </c>
      <c r="C67" s="6" t="str">
        <f>IFERROR(IF(LARGE('Monthly Matrix'!$AI$4:$AN$76,64)&lt;0,"",INDEX('Monthly Matrix'!$V$4:$AA$76,MATCH(LARGE('Monthly Matrix'!$AI$4:$AN$76,64),'Monthly Matrix'!$AI$4:$AN$76,0))),"")</f>
        <v/>
      </c>
      <c r="D67" s="6" t="str">
        <f>IFERROR(IF(LARGE('Monthly Matrix'!$AI$4:$AN$76,64)&lt;0,"",INDEX('Monthly Matrix'!$G$4:$G$76,MATCH(LARGE('Monthly Matrix'!$AI$4:$AN$76,64),'Monthly Matrix'!$AI$4:$AN$76,0))),"")</f>
        <v/>
      </c>
      <c r="E67" s="6" t="e">
        <f>IF(LARGE('Monthly Matrix'!$AI$4:$AN$76,64)&lt;0,"",IF(INDEX('Monthly Matrix'!$V$4:$AA$76,MATCH(LARGE('Monthly Matrix'!$AI$4:$AN$76,64),'Monthly Matrix'!$AI$4:$AN$76,0))="HIGH","Site visit (3x per week)","Weekly check-in"))</f>
        <v>#N/A</v>
      </c>
      <c r="F67" s="6"/>
      <c r="G67" s="6"/>
      <c r="H67" s="6"/>
      <c r="I67" s="7"/>
      <c r="J67" s="6" t="str">
        <f>IF(LARGE('Monthly Matrix'!$AI$4:$AN$76,64)&lt;0,"","Scheduled")</f>
        <v>Scheduled</v>
      </c>
    </row>
    <row r="68" spans="1:10" ht="19.5" customHeight="1" x14ac:dyDescent="0.15">
      <c r="A68" s="10" t="str">
        <f>IFERROR(IF(LARGE('Monthly Matrix'!$AI$4:$AN$76,65)&lt;0,"",INDEX('Monthly Matrix'!$A$4:$A$76,MATCH(LARGE('Monthly Matrix'!$AI$4:$AN$76,65),'Monthly Matrix'!$AI$4:$AN$76,0))),"")</f>
        <v/>
      </c>
      <c r="B68" s="10" t="str">
        <f>IFERROR(IF(LARGE('Monthly Matrix'!$AI$4:$AN$76,65)&lt;0,"",INDEX('Monthly Matrix'!$B$4:$B$76,MATCH(LARGE('Monthly Matrix'!$AI$4:$AN$76,65),'Monthly Matrix'!$AI$4:$AN$76,0))),"")</f>
        <v/>
      </c>
      <c r="C68" s="10" t="str">
        <f>IFERROR(IF(LARGE('Monthly Matrix'!$AI$4:$AN$76,65)&lt;0,"",INDEX('Monthly Matrix'!$V$4:$AA$76,MATCH(LARGE('Monthly Matrix'!$AI$4:$AN$76,65),'Monthly Matrix'!$AI$4:$AN$76,0))),"")</f>
        <v/>
      </c>
      <c r="D68" s="10" t="str">
        <f>IFERROR(IF(LARGE('Monthly Matrix'!$AI$4:$AN$76,65)&lt;0,"",INDEX('Monthly Matrix'!$G$4:$G$76,MATCH(LARGE('Monthly Matrix'!$AI$4:$AN$76,65),'Monthly Matrix'!$AI$4:$AN$76,0))),"")</f>
        <v/>
      </c>
      <c r="E68" s="10" t="e">
        <f>IF(LARGE('Monthly Matrix'!$AI$4:$AN$76,65)&lt;0,"",IF(INDEX('Monthly Matrix'!$V$4:$AA$76,MATCH(LARGE('Monthly Matrix'!$AI$4:$AN$76,65),'Monthly Matrix'!$AI$4:$AN$76,0))="HIGH","Site visit (3x per week)","Weekly check-in"))</f>
        <v>#N/A</v>
      </c>
      <c r="F68" s="10"/>
      <c r="G68" s="10"/>
      <c r="H68" s="10"/>
      <c r="I68" s="11"/>
      <c r="J68" s="10" t="str">
        <f>IF(LARGE('Monthly Matrix'!$AI$4:$AN$76,65)&lt;0,"","Scheduled")</f>
        <v>Scheduled</v>
      </c>
    </row>
    <row r="69" spans="1:10" ht="19.5" customHeight="1" x14ac:dyDescent="0.15">
      <c r="A69" s="6" t="str">
        <f>IFERROR(IF(LARGE('Monthly Matrix'!$AI$4:$AN$76,66)&lt;0,"",INDEX('Monthly Matrix'!$A$4:$A$76,MATCH(LARGE('Monthly Matrix'!$AI$4:$AN$76,66),'Monthly Matrix'!$AI$4:$AN$76,0))),"")</f>
        <v/>
      </c>
      <c r="B69" s="6" t="str">
        <f>IFERROR(IF(LARGE('Monthly Matrix'!$AI$4:$AN$76,66)&lt;0,"",INDEX('Monthly Matrix'!$B$4:$B$76,MATCH(LARGE('Monthly Matrix'!$AI$4:$AN$76,66),'Monthly Matrix'!$AI$4:$AN$76,0))),"")</f>
        <v/>
      </c>
      <c r="C69" s="6" t="str">
        <f>IFERROR(IF(LARGE('Monthly Matrix'!$AI$4:$AN$76,66)&lt;0,"",INDEX('Monthly Matrix'!$V$4:$AA$76,MATCH(LARGE('Monthly Matrix'!$AI$4:$AN$76,66),'Monthly Matrix'!$AI$4:$AN$76,0))),"")</f>
        <v/>
      </c>
      <c r="D69" s="6" t="str">
        <f>IFERROR(IF(LARGE('Monthly Matrix'!$AI$4:$AN$76,66)&lt;0,"",INDEX('Monthly Matrix'!$G$4:$G$76,MATCH(LARGE('Monthly Matrix'!$AI$4:$AN$76,66),'Monthly Matrix'!$AI$4:$AN$76,0))),"")</f>
        <v/>
      </c>
      <c r="E69" s="6" t="e">
        <f>IF(LARGE('Monthly Matrix'!$AI$4:$AN$76,66)&lt;0,"",IF(INDEX('Monthly Matrix'!$V$4:$AA$76,MATCH(LARGE('Monthly Matrix'!$AI$4:$AN$76,66),'Monthly Matrix'!$AI$4:$AN$76,0))="HIGH","Site visit (3x per week)","Weekly check-in"))</f>
        <v>#N/A</v>
      </c>
      <c r="F69" s="6"/>
      <c r="G69" s="6"/>
      <c r="H69" s="6"/>
      <c r="I69" s="7"/>
      <c r="J69" s="6" t="str">
        <f>IF(LARGE('Monthly Matrix'!$AI$4:$AN$76,66)&lt;0,"","Scheduled")</f>
        <v>Scheduled</v>
      </c>
    </row>
    <row r="70" spans="1:10" ht="19.5" customHeight="1" x14ac:dyDescent="0.15">
      <c r="A70" s="10" t="str">
        <f>IFERROR(IF(LARGE('Monthly Matrix'!$AI$4:$AN$76,67)&lt;0,"",INDEX('Monthly Matrix'!$A$4:$A$76,MATCH(LARGE('Monthly Matrix'!$AI$4:$AN$76,67),'Monthly Matrix'!$AI$4:$AN$76,0))),"")</f>
        <v/>
      </c>
      <c r="B70" s="10" t="str">
        <f>IFERROR(IF(LARGE('Monthly Matrix'!$AI$4:$AN$76,67)&lt;0,"",INDEX('Monthly Matrix'!$B$4:$B$76,MATCH(LARGE('Monthly Matrix'!$AI$4:$AN$76,67),'Monthly Matrix'!$AI$4:$AN$76,0))),"")</f>
        <v/>
      </c>
      <c r="C70" s="10" t="str">
        <f>IFERROR(IF(LARGE('Monthly Matrix'!$AI$4:$AN$76,67)&lt;0,"",INDEX('Monthly Matrix'!$V$4:$AA$76,MATCH(LARGE('Monthly Matrix'!$AI$4:$AN$76,67),'Monthly Matrix'!$AI$4:$AN$76,0))),"")</f>
        <v/>
      </c>
      <c r="D70" s="10" t="str">
        <f>IFERROR(IF(LARGE('Monthly Matrix'!$AI$4:$AN$76,67)&lt;0,"",INDEX('Monthly Matrix'!$G$4:$G$76,MATCH(LARGE('Monthly Matrix'!$AI$4:$AN$76,67),'Monthly Matrix'!$AI$4:$AN$76,0))),"")</f>
        <v/>
      </c>
      <c r="E70" s="10" t="e">
        <f>IF(LARGE('Monthly Matrix'!$AI$4:$AN$76,67)&lt;0,"",IF(INDEX('Monthly Matrix'!$V$4:$AA$76,MATCH(LARGE('Monthly Matrix'!$AI$4:$AN$76,67),'Monthly Matrix'!$AI$4:$AN$76,0))="HIGH","Site visit (3x per week)","Weekly check-in"))</f>
        <v>#N/A</v>
      </c>
      <c r="F70" s="10"/>
      <c r="G70" s="10"/>
      <c r="H70" s="10"/>
      <c r="I70" s="11"/>
      <c r="J70" s="10" t="str">
        <f>IF(LARGE('Monthly Matrix'!$AI$4:$AN$76,67)&lt;0,"","Scheduled")</f>
        <v>Scheduled</v>
      </c>
    </row>
    <row r="71" spans="1:10" ht="19.5" customHeight="1" x14ac:dyDescent="0.15">
      <c r="A71" s="6" t="str">
        <f>IFERROR(IF(LARGE('Monthly Matrix'!$AI$4:$AN$76,68)&lt;0,"",INDEX('Monthly Matrix'!$A$4:$A$76,MATCH(LARGE('Monthly Matrix'!$AI$4:$AN$76,68),'Monthly Matrix'!$AI$4:$AN$76,0))),"")</f>
        <v/>
      </c>
      <c r="B71" s="6" t="str">
        <f>IFERROR(IF(LARGE('Monthly Matrix'!$AI$4:$AN$76,68)&lt;0,"",INDEX('Monthly Matrix'!$B$4:$B$76,MATCH(LARGE('Monthly Matrix'!$AI$4:$AN$76,68),'Monthly Matrix'!$AI$4:$AN$76,0))),"")</f>
        <v/>
      </c>
      <c r="C71" s="6" t="str">
        <f>IFERROR(IF(LARGE('Monthly Matrix'!$AI$4:$AN$76,68)&lt;0,"",INDEX('Monthly Matrix'!$V$4:$AA$76,MATCH(LARGE('Monthly Matrix'!$AI$4:$AN$76,68),'Monthly Matrix'!$AI$4:$AN$76,0))),"")</f>
        <v/>
      </c>
      <c r="D71" s="6" t="str">
        <f>IFERROR(IF(LARGE('Monthly Matrix'!$AI$4:$AN$76,68)&lt;0,"",INDEX('Monthly Matrix'!$G$4:$G$76,MATCH(LARGE('Monthly Matrix'!$AI$4:$AN$76,68),'Monthly Matrix'!$AI$4:$AN$76,0))),"")</f>
        <v/>
      </c>
      <c r="E71" s="6" t="e">
        <f>IF(LARGE('Monthly Matrix'!$AI$4:$AN$76,68)&lt;0,"",IF(INDEX('Monthly Matrix'!$V$4:$AA$76,MATCH(LARGE('Monthly Matrix'!$AI$4:$AN$76,68),'Monthly Matrix'!$AI$4:$AN$76,0))="HIGH","Site visit (3x per week)","Weekly check-in"))</f>
        <v>#N/A</v>
      </c>
      <c r="F71" s="6"/>
      <c r="G71" s="6"/>
      <c r="H71" s="6"/>
      <c r="I71" s="7"/>
      <c r="J71" s="6" t="str">
        <f>IF(LARGE('Monthly Matrix'!$AI$4:$AN$76,68)&lt;0,"","Scheduled")</f>
        <v>Scheduled</v>
      </c>
    </row>
    <row r="72" spans="1:10" ht="19.5" customHeight="1" x14ac:dyDescent="0.15">
      <c r="A72" s="10" t="str">
        <f>IFERROR(IF(LARGE('Monthly Matrix'!$AI$4:$AN$76,69)&lt;0,"",INDEX('Monthly Matrix'!$A$4:$A$76,MATCH(LARGE('Monthly Matrix'!$AI$4:$AN$76,69),'Monthly Matrix'!$AI$4:$AN$76,0))),"")</f>
        <v/>
      </c>
      <c r="B72" s="10" t="str">
        <f>IFERROR(IF(LARGE('Monthly Matrix'!$AI$4:$AN$76,69)&lt;0,"",INDEX('Monthly Matrix'!$B$4:$B$76,MATCH(LARGE('Monthly Matrix'!$AI$4:$AN$76,69),'Monthly Matrix'!$AI$4:$AN$76,0))),"")</f>
        <v/>
      </c>
      <c r="C72" s="10" t="str">
        <f>IFERROR(IF(LARGE('Monthly Matrix'!$AI$4:$AN$76,69)&lt;0,"",INDEX('Monthly Matrix'!$V$4:$AA$76,MATCH(LARGE('Monthly Matrix'!$AI$4:$AN$76,69),'Monthly Matrix'!$AI$4:$AN$76,0))),"")</f>
        <v/>
      </c>
      <c r="D72" s="10" t="str">
        <f>IFERROR(IF(LARGE('Monthly Matrix'!$AI$4:$AN$76,69)&lt;0,"",INDEX('Monthly Matrix'!$G$4:$G$76,MATCH(LARGE('Monthly Matrix'!$AI$4:$AN$76,69),'Monthly Matrix'!$AI$4:$AN$76,0))),"")</f>
        <v/>
      </c>
      <c r="E72" s="10" t="e">
        <f>IF(LARGE('Monthly Matrix'!$AI$4:$AN$76,69)&lt;0,"",IF(INDEX('Monthly Matrix'!$V$4:$AA$76,MATCH(LARGE('Monthly Matrix'!$AI$4:$AN$76,69),'Monthly Matrix'!$AI$4:$AN$76,0))="HIGH","Site visit (3x per week)","Weekly check-in"))</f>
        <v>#N/A</v>
      </c>
      <c r="F72" s="10"/>
      <c r="G72" s="10"/>
      <c r="H72" s="10"/>
      <c r="I72" s="11"/>
      <c r="J72" s="10" t="str">
        <f>IF(LARGE('Monthly Matrix'!$AI$4:$AN$76,69)&lt;0,"","Scheduled")</f>
        <v>Scheduled</v>
      </c>
    </row>
    <row r="73" spans="1:10" ht="19.5" customHeight="1" x14ac:dyDescent="0.15">
      <c r="A73" s="6" t="str">
        <f>IFERROR(IF(LARGE('Monthly Matrix'!$AI$4:$AN$76,70)&lt;0,"",INDEX('Monthly Matrix'!$A$4:$A$76,MATCH(LARGE('Monthly Matrix'!$AI$4:$AN$76,70),'Monthly Matrix'!$AI$4:$AN$76,0))),"")</f>
        <v/>
      </c>
      <c r="B73" s="6" t="str">
        <f>IFERROR(IF(LARGE('Monthly Matrix'!$AI$4:$AN$76,70)&lt;0,"",INDEX('Monthly Matrix'!$B$4:$B$76,MATCH(LARGE('Monthly Matrix'!$AI$4:$AN$76,70),'Monthly Matrix'!$AI$4:$AN$76,0))),"")</f>
        <v/>
      </c>
      <c r="C73" s="6" t="str">
        <f>IFERROR(IF(LARGE('Monthly Matrix'!$AI$4:$AN$76,70)&lt;0,"",INDEX('Monthly Matrix'!$V$4:$AA$76,MATCH(LARGE('Monthly Matrix'!$AI$4:$AN$76,70),'Monthly Matrix'!$AI$4:$AN$76,0))),"")</f>
        <v/>
      </c>
      <c r="D73" s="6" t="str">
        <f>IFERROR(IF(LARGE('Monthly Matrix'!$AI$4:$AN$76,70)&lt;0,"",INDEX('Monthly Matrix'!$G$4:$G$76,MATCH(LARGE('Monthly Matrix'!$AI$4:$AN$76,70),'Monthly Matrix'!$AI$4:$AN$76,0))),"")</f>
        <v/>
      </c>
      <c r="E73" s="6" t="e">
        <f>IF(LARGE('Monthly Matrix'!$AI$4:$AN$76,70)&lt;0,"",IF(INDEX('Monthly Matrix'!$V$4:$AA$76,MATCH(LARGE('Monthly Matrix'!$AI$4:$AN$76,70),'Monthly Matrix'!$AI$4:$AN$76,0))="HIGH","Site visit (3x per week)","Weekly check-in"))</f>
        <v>#N/A</v>
      </c>
      <c r="F73" s="6"/>
      <c r="G73" s="6"/>
      <c r="H73" s="6"/>
      <c r="I73" s="7"/>
      <c r="J73" s="6" t="str">
        <f>IF(LARGE('Monthly Matrix'!$AI$4:$AN$76,70)&lt;0,"","Scheduled")</f>
        <v>Scheduled</v>
      </c>
    </row>
    <row r="74" spans="1:10" ht="19.5" customHeight="1" x14ac:dyDescent="0.15">
      <c r="A74" s="10" t="str">
        <f>IFERROR(IF(LARGE('Monthly Matrix'!$AI$4:$AN$76,71)&lt;0,"",INDEX('Monthly Matrix'!$A$4:$A$76,MATCH(LARGE('Monthly Matrix'!$AI$4:$AN$76,71),'Monthly Matrix'!$AI$4:$AN$76,0))),"")</f>
        <v/>
      </c>
      <c r="B74" s="10" t="str">
        <f>IFERROR(IF(LARGE('Monthly Matrix'!$AI$4:$AN$76,71)&lt;0,"",INDEX('Monthly Matrix'!$B$4:$B$76,MATCH(LARGE('Monthly Matrix'!$AI$4:$AN$76,71),'Monthly Matrix'!$AI$4:$AN$76,0))),"")</f>
        <v/>
      </c>
      <c r="C74" s="10" t="str">
        <f>IFERROR(IF(LARGE('Monthly Matrix'!$AI$4:$AN$76,71)&lt;0,"",INDEX('Monthly Matrix'!$V$4:$AA$76,MATCH(LARGE('Monthly Matrix'!$AI$4:$AN$76,71),'Monthly Matrix'!$AI$4:$AN$76,0))),"")</f>
        <v/>
      </c>
      <c r="D74" s="10" t="str">
        <f>IFERROR(IF(LARGE('Monthly Matrix'!$AI$4:$AN$76,71)&lt;0,"",INDEX('Monthly Matrix'!$G$4:$G$76,MATCH(LARGE('Monthly Matrix'!$AI$4:$AN$76,71),'Monthly Matrix'!$AI$4:$AN$76,0))),"")</f>
        <v/>
      </c>
      <c r="E74" s="10" t="e">
        <f>IF(LARGE('Monthly Matrix'!$AI$4:$AN$76,71)&lt;0,"",IF(INDEX('Monthly Matrix'!$V$4:$AA$76,MATCH(LARGE('Monthly Matrix'!$AI$4:$AN$76,71),'Monthly Matrix'!$AI$4:$AN$76,0))="HIGH","Site visit (3x per week)","Weekly check-in"))</f>
        <v>#N/A</v>
      </c>
      <c r="F74" s="10"/>
      <c r="G74" s="10"/>
      <c r="H74" s="10"/>
      <c r="I74" s="11"/>
      <c r="J74" s="10" t="str">
        <f>IF(LARGE('Monthly Matrix'!$AI$4:$AN$76,71)&lt;0,"","Scheduled")</f>
        <v>Scheduled</v>
      </c>
    </row>
    <row r="75" spans="1:10" ht="19.5" customHeight="1" x14ac:dyDescent="0.15">
      <c r="A75" s="6" t="str">
        <f>IFERROR(IF(LARGE('Monthly Matrix'!$AI$4:$AN$76,72)&lt;0,"",INDEX('Monthly Matrix'!$A$4:$A$76,MATCH(LARGE('Monthly Matrix'!$AI$4:$AN$76,72),'Monthly Matrix'!$AI$4:$AN$76,0))),"")</f>
        <v/>
      </c>
      <c r="B75" s="6" t="str">
        <f>IFERROR(IF(LARGE('Monthly Matrix'!$AI$4:$AN$76,72)&lt;0,"",INDEX('Monthly Matrix'!$B$4:$B$76,MATCH(LARGE('Monthly Matrix'!$AI$4:$AN$76,72),'Monthly Matrix'!$AI$4:$AN$76,0))),"")</f>
        <v/>
      </c>
      <c r="C75" s="6" t="str">
        <f>IFERROR(IF(LARGE('Monthly Matrix'!$AI$4:$AN$76,72)&lt;0,"",INDEX('Monthly Matrix'!$V$4:$AA$76,MATCH(LARGE('Monthly Matrix'!$AI$4:$AN$76,72),'Monthly Matrix'!$AI$4:$AN$76,0))),"")</f>
        <v/>
      </c>
      <c r="D75" s="6" t="str">
        <f>IFERROR(IF(LARGE('Monthly Matrix'!$AI$4:$AN$76,72)&lt;0,"",INDEX('Monthly Matrix'!$G$4:$G$76,MATCH(LARGE('Monthly Matrix'!$AI$4:$AN$76,72),'Monthly Matrix'!$AI$4:$AN$76,0))),"")</f>
        <v/>
      </c>
      <c r="E75" s="6" t="e">
        <f>IF(LARGE('Monthly Matrix'!$AI$4:$AN$76,72)&lt;0,"",IF(INDEX('Monthly Matrix'!$V$4:$AA$76,MATCH(LARGE('Monthly Matrix'!$AI$4:$AN$76,72),'Monthly Matrix'!$AI$4:$AN$76,0))="HIGH","Site visit (3x per week)","Weekly check-in"))</f>
        <v>#N/A</v>
      </c>
      <c r="F75" s="6"/>
      <c r="G75" s="6"/>
      <c r="H75" s="6"/>
      <c r="I75" s="7"/>
      <c r="J75" s="6" t="str">
        <f>IF(LARGE('Monthly Matrix'!$AI$4:$AN$76,72)&lt;0,"","Scheduled")</f>
        <v>Scheduled</v>
      </c>
    </row>
    <row r="76" spans="1:10" ht="19.5" customHeight="1" x14ac:dyDescent="0.15">
      <c r="A76" s="10" t="str">
        <f>IFERROR(IF(LARGE('Monthly Matrix'!$AI$4:$AN$76,73)&lt;0,"",INDEX('Monthly Matrix'!$A$4:$A$76,MATCH(LARGE('Monthly Matrix'!$AI$4:$AN$76,73),'Monthly Matrix'!$AI$4:$AN$76,0))),"")</f>
        <v/>
      </c>
      <c r="B76" s="10" t="str">
        <f>IFERROR(IF(LARGE('Monthly Matrix'!$AI$4:$AN$76,73)&lt;0,"",INDEX('Monthly Matrix'!$B$4:$B$76,MATCH(LARGE('Monthly Matrix'!$AI$4:$AN$76,73),'Monthly Matrix'!$AI$4:$AN$76,0))),"")</f>
        <v/>
      </c>
      <c r="C76" s="10" t="str">
        <f>IFERROR(IF(LARGE('Monthly Matrix'!$AI$4:$AN$76,73)&lt;0,"",INDEX('Monthly Matrix'!$V$4:$AA$76,MATCH(LARGE('Monthly Matrix'!$AI$4:$AN$76,73),'Monthly Matrix'!$AI$4:$AN$76,0))),"")</f>
        <v/>
      </c>
      <c r="D76" s="10" t="str">
        <f>IFERROR(IF(LARGE('Monthly Matrix'!$AI$4:$AN$76,73)&lt;0,"",INDEX('Monthly Matrix'!$G$4:$G$76,MATCH(LARGE('Monthly Matrix'!$AI$4:$AN$76,73),'Monthly Matrix'!$AI$4:$AN$76,0))),"")</f>
        <v/>
      </c>
      <c r="E76" s="10" t="e">
        <f>IF(LARGE('Monthly Matrix'!$AI$4:$AN$76,73)&lt;0,"",IF(INDEX('Monthly Matrix'!$V$4:$AA$76,MATCH(LARGE('Monthly Matrix'!$AI$4:$AN$76,73),'Monthly Matrix'!$AI$4:$AN$76,0))="HIGH","Site visit (3x per week)","Weekly check-in"))</f>
        <v>#N/A</v>
      </c>
      <c r="F76" s="10"/>
      <c r="G76" s="10"/>
      <c r="H76" s="10"/>
      <c r="I76" s="11"/>
      <c r="J76" s="10" t="str">
        <f>IF(LARGE('Monthly Matrix'!$AI$4:$AN$76,73)&lt;0,"","Scheduled")</f>
        <v>Scheduled</v>
      </c>
    </row>
    <row r="77" spans="1:10" ht="19.5" customHeight="1" x14ac:dyDescent="0.15">
      <c r="A77" s="6"/>
      <c r="B77" s="6"/>
      <c r="C77" s="6"/>
      <c r="D77" s="6"/>
      <c r="E77" s="6"/>
      <c r="F77" s="6"/>
      <c r="G77" s="6"/>
      <c r="H77" s="6"/>
      <c r="I77" s="7"/>
      <c r="J77" s="6"/>
    </row>
    <row r="78" spans="1:10" ht="19.5" customHeight="1" x14ac:dyDescent="0.15">
      <c r="A78" s="10"/>
      <c r="B78" s="10"/>
      <c r="C78" s="10"/>
      <c r="D78" s="10"/>
      <c r="E78" s="10"/>
      <c r="F78" s="10"/>
      <c r="G78" s="10"/>
      <c r="H78" s="10"/>
      <c r="I78" s="11"/>
      <c r="J78" s="10"/>
    </row>
    <row r="79" spans="1:10" ht="19.5" customHeight="1" x14ac:dyDescent="0.15">
      <c r="A79" s="6"/>
      <c r="B79" s="6"/>
      <c r="C79" s="6"/>
      <c r="D79" s="6"/>
      <c r="E79" s="6"/>
      <c r="F79" s="6"/>
      <c r="G79" s="6"/>
      <c r="H79" s="6"/>
      <c r="I79" s="7"/>
      <c r="J79" s="6"/>
    </row>
    <row r="80" spans="1:10" ht="19.5" customHeight="1" x14ac:dyDescent="0.15">
      <c r="A80" s="10"/>
      <c r="B80" s="10"/>
      <c r="C80" s="10"/>
      <c r="D80" s="10"/>
      <c r="E80" s="10"/>
      <c r="F80" s="10"/>
      <c r="G80" s="10"/>
      <c r="H80" s="10"/>
      <c r="I80" s="11"/>
      <c r="J80" s="10"/>
    </row>
    <row r="81" spans="1:10" ht="19.5" customHeight="1" x14ac:dyDescent="0.15">
      <c r="A81" s="6"/>
      <c r="B81" s="6"/>
      <c r="C81" s="6"/>
      <c r="D81" s="6"/>
      <c r="E81" s="6"/>
      <c r="F81" s="6"/>
      <c r="G81" s="6"/>
      <c r="H81" s="6"/>
      <c r="I81" s="7"/>
      <c r="J81" s="6"/>
    </row>
    <row r="82" spans="1:10" ht="19.5" customHeight="1" x14ac:dyDescent="0.15">
      <c r="A82" s="10"/>
      <c r="B82" s="10"/>
      <c r="C82" s="10"/>
      <c r="D82" s="10"/>
      <c r="E82" s="10"/>
      <c r="F82" s="10"/>
      <c r="G82" s="10"/>
      <c r="H82" s="10"/>
      <c r="I82" s="11"/>
      <c r="J82" s="10"/>
    </row>
    <row r="83" spans="1:10" ht="19.5" customHeight="1" x14ac:dyDescent="0.15">
      <c r="A83" s="6"/>
      <c r="B83" s="6"/>
      <c r="C83" s="6"/>
      <c r="D83" s="6"/>
      <c r="E83" s="6"/>
      <c r="F83" s="6"/>
      <c r="G83" s="6"/>
      <c r="H83" s="6"/>
      <c r="I83" s="7"/>
      <c r="J83" s="6"/>
    </row>
    <row r="84" spans="1:10" ht="19.5" customHeight="1" x14ac:dyDescent="0.15">
      <c r="A84" s="10"/>
      <c r="B84" s="10"/>
      <c r="C84" s="10"/>
      <c r="D84" s="10"/>
      <c r="E84" s="10"/>
      <c r="F84" s="10"/>
      <c r="G84" s="10"/>
      <c r="H84" s="10"/>
      <c r="I84" s="11"/>
      <c r="J84" s="10"/>
    </row>
    <row r="85" spans="1:10" ht="19.5" customHeight="1" x14ac:dyDescent="0.15">
      <c r="A85" s="6"/>
      <c r="B85" s="6"/>
      <c r="C85" s="6"/>
      <c r="D85" s="6"/>
      <c r="E85" s="6"/>
      <c r="F85" s="6"/>
      <c r="G85" s="6"/>
      <c r="H85" s="6"/>
      <c r="I85" s="7"/>
      <c r="J85" s="6"/>
    </row>
    <row r="86" spans="1:10" ht="19.5" customHeight="1" x14ac:dyDescent="0.15">
      <c r="A86" s="10"/>
      <c r="B86" s="10"/>
      <c r="C86" s="10"/>
      <c r="D86" s="10"/>
      <c r="E86" s="10"/>
      <c r="F86" s="10"/>
      <c r="G86" s="10"/>
      <c r="H86" s="10"/>
      <c r="I86" s="11"/>
      <c r="J86" s="10"/>
    </row>
    <row r="87" spans="1:10" ht="19.5" customHeight="1" x14ac:dyDescent="0.15">
      <c r="A87" s="6"/>
      <c r="B87" s="6"/>
      <c r="C87" s="6"/>
      <c r="D87" s="6"/>
      <c r="E87" s="6"/>
      <c r="F87" s="6"/>
      <c r="G87" s="6"/>
      <c r="H87" s="6"/>
      <c r="I87" s="7"/>
      <c r="J87" s="6"/>
    </row>
    <row r="88" spans="1:10" ht="19.5" customHeight="1" x14ac:dyDescent="0.15">
      <c r="A88" s="10"/>
      <c r="B88" s="10"/>
      <c r="C88" s="10"/>
      <c r="D88" s="10"/>
      <c r="E88" s="10"/>
      <c r="F88" s="10"/>
      <c r="G88" s="10"/>
      <c r="H88" s="10"/>
      <c r="I88" s="11"/>
      <c r="J88" s="10"/>
    </row>
    <row r="89" spans="1:10" ht="19.5" customHeight="1" x14ac:dyDescent="0.15">
      <c r="A89" s="6"/>
      <c r="B89" s="6"/>
      <c r="C89" s="6"/>
      <c r="D89" s="6"/>
      <c r="E89" s="6"/>
      <c r="F89" s="6"/>
      <c r="G89" s="6"/>
      <c r="H89" s="6"/>
      <c r="I89" s="7"/>
      <c r="J89" s="6"/>
    </row>
    <row r="90" spans="1:10" ht="19.5" customHeight="1" x14ac:dyDescent="0.15">
      <c r="A90" s="10"/>
      <c r="B90" s="10"/>
      <c r="C90" s="10"/>
      <c r="D90" s="10"/>
      <c r="E90" s="10"/>
      <c r="F90" s="10"/>
      <c r="G90" s="10"/>
      <c r="H90" s="10"/>
      <c r="I90" s="11"/>
      <c r="J90" s="10"/>
    </row>
    <row r="91" spans="1:10" ht="19.5" customHeight="1" x14ac:dyDescent="0.15">
      <c r="A91" s="6"/>
      <c r="B91" s="6"/>
      <c r="C91" s="6"/>
      <c r="D91" s="6"/>
      <c r="E91" s="6"/>
      <c r="F91" s="6"/>
      <c r="G91" s="6"/>
      <c r="H91" s="6"/>
      <c r="I91" s="7"/>
      <c r="J91" s="6"/>
    </row>
    <row r="92" spans="1:10" ht="19.5" customHeight="1" x14ac:dyDescent="0.15">
      <c r="A92" s="10"/>
      <c r="B92" s="10"/>
      <c r="C92" s="10"/>
      <c r="D92" s="10"/>
      <c r="E92" s="10"/>
      <c r="F92" s="10"/>
      <c r="G92" s="10"/>
      <c r="H92" s="10"/>
      <c r="I92" s="11"/>
      <c r="J92" s="10"/>
    </row>
    <row r="93" spans="1:10" ht="19.5" customHeight="1" x14ac:dyDescent="0.15">
      <c r="A93" s="6"/>
      <c r="B93" s="6"/>
      <c r="C93" s="6"/>
      <c r="D93" s="6"/>
      <c r="E93" s="6"/>
      <c r="F93" s="6"/>
      <c r="G93" s="6"/>
      <c r="H93" s="6"/>
      <c r="I93" s="7"/>
      <c r="J93" s="6"/>
    </row>
    <row r="94" spans="1:10" ht="19.5" customHeight="1" x14ac:dyDescent="0.15">
      <c r="A94" s="10"/>
      <c r="B94" s="10"/>
      <c r="C94" s="10"/>
      <c r="D94" s="10"/>
      <c r="E94" s="10"/>
      <c r="F94" s="10"/>
      <c r="G94" s="10"/>
      <c r="H94" s="10"/>
      <c r="I94" s="11"/>
      <c r="J94" s="10"/>
    </row>
    <row r="95" spans="1:10" ht="19.5" customHeight="1" x14ac:dyDescent="0.15">
      <c r="A95" s="6"/>
      <c r="B95" s="6"/>
      <c r="C95" s="6"/>
      <c r="D95" s="6"/>
      <c r="E95" s="6"/>
      <c r="F95" s="6"/>
      <c r="G95" s="6"/>
      <c r="H95" s="6"/>
      <c r="I95" s="7"/>
      <c r="J95" s="6"/>
    </row>
    <row r="96" spans="1:10" ht="19.5" customHeight="1" x14ac:dyDescent="0.15">
      <c r="A96" s="10"/>
      <c r="B96" s="10"/>
      <c r="C96" s="10"/>
      <c r="D96" s="10"/>
      <c r="E96" s="10"/>
      <c r="F96" s="10"/>
      <c r="G96" s="10"/>
      <c r="H96" s="10"/>
      <c r="I96" s="11"/>
      <c r="J96" s="10"/>
    </row>
    <row r="97" spans="1:10" ht="19.5" customHeight="1" x14ac:dyDescent="0.15">
      <c r="A97" s="6"/>
      <c r="B97" s="6"/>
      <c r="C97" s="6"/>
      <c r="D97" s="6"/>
      <c r="E97" s="6"/>
      <c r="F97" s="6"/>
      <c r="G97" s="6"/>
      <c r="H97" s="6"/>
      <c r="I97" s="7"/>
      <c r="J97" s="6"/>
    </row>
    <row r="98" spans="1:10" ht="19.5" customHeight="1" x14ac:dyDescent="0.15">
      <c r="A98" s="10"/>
      <c r="B98" s="10"/>
      <c r="C98" s="10"/>
      <c r="D98" s="10"/>
      <c r="E98" s="10"/>
      <c r="F98" s="10"/>
      <c r="G98" s="10"/>
      <c r="H98" s="10"/>
      <c r="I98" s="11"/>
      <c r="J98" s="10"/>
    </row>
    <row r="99" spans="1:10" ht="19.5" customHeight="1" x14ac:dyDescent="0.15">
      <c r="A99" s="6"/>
      <c r="B99" s="6"/>
      <c r="C99" s="6"/>
      <c r="D99" s="6"/>
      <c r="E99" s="6"/>
      <c r="F99" s="6"/>
      <c r="G99" s="6"/>
      <c r="H99" s="6"/>
      <c r="I99" s="7"/>
      <c r="J99" s="6"/>
    </row>
    <row r="100" spans="1:10" ht="19.5" customHeight="1" x14ac:dyDescent="0.15">
      <c r="A100" s="10"/>
      <c r="B100" s="10"/>
      <c r="C100" s="10"/>
      <c r="D100" s="10"/>
      <c r="E100" s="10"/>
      <c r="F100" s="10"/>
      <c r="G100" s="10"/>
      <c r="H100" s="10"/>
      <c r="I100" s="11"/>
      <c r="J100" s="10"/>
    </row>
    <row r="101" spans="1:10" ht="19.5" customHeight="1" x14ac:dyDescent="0.15">
      <c r="A101" s="6"/>
      <c r="B101" s="6"/>
      <c r="C101" s="6"/>
      <c r="D101" s="6"/>
      <c r="E101" s="6"/>
      <c r="F101" s="6"/>
      <c r="G101" s="6"/>
      <c r="H101" s="6"/>
      <c r="I101" s="7"/>
      <c r="J101" s="6"/>
    </row>
    <row r="102" spans="1:10" ht="19.5" customHeight="1" x14ac:dyDescent="0.15">
      <c r="A102" s="10"/>
      <c r="B102" s="10"/>
      <c r="C102" s="10"/>
      <c r="D102" s="10"/>
      <c r="E102" s="10"/>
      <c r="F102" s="10"/>
      <c r="G102" s="10"/>
      <c r="H102" s="10"/>
      <c r="I102" s="11"/>
      <c r="J102" s="10"/>
    </row>
    <row r="103" spans="1:10" ht="19.5" customHeight="1" x14ac:dyDescent="0.15">
      <c r="A103" s="6"/>
      <c r="B103" s="6"/>
      <c r="C103" s="6"/>
      <c r="D103" s="6"/>
      <c r="E103" s="6"/>
      <c r="F103" s="6"/>
      <c r="G103" s="6"/>
      <c r="H103" s="6"/>
      <c r="I103" s="7"/>
      <c r="J103" s="6"/>
    </row>
    <row r="104" spans="1:10" ht="19.5" customHeight="1" x14ac:dyDescent="0.15">
      <c r="A104" s="10"/>
      <c r="B104" s="10"/>
      <c r="C104" s="10"/>
      <c r="D104" s="10"/>
      <c r="E104" s="10"/>
      <c r="F104" s="10"/>
      <c r="G104" s="10"/>
      <c r="H104" s="10"/>
      <c r="I104" s="11"/>
      <c r="J104" s="10"/>
    </row>
    <row r="105" spans="1:10" ht="19.5" customHeight="1" x14ac:dyDescent="0.15">
      <c r="A105" s="6"/>
      <c r="B105" s="6"/>
      <c r="C105" s="6"/>
      <c r="D105" s="6"/>
      <c r="E105" s="6"/>
      <c r="F105" s="6"/>
      <c r="G105" s="6"/>
      <c r="H105" s="6"/>
      <c r="I105" s="7"/>
      <c r="J105" s="6"/>
    </row>
    <row r="106" spans="1:10" ht="19.5" customHeight="1" x14ac:dyDescent="0.15">
      <c r="A106" s="10"/>
      <c r="B106" s="10"/>
      <c r="C106" s="10"/>
      <c r="D106" s="10"/>
      <c r="E106" s="10"/>
      <c r="F106" s="10"/>
      <c r="G106" s="10"/>
      <c r="H106" s="10"/>
      <c r="I106" s="11"/>
      <c r="J106" s="10"/>
    </row>
    <row r="107" spans="1:10" ht="19.5" customHeight="1" x14ac:dyDescent="0.15">
      <c r="A107" s="6"/>
      <c r="B107" s="6"/>
      <c r="C107" s="6"/>
      <c r="D107" s="6"/>
      <c r="E107" s="6"/>
      <c r="F107" s="6"/>
      <c r="G107" s="6"/>
      <c r="H107" s="6"/>
      <c r="I107" s="7"/>
      <c r="J107" s="6"/>
    </row>
    <row r="108" spans="1:10" ht="19.5" customHeight="1" x14ac:dyDescent="0.15">
      <c r="A108" s="10"/>
      <c r="B108" s="10"/>
      <c r="C108" s="10"/>
      <c r="D108" s="10"/>
      <c r="E108" s="10"/>
      <c r="F108" s="10"/>
      <c r="G108" s="10"/>
      <c r="H108" s="10"/>
      <c r="I108" s="11"/>
      <c r="J108" s="10"/>
    </row>
    <row r="109" spans="1:10" ht="19.5" customHeight="1" x14ac:dyDescent="0.15">
      <c r="A109" s="6"/>
      <c r="B109" s="6"/>
      <c r="C109" s="6"/>
      <c r="D109" s="6"/>
      <c r="E109" s="6"/>
      <c r="F109" s="6"/>
      <c r="G109" s="6"/>
      <c r="H109" s="6"/>
      <c r="I109" s="7"/>
      <c r="J109" s="6"/>
    </row>
    <row r="110" spans="1:10" ht="19.5" customHeight="1" x14ac:dyDescent="0.15">
      <c r="A110" s="10"/>
      <c r="B110" s="10"/>
      <c r="C110" s="10"/>
      <c r="D110" s="10"/>
      <c r="E110" s="10"/>
      <c r="F110" s="10"/>
      <c r="G110" s="10"/>
      <c r="H110" s="10"/>
      <c r="I110" s="11"/>
      <c r="J110" s="10"/>
    </row>
    <row r="111" spans="1:10" ht="19.5" customHeight="1" x14ac:dyDescent="0.15">
      <c r="A111" s="6"/>
      <c r="B111" s="6"/>
      <c r="C111" s="6"/>
      <c r="D111" s="6"/>
      <c r="E111" s="6"/>
      <c r="F111" s="6"/>
      <c r="G111" s="6"/>
      <c r="H111" s="6"/>
      <c r="I111" s="7"/>
      <c r="J111" s="6"/>
    </row>
    <row r="112" spans="1:10" ht="19.5" customHeight="1" x14ac:dyDescent="0.15">
      <c r="A112" s="10"/>
      <c r="B112" s="10"/>
      <c r="C112" s="10"/>
      <c r="D112" s="10"/>
      <c r="E112" s="10"/>
      <c r="F112" s="10"/>
      <c r="G112" s="10"/>
      <c r="H112" s="10"/>
      <c r="I112" s="11"/>
      <c r="J112" s="10"/>
    </row>
    <row r="113" spans="1:10" ht="19.5" customHeight="1" x14ac:dyDescent="0.15">
      <c r="A113" s="6"/>
      <c r="B113" s="6"/>
      <c r="C113" s="6"/>
      <c r="D113" s="6"/>
      <c r="E113" s="6"/>
      <c r="F113" s="6"/>
      <c r="G113" s="6"/>
      <c r="H113" s="6"/>
      <c r="I113" s="7"/>
      <c r="J113" s="6"/>
    </row>
    <row r="114" spans="1:10" ht="19.5" customHeight="1" x14ac:dyDescent="0.15">
      <c r="A114" s="10"/>
      <c r="B114" s="10"/>
      <c r="C114" s="10"/>
      <c r="D114" s="10"/>
      <c r="E114" s="10"/>
      <c r="F114" s="10"/>
      <c r="G114" s="10"/>
      <c r="H114" s="10"/>
      <c r="I114" s="11"/>
      <c r="J114" s="10"/>
    </row>
    <row r="115" spans="1:10" ht="19.5" customHeight="1" x14ac:dyDescent="0.15">
      <c r="A115" s="6"/>
      <c r="B115" s="6"/>
      <c r="C115" s="6"/>
      <c r="D115" s="6"/>
      <c r="E115" s="6"/>
      <c r="F115" s="6"/>
      <c r="G115" s="6"/>
      <c r="H115" s="6"/>
      <c r="I115" s="7"/>
      <c r="J115" s="6"/>
    </row>
    <row r="116" spans="1:10" ht="19.5" customHeight="1" x14ac:dyDescent="0.15">
      <c r="A116" s="10"/>
      <c r="B116" s="10"/>
      <c r="C116" s="10"/>
      <c r="D116" s="10"/>
      <c r="E116" s="10"/>
      <c r="F116" s="10"/>
      <c r="G116" s="10"/>
      <c r="H116" s="10"/>
      <c r="I116" s="11"/>
      <c r="J116" s="10"/>
    </row>
    <row r="117" spans="1:10" ht="19.5" customHeight="1" x14ac:dyDescent="0.15">
      <c r="A117" s="6"/>
      <c r="B117" s="6"/>
      <c r="C117" s="6"/>
      <c r="D117" s="6"/>
      <c r="E117" s="6"/>
      <c r="F117" s="6"/>
      <c r="G117" s="6"/>
      <c r="H117" s="6"/>
      <c r="I117" s="7"/>
      <c r="J117" s="6"/>
    </row>
    <row r="118" spans="1:10" ht="19.5" customHeight="1" x14ac:dyDescent="0.15">
      <c r="A118" s="10"/>
      <c r="B118" s="10"/>
      <c r="C118" s="10"/>
      <c r="D118" s="10"/>
      <c r="E118" s="10"/>
      <c r="F118" s="10"/>
      <c r="G118" s="10"/>
      <c r="H118" s="10"/>
      <c r="I118" s="11"/>
      <c r="J118" s="10"/>
    </row>
    <row r="119" spans="1:10" ht="19.5" customHeight="1" x14ac:dyDescent="0.15">
      <c r="A119" s="6"/>
      <c r="B119" s="6"/>
      <c r="C119" s="6"/>
      <c r="D119" s="6"/>
      <c r="E119" s="6"/>
      <c r="F119" s="6"/>
      <c r="G119" s="6"/>
      <c r="H119" s="6"/>
      <c r="I119" s="7"/>
      <c r="J119" s="6"/>
    </row>
    <row r="120" spans="1:10" ht="19.5" customHeight="1" x14ac:dyDescent="0.15">
      <c r="A120" s="10"/>
      <c r="B120" s="10"/>
      <c r="C120" s="10"/>
      <c r="D120" s="10"/>
      <c r="E120" s="10"/>
      <c r="F120" s="10"/>
      <c r="G120" s="10"/>
      <c r="H120" s="10"/>
      <c r="I120" s="11"/>
      <c r="J120" s="10"/>
    </row>
    <row r="121" spans="1:10" ht="19.5" customHeight="1" x14ac:dyDescent="0.15">
      <c r="A121" s="6"/>
      <c r="B121" s="6"/>
      <c r="C121" s="6"/>
      <c r="D121" s="6"/>
      <c r="E121" s="6"/>
      <c r="F121" s="6"/>
      <c r="G121" s="6"/>
      <c r="H121" s="6"/>
      <c r="I121" s="7"/>
      <c r="J121" s="6"/>
    </row>
    <row r="122" spans="1:10" ht="19.5" customHeight="1" x14ac:dyDescent="0.15">
      <c r="A122" s="10"/>
      <c r="B122" s="10"/>
      <c r="C122" s="10"/>
      <c r="D122" s="10"/>
      <c r="E122" s="10"/>
      <c r="F122" s="10"/>
      <c r="G122" s="10"/>
      <c r="H122" s="10"/>
      <c r="I122" s="11"/>
      <c r="J122" s="10"/>
    </row>
    <row r="123" spans="1:10" ht="19.5" customHeight="1" x14ac:dyDescent="0.15">
      <c r="A123" s="6"/>
      <c r="B123" s="6"/>
      <c r="C123" s="6"/>
      <c r="D123" s="6"/>
      <c r="E123" s="6"/>
      <c r="F123" s="6"/>
      <c r="G123" s="6"/>
      <c r="H123" s="6"/>
      <c r="I123" s="7"/>
      <c r="J123" s="6"/>
    </row>
    <row r="124" spans="1:10" ht="19.5" customHeight="1" x14ac:dyDescent="0.15">
      <c r="A124" s="10"/>
      <c r="B124" s="10"/>
      <c r="C124" s="10"/>
      <c r="D124" s="10"/>
      <c r="E124" s="10"/>
      <c r="F124" s="10"/>
      <c r="G124" s="10"/>
      <c r="H124" s="10"/>
      <c r="I124" s="11"/>
      <c r="J124" s="10"/>
    </row>
    <row r="125" spans="1:10" ht="19.5" customHeight="1" x14ac:dyDescent="0.15">
      <c r="A125" s="6"/>
      <c r="B125" s="6"/>
      <c r="C125" s="6"/>
      <c r="D125" s="6"/>
      <c r="E125" s="6"/>
      <c r="F125" s="6"/>
      <c r="G125" s="6"/>
      <c r="H125" s="6"/>
      <c r="I125" s="7"/>
      <c r="J125" s="6"/>
    </row>
    <row r="126" spans="1:10" ht="19.5" customHeight="1" x14ac:dyDescent="0.15">
      <c r="A126" s="10"/>
      <c r="B126" s="10"/>
      <c r="C126" s="10"/>
      <c r="D126" s="10"/>
      <c r="E126" s="10"/>
      <c r="F126" s="10"/>
      <c r="G126" s="10"/>
      <c r="H126" s="10"/>
      <c r="I126" s="11"/>
      <c r="J126" s="10"/>
    </row>
    <row r="127" spans="1:10" ht="19.5" customHeight="1" x14ac:dyDescent="0.15">
      <c r="A127" s="6"/>
      <c r="B127" s="6"/>
      <c r="C127" s="6"/>
      <c r="D127" s="6"/>
      <c r="E127" s="6"/>
      <c r="F127" s="6"/>
      <c r="G127" s="6"/>
      <c r="H127" s="6"/>
      <c r="I127" s="7"/>
      <c r="J127" s="6"/>
    </row>
    <row r="128" spans="1:10" ht="19.5" customHeight="1" x14ac:dyDescent="0.15">
      <c r="A128" s="10"/>
      <c r="B128" s="10"/>
      <c r="C128" s="10"/>
      <c r="D128" s="10"/>
      <c r="E128" s="10"/>
      <c r="F128" s="10"/>
      <c r="G128" s="10"/>
      <c r="H128" s="10"/>
      <c r="I128" s="11"/>
      <c r="J128" s="10"/>
    </row>
    <row r="129" spans="1:10" ht="19.5" customHeight="1" x14ac:dyDescent="0.15">
      <c r="A129" s="6"/>
      <c r="B129" s="6"/>
      <c r="C129" s="6"/>
      <c r="D129" s="6"/>
      <c r="E129" s="6"/>
      <c r="F129" s="6"/>
      <c r="G129" s="6"/>
      <c r="H129" s="6"/>
      <c r="I129" s="7"/>
      <c r="J129" s="6"/>
    </row>
    <row r="130" spans="1:10" ht="19.5" customHeight="1" x14ac:dyDescent="0.15">
      <c r="A130" s="10"/>
      <c r="B130" s="10"/>
      <c r="C130" s="10"/>
      <c r="D130" s="10"/>
      <c r="E130" s="10"/>
      <c r="F130" s="10"/>
      <c r="G130" s="10"/>
      <c r="H130" s="10"/>
      <c r="I130" s="11"/>
      <c r="J130" s="10"/>
    </row>
    <row r="131" spans="1:10" ht="19.5" customHeight="1" x14ac:dyDescent="0.15">
      <c r="A131" s="6"/>
      <c r="B131" s="6"/>
      <c r="C131" s="6"/>
      <c r="D131" s="6"/>
      <c r="E131" s="6"/>
      <c r="F131" s="6"/>
      <c r="G131" s="6"/>
      <c r="H131" s="6"/>
      <c r="I131" s="7"/>
      <c r="J131" s="6"/>
    </row>
    <row r="132" spans="1:10" ht="19.5" customHeight="1" x14ac:dyDescent="0.15">
      <c r="A132" s="10"/>
      <c r="B132" s="10"/>
      <c r="C132" s="10"/>
      <c r="D132" s="10"/>
      <c r="E132" s="10"/>
      <c r="F132" s="10"/>
      <c r="G132" s="10"/>
      <c r="H132" s="10"/>
      <c r="I132" s="11"/>
      <c r="J132" s="10"/>
    </row>
    <row r="133" spans="1:10" ht="19.5" customHeight="1" x14ac:dyDescent="0.15">
      <c r="A133" s="6"/>
      <c r="B133" s="6"/>
      <c r="C133" s="6"/>
      <c r="D133" s="6"/>
      <c r="E133" s="6"/>
      <c r="F133" s="6"/>
      <c r="G133" s="6"/>
      <c r="H133" s="6"/>
      <c r="I133" s="7"/>
      <c r="J133" s="6"/>
    </row>
    <row r="134" spans="1:10" ht="19.5" customHeight="1" x14ac:dyDescent="0.15">
      <c r="A134" s="10"/>
      <c r="B134" s="10"/>
      <c r="C134" s="10"/>
      <c r="D134" s="10"/>
      <c r="E134" s="10"/>
      <c r="F134" s="10"/>
      <c r="G134" s="10"/>
      <c r="H134" s="10"/>
      <c r="I134" s="11"/>
      <c r="J134" s="10"/>
    </row>
    <row r="135" spans="1:10" ht="19.5" customHeight="1" x14ac:dyDescent="0.15">
      <c r="A135" s="6"/>
      <c r="B135" s="6"/>
      <c r="C135" s="6"/>
      <c r="D135" s="6"/>
      <c r="E135" s="6"/>
      <c r="F135" s="6"/>
      <c r="G135" s="6"/>
      <c r="H135" s="6"/>
      <c r="I135" s="7"/>
      <c r="J135" s="6"/>
    </row>
    <row r="136" spans="1:10" ht="19.5" customHeight="1" x14ac:dyDescent="0.15">
      <c r="A136" s="10"/>
      <c r="B136" s="10"/>
      <c r="C136" s="10"/>
      <c r="D136" s="10"/>
      <c r="E136" s="10"/>
      <c r="F136" s="10"/>
      <c r="G136" s="10"/>
      <c r="H136" s="10"/>
      <c r="I136" s="11"/>
      <c r="J136" s="10"/>
    </row>
    <row r="137" spans="1:10" ht="19.5" customHeight="1" x14ac:dyDescent="0.15">
      <c r="A137" s="6"/>
      <c r="B137" s="6"/>
      <c r="C137" s="6"/>
      <c r="D137" s="6"/>
      <c r="E137" s="6"/>
      <c r="F137" s="6"/>
      <c r="G137" s="6"/>
      <c r="H137" s="6"/>
      <c r="I137" s="7"/>
      <c r="J137" s="6"/>
    </row>
    <row r="138" spans="1:10" ht="19.5" customHeight="1" x14ac:dyDescent="0.15">
      <c r="A138" s="10"/>
      <c r="B138" s="10"/>
      <c r="C138" s="10"/>
      <c r="D138" s="10"/>
      <c r="E138" s="10"/>
      <c r="F138" s="10"/>
      <c r="G138" s="10"/>
      <c r="H138" s="10"/>
      <c r="I138" s="11"/>
      <c r="J138" s="10"/>
    </row>
    <row r="139" spans="1:10" ht="19.5" customHeight="1" x14ac:dyDescent="0.15">
      <c r="A139" s="6"/>
      <c r="B139" s="6"/>
      <c r="C139" s="6"/>
      <c r="D139" s="6"/>
      <c r="E139" s="6"/>
      <c r="F139" s="6"/>
      <c r="G139" s="6"/>
      <c r="H139" s="6"/>
      <c r="I139" s="7"/>
      <c r="J139" s="6"/>
    </row>
    <row r="140" spans="1:10" ht="19.5" customHeight="1" x14ac:dyDescent="0.15">
      <c r="A140" s="10"/>
      <c r="B140" s="10"/>
      <c r="C140" s="10"/>
      <c r="D140" s="10"/>
      <c r="E140" s="10"/>
      <c r="F140" s="10"/>
      <c r="G140" s="10"/>
      <c r="H140" s="10"/>
      <c r="I140" s="11"/>
      <c r="J140" s="10"/>
    </row>
    <row r="141" spans="1:10" ht="19.5" customHeight="1" x14ac:dyDescent="0.15">
      <c r="A141" s="6"/>
      <c r="B141" s="6"/>
      <c r="C141" s="6"/>
      <c r="D141" s="6"/>
      <c r="E141" s="6"/>
      <c r="F141" s="6"/>
      <c r="G141" s="6"/>
      <c r="H141" s="6"/>
      <c r="I141" s="7"/>
      <c r="J141" s="6"/>
    </row>
    <row r="142" spans="1:10" ht="19.5" customHeight="1" x14ac:dyDescent="0.15">
      <c r="A142" s="10"/>
      <c r="B142" s="10"/>
      <c r="C142" s="10"/>
      <c r="D142" s="10"/>
      <c r="E142" s="10"/>
      <c r="F142" s="10"/>
      <c r="G142" s="10"/>
      <c r="H142" s="10"/>
      <c r="I142" s="11"/>
      <c r="J142" s="10"/>
    </row>
    <row r="143" spans="1:10" ht="19.5" customHeight="1" x14ac:dyDescent="0.15">
      <c r="A143" s="6"/>
      <c r="B143" s="6"/>
      <c r="C143" s="6"/>
      <c r="D143" s="6"/>
      <c r="E143" s="6"/>
      <c r="F143" s="6"/>
      <c r="G143" s="6"/>
      <c r="H143" s="6"/>
      <c r="I143" s="7"/>
      <c r="J143" s="6"/>
    </row>
    <row r="144" spans="1:10" ht="19.5" customHeight="1" x14ac:dyDescent="0.15">
      <c r="A144" s="10"/>
      <c r="B144" s="10"/>
      <c r="C144" s="10"/>
      <c r="D144" s="10"/>
      <c r="E144" s="10"/>
      <c r="F144" s="10"/>
      <c r="G144" s="10"/>
      <c r="H144" s="10"/>
      <c r="I144" s="11"/>
      <c r="J144" s="10"/>
    </row>
    <row r="145" spans="1:10" ht="19.5" customHeight="1" x14ac:dyDescent="0.15">
      <c r="A145" s="6"/>
      <c r="B145" s="6"/>
      <c r="C145" s="6"/>
      <c r="D145" s="6"/>
      <c r="E145" s="6"/>
      <c r="F145" s="6"/>
      <c r="G145" s="6"/>
      <c r="H145" s="6"/>
      <c r="I145" s="7"/>
      <c r="J145" s="6"/>
    </row>
    <row r="146" spans="1:10" ht="19.5" customHeight="1" x14ac:dyDescent="0.15">
      <c r="A146" s="10"/>
      <c r="B146" s="10"/>
      <c r="C146" s="10"/>
      <c r="D146" s="10"/>
      <c r="E146" s="10"/>
      <c r="F146" s="10"/>
      <c r="G146" s="10"/>
      <c r="H146" s="10"/>
      <c r="I146" s="11"/>
      <c r="J146" s="10"/>
    </row>
    <row r="147" spans="1:10" ht="19.5" customHeight="1" x14ac:dyDescent="0.15">
      <c r="A147" s="6"/>
      <c r="B147" s="6"/>
      <c r="C147" s="6"/>
      <c r="D147" s="6"/>
      <c r="E147" s="6"/>
      <c r="F147" s="6"/>
      <c r="G147" s="6"/>
      <c r="H147" s="6"/>
      <c r="I147" s="7"/>
      <c r="J147" s="6"/>
    </row>
    <row r="148" spans="1:10" ht="19.5" customHeight="1" x14ac:dyDescent="0.15">
      <c r="A148" s="10"/>
      <c r="B148" s="10"/>
      <c r="C148" s="10"/>
      <c r="D148" s="10"/>
      <c r="E148" s="10"/>
      <c r="F148" s="10"/>
      <c r="G148" s="10"/>
      <c r="H148" s="10"/>
      <c r="I148" s="11"/>
      <c r="J148" s="10"/>
    </row>
    <row r="149" spans="1:10" ht="19.5" customHeight="1" x14ac:dyDescent="0.15">
      <c r="A149" s="6"/>
      <c r="B149" s="6"/>
      <c r="C149" s="6"/>
      <c r="D149" s="6"/>
      <c r="E149" s="6"/>
      <c r="F149" s="6"/>
      <c r="G149" s="6"/>
      <c r="H149" s="6"/>
      <c r="I149" s="7"/>
      <c r="J149" s="6"/>
    </row>
    <row r="150" spans="1:10" ht="19.5" customHeight="1" x14ac:dyDescent="0.15">
      <c r="A150" s="10"/>
      <c r="B150" s="10"/>
      <c r="C150" s="10"/>
      <c r="D150" s="10"/>
      <c r="E150" s="10"/>
      <c r="F150" s="10"/>
      <c r="G150" s="10"/>
      <c r="H150" s="10"/>
      <c r="I150" s="11"/>
      <c r="J150" s="10"/>
    </row>
    <row r="151" spans="1:10" ht="19.5" customHeight="1" x14ac:dyDescent="0.15">
      <c r="A151" s="6"/>
      <c r="B151" s="6"/>
      <c r="C151" s="6"/>
      <c r="D151" s="6"/>
      <c r="E151" s="6"/>
      <c r="F151" s="6"/>
      <c r="G151" s="6"/>
      <c r="H151" s="6"/>
      <c r="I151" s="7"/>
      <c r="J151" s="6"/>
    </row>
    <row r="152" spans="1:10" ht="19.5" customHeight="1" x14ac:dyDescent="0.15">
      <c r="A152" s="10"/>
      <c r="B152" s="10"/>
      <c r="C152" s="10"/>
      <c r="D152" s="10"/>
      <c r="E152" s="10"/>
      <c r="F152" s="10"/>
      <c r="G152" s="10"/>
      <c r="H152" s="10"/>
      <c r="I152" s="11"/>
      <c r="J152" s="10"/>
    </row>
    <row r="153" spans="1:10" ht="19.5" customHeight="1" x14ac:dyDescent="0.15">
      <c r="A153" s="6"/>
      <c r="B153" s="6"/>
      <c r="C153" s="6"/>
      <c r="D153" s="6"/>
      <c r="E153" s="6"/>
      <c r="F153" s="6"/>
      <c r="G153" s="6"/>
      <c r="H153" s="6"/>
      <c r="I153" s="7"/>
      <c r="J153" s="6"/>
    </row>
    <row r="154" spans="1:10" ht="19.5" customHeight="1" x14ac:dyDescent="0.15">
      <c r="A154" s="10"/>
      <c r="B154" s="10"/>
      <c r="C154" s="10"/>
      <c r="D154" s="10"/>
      <c r="E154" s="10"/>
      <c r="F154" s="10"/>
      <c r="G154" s="10"/>
      <c r="H154" s="10"/>
      <c r="I154" s="11"/>
      <c r="J154" s="10"/>
    </row>
    <row r="155" spans="1:10" ht="19.5" customHeight="1" x14ac:dyDescent="0.15">
      <c r="A155" s="6"/>
      <c r="B155" s="6"/>
      <c r="C155" s="6"/>
      <c r="D155" s="6"/>
      <c r="E155" s="6"/>
      <c r="F155" s="6"/>
      <c r="G155" s="6"/>
      <c r="H155" s="6"/>
      <c r="I155" s="7"/>
      <c r="J155" s="6"/>
    </row>
    <row r="156" spans="1:10" ht="19.5" customHeight="1" x14ac:dyDescent="0.15">
      <c r="A156" s="10"/>
      <c r="B156" s="10"/>
      <c r="C156" s="10"/>
      <c r="D156" s="10"/>
      <c r="E156" s="10"/>
      <c r="F156" s="10"/>
      <c r="G156" s="10"/>
      <c r="H156" s="10"/>
      <c r="I156" s="11"/>
      <c r="J156" s="10"/>
    </row>
    <row r="157" spans="1:10" ht="19.5" customHeight="1" x14ac:dyDescent="0.15">
      <c r="A157" s="6"/>
      <c r="B157" s="6"/>
      <c r="C157" s="6"/>
      <c r="D157" s="6"/>
      <c r="E157" s="6"/>
      <c r="F157" s="6"/>
      <c r="G157" s="6"/>
      <c r="H157" s="6"/>
      <c r="I157" s="7"/>
      <c r="J157" s="6"/>
    </row>
    <row r="158" spans="1:10" ht="19.5" customHeight="1" x14ac:dyDescent="0.15">
      <c r="A158" s="10"/>
      <c r="B158" s="10"/>
      <c r="C158" s="10"/>
      <c r="D158" s="10"/>
      <c r="E158" s="10"/>
      <c r="F158" s="10"/>
      <c r="G158" s="10"/>
      <c r="H158" s="10"/>
      <c r="I158" s="11"/>
      <c r="J158" s="10"/>
    </row>
    <row r="159" spans="1:10" ht="19.5" customHeight="1" x14ac:dyDescent="0.15">
      <c r="A159" s="6"/>
      <c r="B159" s="6"/>
      <c r="C159" s="6"/>
      <c r="D159" s="6"/>
      <c r="E159" s="6"/>
      <c r="F159" s="6"/>
      <c r="G159" s="6"/>
      <c r="H159" s="6"/>
      <c r="I159" s="7"/>
      <c r="J159" s="6"/>
    </row>
    <row r="160" spans="1:10" ht="19.5" customHeight="1" x14ac:dyDescent="0.15">
      <c r="A160" s="10"/>
      <c r="B160" s="10"/>
      <c r="C160" s="10"/>
      <c r="D160" s="10"/>
      <c r="E160" s="10"/>
      <c r="F160" s="10"/>
      <c r="G160" s="10"/>
      <c r="H160" s="10"/>
      <c r="I160" s="11"/>
      <c r="J160" s="10"/>
    </row>
    <row r="161" spans="1:10" ht="19.5" customHeight="1" x14ac:dyDescent="0.15">
      <c r="A161" s="6"/>
      <c r="B161" s="6"/>
      <c r="C161" s="6"/>
      <c r="D161" s="6"/>
      <c r="E161" s="6"/>
      <c r="F161" s="6"/>
      <c r="G161" s="6"/>
      <c r="H161" s="6"/>
      <c r="I161" s="7"/>
      <c r="J161" s="6"/>
    </row>
    <row r="162" spans="1:10" ht="19.5" customHeight="1" x14ac:dyDescent="0.15">
      <c r="A162" s="10"/>
      <c r="B162" s="10"/>
      <c r="C162" s="10"/>
      <c r="D162" s="10"/>
      <c r="E162" s="10"/>
      <c r="F162" s="10"/>
      <c r="G162" s="10"/>
      <c r="H162" s="10"/>
      <c r="I162" s="11"/>
      <c r="J162" s="10"/>
    </row>
    <row r="163" spans="1:10" ht="19.5" customHeight="1" x14ac:dyDescent="0.15">
      <c r="A163" s="6"/>
      <c r="B163" s="6"/>
      <c r="C163" s="6"/>
      <c r="D163" s="6"/>
      <c r="E163" s="6"/>
      <c r="F163" s="6"/>
      <c r="G163" s="6"/>
      <c r="H163" s="6"/>
      <c r="I163" s="7"/>
      <c r="J163" s="6"/>
    </row>
    <row r="164" spans="1:10" ht="19.5" customHeight="1" x14ac:dyDescent="0.15">
      <c r="A164" s="10"/>
      <c r="B164" s="10"/>
      <c r="C164" s="10"/>
      <c r="D164" s="10"/>
      <c r="E164" s="10"/>
      <c r="F164" s="10"/>
      <c r="G164" s="10"/>
      <c r="H164" s="10"/>
      <c r="I164" s="11"/>
      <c r="J164" s="10"/>
    </row>
    <row r="165" spans="1:10" ht="19.5" customHeight="1" x14ac:dyDescent="0.15">
      <c r="A165" s="6"/>
      <c r="B165" s="6"/>
      <c r="C165" s="6"/>
      <c r="D165" s="6"/>
      <c r="E165" s="6"/>
      <c r="F165" s="6"/>
      <c r="G165" s="6"/>
      <c r="H165" s="6"/>
      <c r="I165" s="7"/>
      <c r="J165" s="6"/>
    </row>
    <row r="166" spans="1:10" ht="19.5" customHeight="1" x14ac:dyDescent="0.15">
      <c r="A166" s="10"/>
      <c r="B166" s="10"/>
      <c r="C166" s="10"/>
      <c r="D166" s="10"/>
      <c r="E166" s="10"/>
      <c r="F166" s="10"/>
      <c r="G166" s="10"/>
      <c r="H166" s="10"/>
      <c r="I166" s="11"/>
      <c r="J166" s="10"/>
    </row>
    <row r="167" spans="1:10" ht="19.5" customHeight="1" x14ac:dyDescent="0.15">
      <c r="A167" s="6"/>
      <c r="B167" s="6"/>
      <c r="C167" s="6"/>
      <c r="D167" s="6"/>
      <c r="E167" s="6"/>
      <c r="F167" s="6"/>
      <c r="G167" s="6"/>
      <c r="H167" s="6"/>
      <c r="I167" s="7"/>
      <c r="J167" s="6"/>
    </row>
    <row r="168" spans="1:10" ht="19.5" customHeight="1" x14ac:dyDescent="0.15">
      <c r="A168" s="10"/>
      <c r="B168" s="10"/>
      <c r="C168" s="10"/>
      <c r="D168" s="10"/>
      <c r="E168" s="10"/>
      <c r="F168" s="10"/>
      <c r="G168" s="10"/>
      <c r="H168" s="10"/>
      <c r="I168" s="11"/>
      <c r="J168" s="10"/>
    </row>
    <row r="169" spans="1:10" ht="19.5" customHeight="1" x14ac:dyDescent="0.15">
      <c r="A169" s="6"/>
      <c r="B169" s="6"/>
      <c r="C169" s="6"/>
      <c r="D169" s="6"/>
      <c r="E169" s="6"/>
      <c r="F169" s="6"/>
      <c r="G169" s="6"/>
      <c r="H169" s="6"/>
      <c r="I169" s="7"/>
      <c r="J169" s="6"/>
    </row>
    <row r="170" spans="1:10" ht="19.5" customHeight="1" x14ac:dyDescent="0.15">
      <c r="A170" s="10"/>
      <c r="B170" s="10"/>
      <c r="C170" s="10"/>
      <c r="D170" s="10"/>
      <c r="E170" s="10"/>
      <c r="F170" s="10"/>
      <c r="G170" s="10"/>
      <c r="H170" s="10"/>
      <c r="I170" s="11"/>
      <c r="J170" s="10"/>
    </row>
    <row r="171" spans="1:10" ht="19.5" customHeight="1" x14ac:dyDescent="0.15">
      <c r="A171" s="6"/>
      <c r="B171" s="6"/>
      <c r="C171" s="6"/>
      <c r="D171" s="6"/>
      <c r="E171" s="6"/>
      <c r="F171" s="6"/>
      <c r="G171" s="6"/>
      <c r="H171" s="6"/>
      <c r="I171" s="7"/>
      <c r="J171" s="6"/>
    </row>
    <row r="172" spans="1:10" ht="19.5" customHeight="1" x14ac:dyDescent="0.15">
      <c r="A172" s="10"/>
      <c r="B172" s="10"/>
      <c r="C172" s="10"/>
      <c r="D172" s="10"/>
      <c r="E172" s="10"/>
      <c r="F172" s="10"/>
      <c r="G172" s="10"/>
      <c r="H172" s="10"/>
      <c r="I172" s="11"/>
      <c r="J172" s="10"/>
    </row>
    <row r="173" spans="1:10" ht="19.5" customHeight="1" x14ac:dyDescent="0.15">
      <c r="A173" s="6"/>
      <c r="B173" s="6"/>
      <c r="C173" s="6"/>
      <c r="D173" s="6"/>
      <c r="E173" s="6"/>
      <c r="F173" s="6"/>
      <c r="G173" s="6"/>
      <c r="H173" s="6"/>
      <c r="I173" s="7"/>
      <c r="J173" s="6"/>
    </row>
    <row r="174" spans="1:10" ht="19.5" customHeight="1" x14ac:dyDescent="0.15">
      <c r="A174" s="10"/>
      <c r="B174" s="10"/>
      <c r="C174" s="10"/>
      <c r="D174" s="10"/>
      <c r="E174" s="10"/>
      <c r="F174" s="10"/>
      <c r="G174" s="10"/>
      <c r="H174" s="10"/>
      <c r="I174" s="11"/>
      <c r="J174" s="10"/>
    </row>
    <row r="175" spans="1:10" ht="19.5" customHeight="1" x14ac:dyDescent="0.15">
      <c r="A175" s="6"/>
      <c r="B175" s="6"/>
      <c r="C175" s="6"/>
      <c r="D175" s="6"/>
      <c r="E175" s="6"/>
      <c r="F175" s="6"/>
      <c r="G175" s="6"/>
      <c r="H175" s="6"/>
      <c r="I175" s="7"/>
      <c r="J175" s="6"/>
    </row>
    <row r="176" spans="1:10" ht="19.5" customHeight="1" x14ac:dyDescent="0.15">
      <c r="A176" s="10"/>
      <c r="B176" s="10"/>
      <c r="C176" s="10"/>
      <c r="D176" s="10"/>
      <c r="E176" s="10"/>
      <c r="F176" s="10"/>
      <c r="G176" s="10"/>
      <c r="H176" s="10"/>
      <c r="I176" s="11"/>
      <c r="J176" s="10"/>
    </row>
    <row r="177" spans="1:10" ht="19.5" customHeight="1" x14ac:dyDescent="0.15">
      <c r="A177" s="6"/>
      <c r="B177" s="6"/>
      <c r="C177" s="6"/>
      <c r="D177" s="6"/>
      <c r="E177" s="6"/>
      <c r="F177" s="6"/>
      <c r="G177" s="6"/>
      <c r="H177" s="6"/>
      <c r="I177" s="7"/>
      <c r="J177" s="6"/>
    </row>
    <row r="178" spans="1:10" ht="19.5" customHeight="1" x14ac:dyDescent="0.15">
      <c r="A178" s="10"/>
      <c r="B178" s="10"/>
      <c r="C178" s="10"/>
      <c r="D178" s="10"/>
      <c r="E178" s="10"/>
      <c r="F178" s="10"/>
      <c r="G178" s="10"/>
      <c r="H178" s="10"/>
      <c r="I178" s="11"/>
      <c r="J178" s="10"/>
    </row>
    <row r="179" spans="1:10" ht="19.5" customHeight="1" x14ac:dyDescent="0.15">
      <c r="A179" s="6"/>
      <c r="B179" s="6"/>
      <c r="C179" s="6"/>
      <c r="D179" s="6"/>
      <c r="E179" s="6"/>
      <c r="F179" s="6"/>
      <c r="G179" s="6"/>
      <c r="H179" s="6"/>
      <c r="I179" s="7"/>
      <c r="J179" s="6"/>
    </row>
    <row r="180" spans="1:10" ht="19.5" customHeight="1" x14ac:dyDescent="0.15">
      <c r="A180" s="10"/>
      <c r="B180" s="10"/>
      <c r="C180" s="10"/>
      <c r="D180" s="10"/>
      <c r="E180" s="10"/>
      <c r="F180" s="10"/>
      <c r="G180" s="10"/>
      <c r="H180" s="10"/>
      <c r="I180" s="11"/>
      <c r="J180" s="10"/>
    </row>
    <row r="181" spans="1:10" ht="19.5" customHeight="1" x14ac:dyDescent="0.15">
      <c r="A181" s="6"/>
      <c r="B181" s="6"/>
      <c r="C181" s="6"/>
      <c r="D181" s="6"/>
      <c r="E181" s="6"/>
      <c r="F181" s="6"/>
      <c r="G181" s="6"/>
      <c r="H181" s="6"/>
      <c r="I181" s="7"/>
      <c r="J181" s="6"/>
    </row>
    <row r="182" spans="1:10" ht="19.5" customHeight="1" x14ac:dyDescent="0.15">
      <c r="A182" s="10"/>
      <c r="B182" s="10"/>
      <c r="C182" s="10"/>
      <c r="D182" s="10"/>
      <c r="E182" s="10"/>
      <c r="F182" s="10"/>
      <c r="G182" s="10"/>
      <c r="H182" s="10"/>
      <c r="I182" s="11"/>
      <c r="J182" s="10"/>
    </row>
    <row r="183" spans="1:10" ht="19.5" customHeight="1" x14ac:dyDescent="0.15">
      <c r="A183" s="6"/>
      <c r="B183" s="6"/>
      <c r="C183" s="6"/>
      <c r="D183" s="6"/>
      <c r="E183" s="6"/>
      <c r="F183" s="6"/>
      <c r="G183" s="6"/>
      <c r="H183" s="6"/>
      <c r="I183" s="7"/>
      <c r="J183" s="6"/>
    </row>
    <row r="184" spans="1:10" ht="19.5" customHeight="1" x14ac:dyDescent="0.15">
      <c r="A184" s="10"/>
      <c r="B184" s="10"/>
      <c r="C184" s="10"/>
      <c r="D184" s="10"/>
      <c r="E184" s="10"/>
      <c r="F184" s="10"/>
      <c r="G184" s="10"/>
      <c r="H184" s="10"/>
      <c r="I184" s="11"/>
      <c r="J184" s="10"/>
    </row>
    <row r="185" spans="1:10" ht="19.5" customHeight="1" x14ac:dyDescent="0.15">
      <c r="A185" s="6"/>
      <c r="B185" s="6"/>
      <c r="C185" s="6"/>
      <c r="D185" s="6"/>
      <c r="E185" s="6"/>
      <c r="F185" s="6"/>
      <c r="G185" s="6"/>
      <c r="H185" s="6"/>
      <c r="I185" s="7"/>
      <c r="J185" s="6"/>
    </row>
    <row r="186" spans="1:10" ht="19.5" customHeight="1" x14ac:dyDescent="0.15">
      <c r="A186" s="10"/>
      <c r="B186" s="10"/>
      <c r="C186" s="10"/>
      <c r="D186" s="10"/>
      <c r="E186" s="10"/>
      <c r="F186" s="10"/>
      <c r="G186" s="10"/>
      <c r="H186" s="10"/>
      <c r="I186" s="11"/>
      <c r="J186" s="10"/>
    </row>
    <row r="187" spans="1:10" ht="19.5" customHeight="1" x14ac:dyDescent="0.15">
      <c r="A187" s="6"/>
      <c r="B187" s="6"/>
      <c r="C187" s="6"/>
      <c r="D187" s="6"/>
      <c r="E187" s="6"/>
      <c r="F187" s="6"/>
      <c r="G187" s="6"/>
      <c r="H187" s="6"/>
      <c r="I187" s="7"/>
      <c r="J187" s="6"/>
    </row>
    <row r="188" spans="1:10" ht="19.5" customHeight="1" x14ac:dyDescent="0.15">
      <c r="A188" s="10"/>
      <c r="B188" s="10"/>
      <c r="C188" s="10"/>
      <c r="D188" s="10"/>
      <c r="E188" s="10"/>
      <c r="F188" s="10"/>
      <c r="G188" s="10"/>
      <c r="H188" s="10"/>
      <c r="I188" s="11"/>
      <c r="J188" s="10"/>
    </row>
    <row r="189" spans="1:10" ht="19.5" customHeight="1" x14ac:dyDescent="0.15">
      <c r="A189" s="6"/>
      <c r="B189" s="6"/>
      <c r="C189" s="6"/>
      <c r="D189" s="6"/>
      <c r="E189" s="6"/>
      <c r="F189" s="6"/>
      <c r="G189" s="6"/>
      <c r="H189" s="6"/>
      <c r="I189" s="7"/>
      <c r="J189" s="6"/>
    </row>
    <row r="190" spans="1:10" ht="19.5" customHeight="1" x14ac:dyDescent="0.15">
      <c r="A190" s="10"/>
      <c r="B190" s="10"/>
      <c r="C190" s="10"/>
      <c r="D190" s="10"/>
      <c r="E190" s="10"/>
      <c r="F190" s="10"/>
      <c r="G190" s="10"/>
      <c r="H190" s="10"/>
      <c r="I190" s="11"/>
      <c r="J190" s="10"/>
    </row>
    <row r="191" spans="1:10" ht="19.5" customHeight="1" x14ac:dyDescent="0.15">
      <c r="A191" s="6"/>
      <c r="B191" s="6"/>
      <c r="C191" s="6"/>
      <c r="D191" s="6"/>
      <c r="E191" s="6"/>
      <c r="F191" s="6"/>
      <c r="G191" s="6"/>
      <c r="H191" s="6"/>
      <c r="I191" s="7"/>
      <c r="J191" s="6"/>
    </row>
    <row r="192" spans="1:10" ht="19.5" customHeight="1" x14ac:dyDescent="0.15">
      <c r="A192" s="10"/>
      <c r="B192" s="10"/>
      <c r="C192" s="10"/>
      <c r="D192" s="10"/>
      <c r="E192" s="10"/>
      <c r="F192" s="10"/>
      <c r="G192" s="10"/>
      <c r="H192" s="10"/>
      <c r="I192" s="11"/>
      <c r="J192" s="10"/>
    </row>
    <row r="193" spans="1:10" ht="19.5" customHeight="1" x14ac:dyDescent="0.15">
      <c r="A193" s="6"/>
      <c r="B193" s="6"/>
      <c r="C193" s="6"/>
      <c r="D193" s="6"/>
      <c r="E193" s="6"/>
      <c r="F193" s="6"/>
      <c r="G193" s="6"/>
      <c r="H193" s="6"/>
      <c r="I193" s="7"/>
      <c r="J193" s="6"/>
    </row>
    <row r="194" spans="1:10" ht="19.5" customHeight="1" x14ac:dyDescent="0.15">
      <c r="A194" s="10"/>
      <c r="B194" s="10"/>
      <c r="C194" s="10"/>
      <c r="D194" s="10"/>
      <c r="E194" s="10"/>
      <c r="F194" s="10"/>
      <c r="G194" s="10"/>
      <c r="H194" s="10"/>
      <c r="I194" s="11"/>
      <c r="J194" s="10"/>
    </row>
    <row r="195" spans="1:10" ht="19.5" customHeight="1" x14ac:dyDescent="0.15">
      <c r="A195" s="6"/>
      <c r="B195" s="6"/>
      <c r="C195" s="6"/>
      <c r="D195" s="6"/>
      <c r="E195" s="6"/>
      <c r="F195" s="6"/>
      <c r="G195" s="6"/>
      <c r="H195" s="6"/>
      <c r="I195" s="7"/>
      <c r="J195" s="6"/>
    </row>
    <row r="196" spans="1:10" ht="19.5" customHeight="1" x14ac:dyDescent="0.15">
      <c r="A196" s="10"/>
      <c r="B196" s="10"/>
      <c r="C196" s="10"/>
      <c r="D196" s="10"/>
      <c r="E196" s="10"/>
      <c r="F196" s="10"/>
      <c r="G196" s="10"/>
      <c r="H196" s="10"/>
      <c r="I196" s="11"/>
      <c r="J196" s="10"/>
    </row>
    <row r="197" spans="1:10" ht="19.5" customHeight="1" x14ac:dyDescent="0.15">
      <c r="A197" s="6"/>
      <c r="B197" s="6"/>
      <c r="C197" s="6"/>
      <c r="D197" s="6"/>
      <c r="E197" s="6"/>
      <c r="F197" s="6"/>
      <c r="G197" s="6"/>
      <c r="H197" s="6"/>
      <c r="I197" s="7"/>
      <c r="J197" s="6"/>
    </row>
    <row r="198" spans="1:10" ht="19.5" customHeight="1" x14ac:dyDescent="0.15">
      <c r="A198" s="10"/>
      <c r="B198" s="10"/>
      <c r="C198" s="10"/>
      <c r="D198" s="10"/>
      <c r="E198" s="10"/>
      <c r="F198" s="10"/>
      <c r="G198" s="10"/>
      <c r="H198" s="10"/>
      <c r="I198" s="11"/>
      <c r="J198" s="10"/>
    </row>
    <row r="199" spans="1:10" ht="19.5" customHeight="1" x14ac:dyDescent="0.15">
      <c r="A199" s="6"/>
      <c r="B199" s="6"/>
      <c r="C199" s="6"/>
      <c r="D199" s="6"/>
      <c r="E199" s="6"/>
      <c r="F199" s="6"/>
      <c r="G199" s="6"/>
      <c r="H199" s="6"/>
      <c r="I199" s="7"/>
      <c r="J199" s="6"/>
    </row>
    <row r="200" spans="1:10" ht="19.5" customHeight="1" x14ac:dyDescent="0.15">
      <c r="A200" s="10"/>
      <c r="B200" s="10"/>
      <c r="C200" s="10"/>
      <c r="D200" s="10"/>
      <c r="E200" s="10"/>
      <c r="F200" s="10"/>
      <c r="G200" s="10"/>
      <c r="H200" s="10"/>
      <c r="I200" s="11"/>
      <c r="J200" s="10"/>
    </row>
    <row r="201" spans="1:10" ht="19.5" customHeight="1" x14ac:dyDescent="0.15">
      <c r="A201" s="6"/>
      <c r="B201" s="6"/>
      <c r="C201" s="6"/>
      <c r="D201" s="6"/>
      <c r="E201" s="6"/>
      <c r="F201" s="6"/>
      <c r="G201" s="6"/>
      <c r="H201" s="6"/>
      <c r="I201" s="7"/>
      <c r="J201" s="6"/>
    </row>
    <row r="202" spans="1:10" ht="19.5" customHeight="1" x14ac:dyDescent="0.15">
      <c r="A202" s="10"/>
      <c r="B202" s="10"/>
      <c r="C202" s="10"/>
      <c r="D202" s="10"/>
      <c r="E202" s="10"/>
      <c r="F202" s="10"/>
      <c r="G202" s="10"/>
      <c r="H202" s="10"/>
      <c r="I202" s="11"/>
      <c r="J202" s="10"/>
    </row>
    <row r="203" spans="1:10" ht="19.5" customHeight="1" x14ac:dyDescent="0.15">
      <c r="A203" s="6"/>
      <c r="B203" s="6"/>
      <c r="C203" s="6"/>
      <c r="D203" s="6"/>
      <c r="E203" s="6"/>
      <c r="F203" s="6"/>
      <c r="G203" s="6"/>
      <c r="H203" s="6"/>
      <c r="I203" s="7"/>
      <c r="J203" s="6"/>
    </row>
    <row r="204" spans="1:10" ht="19.5" customHeight="1" x14ac:dyDescent="0.15">
      <c r="A204" s="10"/>
      <c r="B204" s="10"/>
      <c r="C204" s="10"/>
      <c r="D204" s="10"/>
      <c r="E204" s="10"/>
      <c r="F204" s="10"/>
      <c r="G204" s="10"/>
      <c r="H204" s="10"/>
      <c r="I204" s="11"/>
      <c r="J204" s="10"/>
    </row>
    <row r="205" spans="1:10" ht="19.5" customHeight="1" x14ac:dyDescent="0.15">
      <c r="A205" s="6"/>
      <c r="B205" s="6"/>
      <c r="C205" s="6"/>
      <c r="D205" s="6"/>
      <c r="E205" s="6"/>
      <c r="F205" s="6"/>
      <c r="G205" s="6"/>
      <c r="H205" s="6"/>
      <c r="I205" s="7"/>
      <c r="J205" s="6"/>
    </row>
    <row r="206" spans="1:10" ht="19.5" customHeight="1" x14ac:dyDescent="0.15">
      <c r="A206" s="10"/>
      <c r="B206" s="10"/>
      <c r="C206" s="10"/>
      <c r="D206" s="10"/>
      <c r="E206" s="10"/>
      <c r="F206" s="10"/>
      <c r="G206" s="10"/>
      <c r="H206" s="10"/>
      <c r="I206" s="11"/>
      <c r="J206" s="10"/>
    </row>
    <row r="207" spans="1:10" ht="19.5" customHeight="1" x14ac:dyDescent="0.15">
      <c r="A207" s="6"/>
      <c r="B207" s="6"/>
      <c r="C207" s="6"/>
      <c r="D207" s="6"/>
      <c r="E207" s="6"/>
      <c r="F207" s="6"/>
      <c r="G207" s="6"/>
      <c r="H207" s="6"/>
      <c r="I207" s="7"/>
      <c r="J207" s="6"/>
    </row>
    <row r="208" spans="1:10" ht="19.5" customHeight="1" x14ac:dyDescent="0.15">
      <c r="A208" s="10"/>
      <c r="B208" s="10"/>
      <c r="C208" s="10"/>
      <c r="D208" s="10"/>
      <c r="E208" s="10"/>
      <c r="F208" s="10"/>
      <c r="G208" s="10"/>
      <c r="H208" s="10"/>
      <c r="I208" s="11"/>
      <c r="J208" s="10"/>
    </row>
    <row r="209" spans="1:10" ht="19.5" customHeight="1" x14ac:dyDescent="0.15">
      <c r="A209" s="6"/>
      <c r="B209" s="6"/>
      <c r="C209" s="6"/>
      <c r="D209" s="6"/>
      <c r="E209" s="6"/>
      <c r="F209" s="6"/>
      <c r="G209" s="6"/>
      <c r="H209" s="6"/>
      <c r="I209" s="7"/>
      <c r="J209" s="6"/>
    </row>
    <row r="210" spans="1:10" ht="19.5" customHeight="1" x14ac:dyDescent="0.15">
      <c r="A210" s="10"/>
      <c r="B210" s="10"/>
      <c r="C210" s="10"/>
      <c r="D210" s="10"/>
      <c r="E210" s="10"/>
      <c r="F210" s="10"/>
      <c r="G210" s="10"/>
      <c r="H210" s="10"/>
      <c r="I210" s="11"/>
      <c r="J210" s="10"/>
    </row>
    <row r="211" spans="1:10" ht="19.5" customHeight="1" x14ac:dyDescent="0.15">
      <c r="A211" s="6"/>
      <c r="B211" s="6"/>
      <c r="C211" s="6"/>
      <c r="D211" s="6"/>
      <c r="E211" s="6"/>
      <c r="F211" s="6"/>
      <c r="G211" s="6"/>
      <c r="H211" s="6"/>
      <c r="I211" s="7"/>
      <c r="J211" s="6"/>
    </row>
    <row r="212" spans="1:10" ht="19.5" customHeight="1" x14ac:dyDescent="0.15">
      <c r="A212" s="10"/>
      <c r="B212" s="10"/>
      <c r="C212" s="10"/>
      <c r="D212" s="10"/>
      <c r="E212" s="10"/>
      <c r="F212" s="10"/>
      <c r="G212" s="10"/>
      <c r="H212" s="10"/>
      <c r="I212" s="11"/>
      <c r="J212" s="10"/>
    </row>
    <row r="213" spans="1:10" ht="19.5" customHeight="1" x14ac:dyDescent="0.15">
      <c r="A213" s="6"/>
      <c r="B213" s="6"/>
      <c r="C213" s="6"/>
      <c r="D213" s="6"/>
      <c r="E213" s="6"/>
      <c r="F213" s="6"/>
      <c r="G213" s="6"/>
      <c r="H213" s="6"/>
      <c r="I213" s="7"/>
      <c r="J213" s="6"/>
    </row>
    <row r="214" spans="1:10" ht="19.5" customHeight="1" x14ac:dyDescent="0.15">
      <c r="A214" s="10"/>
      <c r="B214" s="10"/>
      <c r="C214" s="10"/>
      <c r="D214" s="10"/>
      <c r="E214" s="10"/>
      <c r="F214" s="10"/>
      <c r="G214" s="10"/>
      <c r="H214" s="10"/>
      <c r="I214" s="11"/>
      <c r="J214" s="10"/>
    </row>
    <row r="215" spans="1:10" ht="19.5" customHeight="1" x14ac:dyDescent="0.15">
      <c r="A215" s="6"/>
      <c r="B215" s="6"/>
      <c r="C215" s="6"/>
      <c r="D215" s="6"/>
      <c r="E215" s="6"/>
      <c r="F215" s="6"/>
      <c r="G215" s="6"/>
      <c r="H215" s="6"/>
      <c r="I215" s="7"/>
      <c r="J215" s="6"/>
    </row>
    <row r="216" spans="1:10" ht="19.5" customHeight="1" x14ac:dyDescent="0.15">
      <c r="A216" s="10"/>
      <c r="B216" s="10"/>
      <c r="C216" s="10"/>
      <c r="D216" s="10"/>
      <c r="E216" s="10"/>
      <c r="F216" s="10"/>
      <c r="G216" s="10"/>
      <c r="H216" s="10"/>
      <c r="I216" s="11"/>
      <c r="J216" s="10"/>
    </row>
    <row r="217" spans="1:10" ht="19.5" customHeight="1" x14ac:dyDescent="0.15">
      <c r="A217" s="6"/>
      <c r="B217" s="6"/>
      <c r="C217" s="6"/>
      <c r="D217" s="6"/>
      <c r="E217" s="6"/>
      <c r="F217" s="6"/>
      <c r="G217" s="6"/>
      <c r="H217" s="6"/>
      <c r="I217" s="7"/>
      <c r="J217" s="6"/>
    </row>
    <row r="218" spans="1:10" ht="19.5" customHeight="1" x14ac:dyDescent="0.15">
      <c r="A218" s="10"/>
      <c r="B218" s="10"/>
      <c r="C218" s="10"/>
      <c r="D218" s="10"/>
      <c r="E218" s="10"/>
      <c r="F218" s="10"/>
      <c r="G218" s="10"/>
      <c r="H218" s="10"/>
      <c r="I218" s="11"/>
      <c r="J218" s="10"/>
    </row>
    <row r="219" spans="1:10" ht="19.5" customHeight="1" x14ac:dyDescent="0.15">
      <c r="A219" s="6"/>
      <c r="B219" s="6"/>
      <c r="C219" s="6"/>
      <c r="D219" s="6"/>
      <c r="E219" s="6"/>
      <c r="F219" s="6"/>
      <c r="G219" s="6"/>
      <c r="H219" s="6"/>
      <c r="I219" s="7"/>
      <c r="J219" s="6"/>
    </row>
    <row r="220" spans="1:10" ht="19.5" customHeight="1" x14ac:dyDescent="0.15">
      <c r="A220" s="10"/>
      <c r="B220" s="10"/>
      <c r="C220" s="10"/>
      <c r="D220" s="10"/>
      <c r="E220" s="10"/>
      <c r="F220" s="10"/>
      <c r="G220" s="10"/>
      <c r="H220" s="10"/>
      <c r="I220" s="11"/>
      <c r="J220" s="10"/>
    </row>
    <row r="221" spans="1:10" ht="19.5" customHeight="1" x14ac:dyDescent="0.15">
      <c r="A221" s="6"/>
      <c r="B221" s="6"/>
      <c r="C221" s="6"/>
      <c r="D221" s="6"/>
      <c r="E221" s="6"/>
      <c r="F221" s="6"/>
      <c r="G221" s="6"/>
      <c r="H221" s="6"/>
      <c r="I221" s="7"/>
      <c r="J221" s="6"/>
    </row>
    <row r="222" spans="1:10" ht="19.5" customHeight="1" x14ac:dyDescent="0.15">
      <c r="A222" s="10"/>
      <c r="B222" s="10"/>
      <c r="C222" s="10"/>
      <c r="D222" s="10"/>
      <c r="E222" s="10"/>
      <c r="F222" s="10"/>
      <c r="G222" s="10"/>
      <c r="H222" s="10"/>
      <c r="I222" s="11"/>
      <c r="J222" s="10"/>
    </row>
    <row r="223" spans="1:10" ht="19.5" customHeight="1" x14ac:dyDescent="0.15">
      <c r="A223" s="6"/>
      <c r="B223" s="6"/>
      <c r="C223" s="6"/>
      <c r="D223" s="6"/>
      <c r="E223" s="6"/>
      <c r="F223" s="6"/>
      <c r="G223" s="6"/>
      <c r="H223" s="6"/>
      <c r="I223" s="7"/>
      <c r="J223" s="6"/>
    </row>
    <row r="224" spans="1:10" ht="19.5" customHeight="1" x14ac:dyDescent="0.15">
      <c r="A224" s="10"/>
      <c r="B224" s="10"/>
      <c r="C224" s="10"/>
      <c r="D224" s="10"/>
      <c r="E224" s="10"/>
      <c r="F224" s="10"/>
      <c r="G224" s="10"/>
      <c r="H224" s="10"/>
      <c r="I224" s="11"/>
      <c r="J224" s="10"/>
    </row>
    <row r="225" spans="1:10" ht="19.5" customHeight="1" x14ac:dyDescent="0.15">
      <c r="A225" s="6"/>
      <c r="B225" s="6"/>
      <c r="C225" s="6"/>
      <c r="D225" s="6"/>
      <c r="E225" s="6"/>
      <c r="F225" s="6"/>
      <c r="G225" s="6"/>
      <c r="H225" s="6"/>
      <c r="I225" s="7"/>
      <c r="J225" s="6"/>
    </row>
    <row r="226" spans="1:10" ht="19.5" customHeight="1" x14ac:dyDescent="0.15">
      <c r="A226" s="10"/>
      <c r="B226" s="10"/>
      <c r="C226" s="10"/>
      <c r="D226" s="10"/>
      <c r="E226" s="10"/>
      <c r="F226" s="10"/>
      <c r="G226" s="10"/>
      <c r="H226" s="10"/>
      <c r="I226" s="11"/>
      <c r="J226" s="10"/>
    </row>
    <row r="227" spans="1:10" ht="19.5" customHeight="1" x14ac:dyDescent="0.15">
      <c r="A227" s="6"/>
      <c r="B227" s="6"/>
      <c r="C227" s="6"/>
      <c r="D227" s="6"/>
      <c r="E227" s="6"/>
      <c r="F227" s="6"/>
      <c r="G227" s="6"/>
      <c r="H227" s="6"/>
      <c r="I227" s="7"/>
      <c r="J227" s="6"/>
    </row>
    <row r="228" spans="1:10" ht="19.5" customHeight="1" x14ac:dyDescent="0.15">
      <c r="A228" s="10"/>
      <c r="B228" s="10"/>
      <c r="C228" s="10"/>
      <c r="D228" s="10"/>
      <c r="E228" s="10"/>
      <c r="F228" s="10"/>
      <c r="G228" s="10"/>
      <c r="H228" s="10"/>
      <c r="I228" s="11"/>
      <c r="J228" s="10"/>
    </row>
    <row r="229" spans="1:10" ht="19.5" customHeight="1" x14ac:dyDescent="0.15">
      <c r="A229" s="6"/>
      <c r="B229" s="6"/>
      <c r="C229" s="6"/>
      <c r="D229" s="6"/>
      <c r="E229" s="6"/>
      <c r="F229" s="6"/>
      <c r="G229" s="6"/>
      <c r="H229" s="6"/>
      <c r="I229" s="7"/>
      <c r="J229" s="6"/>
    </row>
    <row r="230" spans="1:10" ht="19.5" customHeight="1" x14ac:dyDescent="0.15">
      <c r="A230" s="10"/>
      <c r="B230" s="10"/>
      <c r="C230" s="10"/>
      <c r="D230" s="10"/>
      <c r="E230" s="10"/>
      <c r="F230" s="10"/>
      <c r="G230" s="10"/>
      <c r="H230" s="10"/>
      <c r="I230" s="11"/>
      <c r="J230" s="10"/>
    </row>
    <row r="231" spans="1:10" ht="19.5" customHeight="1" x14ac:dyDescent="0.15">
      <c r="A231" s="6"/>
      <c r="B231" s="6"/>
      <c r="C231" s="6"/>
      <c r="D231" s="6"/>
      <c r="E231" s="6"/>
      <c r="F231" s="6"/>
      <c r="G231" s="6"/>
      <c r="H231" s="6"/>
      <c r="I231" s="7"/>
      <c r="J231" s="6"/>
    </row>
    <row r="232" spans="1:10" ht="19.5" customHeight="1" x14ac:dyDescent="0.15">
      <c r="A232" s="10"/>
      <c r="B232" s="10"/>
      <c r="C232" s="10"/>
      <c r="D232" s="10"/>
      <c r="E232" s="10"/>
      <c r="F232" s="10"/>
      <c r="G232" s="10"/>
      <c r="H232" s="10"/>
      <c r="I232" s="11"/>
      <c r="J232" s="10"/>
    </row>
    <row r="233" spans="1:10" ht="19.5" customHeight="1" x14ac:dyDescent="0.15">
      <c r="A233" s="6"/>
      <c r="B233" s="6"/>
      <c r="C233" s="6"/>
      <c r="D233" s="6"/>
      <c r="E233" s="6"/>
      <c r="F233" s="6"/>
      <c r="G233" s="6"/>
      <c r="H233" s="6"/>
      <c r="I233" s="7"/>
      <c r="J233" s="6"/>
    </row>
    <row r="234" spans="1:10" ht="19.5" customHeight="1" x14ac:dyDescent="0.15">
      <c r="A234" s="10"/>
      <c r="B234" s="10"/>
      <c r="C234" s="10"/>
      <c r="D234" s="10"/>
      <c r="E234" s="10"/>
      <c r="F234" s="10"/>
      <c r="G234" s="10"/>
      <c r="H234" s="10"/>
      <c r="I234" s="11"/>
      <c r="J234" s="10"/>
    </row>
    <row r="235" spans="1:10" ht="19.5" customHeight="1" x14ac:dyDescent="0.15">
      <c r="A235" s="6"/>
      <c r="B235" s="6"/>
      <c r="C235" s="6"/>
      <c r="D235" s="6"/>
      <c r="E235" s="6"/>
      <c r="F235" s="6"/>
      <c r="G235" s="6"/>
      <c r="H235" s="6"/>
      <c r="I235" s="7"/>
      <c r="J235" s="6"/>
    </row>
    <row r="236" spans="1:10" ht="19.5" customHeight="1" x14ac:dyDescent="0.15">
      <c r="A236" s="10"/>
      <c r="B236" s="10"/>
      <c r="C236" s="10"/>
      <c r="D236" s="10"/>
      <c r="E236" s="10"/>
      <c r="F236" s="10"/>
      <c r="G236" s="10"/>
      <c r="H236" s="10"/>
      <c r="I236" s="11"/>
      <c r="J236" s="10"/>
    </row>
    <row r="237" spans="1:10" ht="19.5" customHeight="1" x14ac:dyDescent="0.15">
      <c r="A237" s="6"/>
      <c r="B237" s="6"/>
      <c r="C237" s="6"/>
      <c r="D237" s="6"/>
      <c r="E237" s="6"/>
      <c r="F237" s="6"/>
      <c r="G237" s="6"/>
      <c r="H237" s="6"/>
      <c r="I237" s="7"/>
      <c r="J237" s="6"/>
    </row>
    <row r="238" spans="1:10" ht="19.5" customHeight="1" x14ac:dyDescent="0.15">
      <c r="A238" s="10"/>
      <c r="B238" s="10"/>
      <c r="C238" s="10"/>
      <c r="D238" s="10"/>
      <c r="E238" s="10"/>
      <c r="F238" s="10"/>
      <c r="G238" s="10"/>
      <c r="H238" s="10"/>
      <c r="I238" s="11"/>
      <c r="J238" s="10"/>
    </row>
    <row r="239" spans="1:10" ht="19.5" customHeight="1" x14ac:dyDescent="0.15">
      <c r="A239" s="6"/>
      <c r="B239" s="6"/>
      <c r="C239" s="6"/>
      <c r="D239" s="6"/>
      <c r="E239" s="6"/>
      <c r="F239" s="6"/>
      <c r="G239" s="6"/>
      <c r="H239" s="6"/>
      <c r="I239" s="7"/>
      <c r="J239" s="6"/>
    </row>
    <row r="240" spans="1:10" ht="19.5" customHeight="1" x14ac:dyDescent="0.15">
      <c r="A240" s="10"/>
      <c r="B240" s="10"/>
      <c r="C240" s="10"/>
      <c r="D240" s="10"/>
      <c r="E240" s="10"/>
      <c r="F240" s="10"/>
      <c r="G240" s="10"/>
      <c r="H240" s="10"/>
      <c r="I240" s="11"/>
      <c r="J240" s="10"/>
    </row>
    <row r="241" spans="1:10" ht="19.5" customHeight="1" x14ac:dyDescent="0.15">
      <c r="A241" s="6"/>
      <c r="B241" s="6"/>
      <c r="C241" s="6"/>
      <c r="D241" s="6"/>
      <c r="E241" s="6"/>
      <c r="F241" s="6"/>
      <c r="G241" s="6"/>
      <c r="H241" s="6"/>
      <c r="I241" s="7"/>
      <c r="J241" s="6"/>
    </row>
    <row r="242" spans="1:10" ht="19.5" customHeight="1" x14ac:dyDescent="0.15">
      <c r="A242" s="10"/>
      <c r="B242" s="10"/>
      <c r="C242" s="10"/>
      <c r="D242" s="10"/>
      <c r="E242" s="10"/>
      <c r="F242" s="10"/>
      <c r="G242" s="10"/>
      <c r="H242" s="10"/>
      <c r="I242" s="11"/>
      <c r="J242" s="10"/>
    </row>
    <row r="243" spans="1:10" ht="19.5" customHeight="1" x14ac:dyDescent="0.15">
      <c r="A243" s="6"/>
      <c r="B243" s="6"/>
      <c r="C243" s="6"/>
      <c r="D243" s="6"/>
      <c r="E243" s="6"/>
      <c r="F243" s="6"/>
      <c r="G243" s="6"/>
      <c r="H243" s="6"/>
      <c r="I243" s="7"/>
      <c r="J243" s="6"/>
    </row>
    <row r="244" spans="1:10" ht="19.5" customHeight="1" x14ac:dyDescent="0.15">
      <c r="A244" s="10"/>
      <c r="B244" s="10"/>
      <c r="C244" s="10"/>
      <c r="D244" s="10"/>
      <c r="E244" s="10"/>
      <c r="F244" s="10"/>
      <c r="G244" s="10"/>
      <c r="H244" s="10"/>
      <c r="I244" s="11"/>
      <c r="J244" s="10"/>
    </row>
    <row r="245" spans="1:10" ht="19.5" customHeight="1" x14ac:dyDescent="0.15">
      <c r="A245" s="6"/>
      <c r="B245" s="6"/>
      <c r="C245" s="6"/>
      <c r="D245" s="6"/>
      <c r="E245" s="6"/>
      <c r="F245" s="6"/>
      <c r="G245" s="6"/>
      <c r="H245" s="6"/>
      <c r="I245" s="7"/>
      <c r="J245" s="6"/>
    </row>
    <row r="246" spans="1:10" ht="19.5" customHeight="1" x14ac:dyDescent="0.15">
      <c r="A246" s="10"/>
      <c r="B246" s="10"/>
      <c r="C246" s="10"/>
      <c r="D246" s="10"/>
      <c r="E246" s="10"/>
      <c r="F246" s="10"/>
      <c r="G246" s="10"/>
      <c r="H246" s="10"/>
      <c r="I246" s="11"/>
      <c r="J246" s="10"/>
    </row>
    <row r="247" spans="1:10" ht="19.5" customHeight="1" x14ac:dyDescent="0.15">
      <c r="A247" s="6"/>
      <c r="B247" s="6"/>
      <c r="C247" s="6"/>
      <c r="D247" s="6"/>
      <c r="E247" s="6"/>
      <c r="F247" s="6"/>
      <c r="G247" s="6"/>
      <c r="H247" s="6"/>
      <c r="I247" s="7"/>
      <c r="J247" s="6"/>
    </row>
    <row r="248" spans="1:10" ht="19.5" customHeight="1" x14ac:dyDescent="0.15">
      <c r="A248" s="10"/>
      <c r="B248" s="10"/>
      <c r="C248" s="10"/>
      <c r="D248" s="10"/>
      <c r="E248" s="10"/>
      <c r="F248" s="10"/>
      <c r="G248" s="10"/>
      <c r="H248" s="10"/>
      <c r="I248" s="11"/>
      <c r="J248" s="10"/>
    </row>
    <row r="249" spans="1:10" ht="19.5" customHeight="1" x14ac:dyDescent="0.15">
      <c r="A249" s="6"/>
      <c r="B249" s="6"/>
      <c r="C249" s="6"/>
      <c r="D249" s="6"/>
      <c r="E249" s="6"/>
      <c r="F249" s="6"/>
      <c r="G249" s="6"/>
      <c r="H249" s="6"/>
      <c r="I249" s="7"/>
      <c r="J249" s="6"/>
    </row>
    <row r="250" spans="1:10" ht="19.5" customHeight="1" x14ac:dyDescent="0.15">
      <c r="A250" s="10"/>
      <c r="B250" s="10"/>
      <c r="C250" s="10"/>
      <c r="D250" s="10"/>
      <c r="E250" s="10"/>
      <c r="F250" s="10"/>
      <c r="G250" s="10"/>
      <c r="H250" s="10"/>
      <c r="I250" s="11"/>
      <c r="J250" s="10"/>
    </row>
    <row r="251" spans="1:10" ht="19.5" customHeight="1" x14ac:dyDescent="0.15">
      <c r="A251" s="6"/>
      <c r="B251" s="6"/>
      <c r="C251" s="6"/>
      <c r="D251" s="6"/>
      <c r="E251" s="6"/>
      <c r="F251" s="6"/>
      <c r="G251" s="6"/>
      <c r="H251" s="6"/>
      <c r="I251" s="7"/>
      <c r="J251" s="6"/>
    </row>
    <row r="252" spans="1:10" ht="19.5" customHeight="1" x14ac:dyDescent="0.15">
      <c r="A252" s="10"/>
      <c r="B252" s="10"/>
      <c r="C252" s="10"/>
      <c r="D252" s="10"/>
      <c r="E252" s="10"/>
      <c r="F252" s="10"/>
      <c r="G252" s="10"/>
      <c r="H252" s="10"/>
      <c r="I252" s="11"/>
      <c r="J252" s="10"/>
    </row>
    <row r="253" spans="1:10" ht="19.5" customHeight="1" x14ac:dyDescent="0.15">
      <c r="A253" s="6"/>
      <c r="B253" s="6"/>
      <c r="C253" s="6"/>
      <c r="D253" s="6"/>
      <c r="E253" s="6"/>
      <c r="F253" s="6"/>
      <c r="G253" s="6"/>
      <c r="H253" s="6"/>
      <c r="I253" s="7"/>
      <c r="J253" s="6"/>
    </row>
    <row r="254" spans="1:10" ht="19.5" customHeight="1" x14ac:dyDescent="0.15">
      <c r="A254" s="10"/>
      <c r="B254" s="10"/>
      <c r="C254" s="10"/>
      <c r="D254" s="10"/>
      <c r="E254" s="10"/>
      <c r="F254" s="10"/>
      <c r="G254" s="10"/>
      <c r="H254" s="10"/>
      <c r="I254" s="11"/>
      <c r="J254" s="10"/>
    </row>
    <row r="255" spans="1:10" ht="19.5" customHeight="1" x14ac:dyDescent="0.15">
      <c r="A255" s="6"/>
      <c r="B255" s="6"/>
      <c r="C255" s="6"/>
      <c r="D255" s="6"/>
      <c r="E255" s="6"/>
      <c r="F255" s="6"/>
      <c r="G255" s="6"/>
      <c r="H255" s="6"/>
      <c r="I255" s="7"/>
      <c r="J255" s="6"/>
    </row>
    <row r="256" spans="1:10" ht="19.5" customHeight="1" x14ac:dyDescent="0.15">
      <c r="A256" s="10"/>
      <c r="B256" s="10"/>
      <c r="C256" s="10"/>
      <c r="D256" s="10"/>
      <c r="E256" s="10"/>
      <c r="F256" s="10"/>
      <c r="G256" s="10"/>
      <c r="H256" s="10"/>
      <c r="I256" s="11"/>
      <c r="J256" s="10"/>
    </row>
    <row r="257" spans="1:10" ht="19.5" customHeight="1" x14ac:dyDescent="0.15">
      <c r="A257" s="6"/>
      <c r="B257" s="6"/>
      <c r="C257" s="6"/>
      <c r="D257" s="6"/>
      <c r="E257" s="6"/>
      <c r="F257" s="6"/>
      <c r="G257" s="6"/>
      <c r="H257" s="6"/>
      <c r="I257" s="7"/>
      <c r="J257" s="6"/>
    </row>
    <row r="258" spans="1:10" ht="19.5" customHeight="1" x14ac:dyDescent="0.15">
      <c r="A258" s="10"/>
      <c r="B258" s="10"/>
      <c r="C258" s="10"/>
      <c r="D258" s="10"/>
      <c r="E258" s="10"/>
      <c r="F258" s="10"/>
      <c r="G258" s="10"/>
      <c r="H258" s="10"/>
      <c r="I258" s="11"/>
      <c r="J258" s="10"/>
    </row>
    <row r="259" spans="1:10" ht="19.5" customHeight="1" x14ac:dyDescent="0.15">
      <c r="A259" s="6"/>
      <c r="B259" s="6"/>
      <c r="C259" s="6"/>
      <c r="D259" s="6"/>
      <c r="E259" s="6"/>
      <c r="F259" s="6"/>
      <c r="G259" s="6"/>
      <c r="H259" s="6"/>
      <c r="I259" s="7"/>
      <c r="J259" s="6"/>
    </row>
    <row r="260" spans="1:10" ht="19.5" customHeight="1" x14ac:dyDescent="0.15">
      <c r="A260" s="10"/>
      <c r="B260" s="10"/>
      <c r="C260" s="10"/>
      <c r="D260" s="10"/>
      <c r="E260" s="10"/>
      <c r="F260" s="10"/>
      <c r="G260" s="10"/>
      <c r="H260" s="10"/>
      <c r="I260" s="11"/>
      <c r="J260" s="10"/>
    </row>
    <row r="261" spans="1:10" ht="19.5" customHeight="1" x14ac:dyDescent="0.15">
      <c r="A261" s="6"/>
      <c r="B261" s="6"/>
      <c r="C261" s="6"/>
      <c r="D261" s="6"/>
      <c r="E261" s="6"/>
      <c r="F261" s="6"/>
      <c r="G261" s="6"/>
      <c r="H261" s="6"/>
      <c r="I261" s="7"/>
      <c r="J261" s="6"/>
    </row>
    <row r="262" spans="1:10" ht="19.5" customHeight="1" x14ac:dyDescent="0.15">
      <c r="A262" s="10"/>
      <c r="B262" s="10"/>
      <c r="C262" s="10"/>
      <c r="D262" s="10"/>
      <c r="E262" s="10"/>
      <c r="F262" s="10"/>
      <c r="G262" s="10"/>
      <c r="H262" s="10"/>
      <c r="I262" s="11"/>
      <c r="J262" s="10"/>
    </row>
    <row r="263" spans="1:10" ht="19.5" customHeight="1" x14ac:dyDescent="0.15">
      <c r="A263" s="6"/>
      <c r="B263" s="6"/>
      <c r="C263" s="6"/>
      <c r="D263" s="6"/>
      <c r="E263" s="6"/>
      <c r="F263" s="6"/>
      <c r="G263" s="6"/>
      <c r="H263" s="6"/>
      <c r="I263" s="7"/>
      <c r="J263" s="6"/>
    </row>
    <row r="264" spans="1:10" ht="19.5" customHeight="1" x14ac:dyDescent="0.15">
      <c r="A264" s="10"/>
      <c r="B264" s="10"/>
      <c r="C264" s="10"/>
      <c r="D264" s="10"/>
      <c r="E264" s="10"/>
      <c r="F264" s="10"/>
      <c r="G264" s="10"/>
      <c r="H264" s="10"/>
      <c r="I264" s="11"/>
      <c r="J264" s="10"/>
    </row>
    <row r="265" spans="1:10" ht="19.5" customHeight="1" x14ac:dyDescent="0.15">
      <c r="A265" s="6"/>
      <c r="B265" s="6"/>
      <c r="C265" s="6"/>
      <c r="D265" s="6"/>
      <c r="E265" s="6"/>
      <c r="F265" s="6"/>
      <c r="G265" s="6"/>
      <c r="H265" s="6"/>
      <c r="I265" s="7"/>
      <c r="J265" s="6"/>
    </row>
    <row r="266" spans="1:10" ht="19.5" customHeight="1" x14ac:dyDescent="0.15">
      <c r="A266" s="10"/>
      <c r="B266" s="10"/>
      <c r="C266" s="10"/>
      <c r="D266" s="10"/>
      <c r="E266" s="10"/>
      <c r="F266" s="10"/>
      <c r="G266" s="10"/>
      <c r="H266" s="10"/>
      <c r="I266" s="11"/>
      <c r="J266" s="10"/>
    </row>
    <row r="267" spans="1:10" ht="19.5" customHeight="1" x14ac:dyDescent="0.15">
      <c r="A267" s="6"/>
      <c r="B267" s="6"/>
      <c r="C267" s="6"/>
      <c r="D267" s="6"/>
      <c r="E267" s="6"/>
      <c r="F267" s="6"/>
      <c r="G267" s="6"/>
      <c r="H267" s="6"/>
      <c r="I267" s="7"/>
      <c r="J267" s="6"/>
    </row>
    <row r="268" spans="1:10" ht="19.5" customHeight="1" x14ac:dyDescent="0.15">
      <c r="A268" s="10"/>
      <c r="B268" s="10"/>
      <c r="C268" s="10"/>
      <c r="D268" s="10"/>
      <c r="E268" s="10"/>
      <c r="F268" s="10"/>
      <c r="G268" s="10"/>
      <c r="H268" s="10"/>
      <c r="I268" s="11"/>
      <c r="J268" s="10"/>
    </row>
    <row r="269" spans="1:10" ht="19.5" customHeight="1" x14ac:dyDescent="0.15">
      <c r="A269" s="6"/>
      <c r="B269" s="6"/>
      <c r="C269" s="6"/>
      <c r="D269" s="6"/>
      <c r="E269" s="6"/>
      <c r="F269" s="6"/>
      <c r="G269" s="6"/>
      <c r="H269" s="6"/>
      <c r="I269" s="7"/>
      <c r="J269" s="6"/>
    </row>
    <row r="270" spans="1:10" ht="19.5" customHeight="1" x14ac:dyDescent="0.15">
      <c r="A270" s="10"/>
      <c r="B270" s="10"/>
      <c r="C270" s="10"/>
      <c r="D270" s="10"/>
      <c r="E270" s="10"/>
      <c r="F270" s="10"/>
      <c r="G270" s="10"/>
      <c r="H270" s="10"/>
      <c r="I270" s="11"/>
      <c r="J270" s="10"/>
    </row>
    <row r="271" spans="1:10" ht="19.5" customHeight="1" x14ac:dyDescent="0.15">
      <c r="A271" s="6"/>
      <c r="B271" s="6"/>
      <c r="C271" s="6"/>
      <c r="D271" s="6"/>
      <c r="E271" s="6"/>
      <c r="F271" s="6"/>
      <c r="G271" s="6"/>
      <c r="H271" s="6"/>
      <c r="I271" s="7"/>
      <c r="J271" s="6"/>
    </row>
    <row r="272" spans="1:10" ht="19.5" customHeight="1" x14ac:dyDescent="0.15">
      <c r="A272" s="10"/>
      <c r="B272" s="10"/>
      <c r="C272" s="10"/>
      <c r="D272" s="10"/>
      <c r="E272" s="10"/>
      <c r="F272" s="10"/>
      <c r="G272" s="10"/>
      <c r="H272" s="10"/>
      <c r="I272" s="11"/>
      <c r="J272" s="10"/>
    </row>
    <row r="273" spans="1:10" ht="19.5" customHeight="1" x14ac:dyDescent="0.15">
      <c r="A273" s="6"/>
      <c r="B273" s="6"/>
      <c r="C273" s="6"/>
      <c r="D273" s="6"/>
      <c r="E273" s="6"/>
      <c r="F273" s="6"/>
      <c r="G273" s="6"/>
      <c r="H273" s="6"/>
      <c r="I273" s="7"/>
      <c r="J273" s="6"/>
    </row>
    <row r="274" spans="1:10" ht="19.5" customHeight="1" x14ac:dyDescent="0.15">
      <c r="A274" s="10"/>
      <c r="B274" s="10"/>
      <c r="C274" s="10"/>
      <c r="D274" s="10"/>
      <c r="E274" s="10"/>
      <c r="F274" s="10"/>
      <c r="G274" s="10"/>
      <c r="H274" s="10"/>
      <c r="I274" s="11"/>
      <c r="J274" s="10"/>
    </row>
    <row r="275" spans="1:10" ht="19.5" customHeight="1" x14ac:dyDescent="0.15">
      <c r="A275" s="6"/>
      <c r="B275" s="6"/>
      <c r="C275" s="6"/>
      <c r="D275" s="6"/>
      <c r="E275" s="6"/>
      <c r="F275" s="6"/>
      <c r="G275" s="6"/>
      <c r="H275" s="6"/>
      <c r="I275" s="7"/>
      <c r="J275" s="6"/>
    </row>
    <row r="276" spans="1:10" ht="19.5" customHeight="1" x14ac:dyDescent="0.15">
      <c r="A276" s="10"/>
      <c r="B276" s="10"/>
      <c r="C276" s="10"/>
      <c r="D276" s="10"/>
      <c r="E276" s="10"/>
      <c r="F276" s="10"/>
      <c r="G276" s="10"/>
      <c r="H276" s="10"/>
      <c r="I276" s="11"/>
      <c r="J276" s="10"/>
    </row>
    <row r="277" spans="1:10" ht="19.5" customHeight="1" x14ac:dyDescent="0.15">
      <c r="A277" s="6"/>
      <c r="B277" s="6"/>
      <c r="C277" s="6"/>
      <c r="D277" s="6"/>
      <c r="E277" s="6"/>
      <c r="F277" s="6"/>
      <c r="G277" s="6"/>
      <c r="H277" s="6"/>
      <c r="I277" s="7"/>
      <c r="J277" s="6"/>
    </row>
    <row r="278" spans="1:10" ht="19.5" customHeight="1" x14ac:dyDescent="0.15">
      <c r="A278" s="10"/>
      <c r="B278" s="10"/>
      <c r="C278" s="10"/>
      <c r="D278" s="10"/>
      <c r="E278" s="10"/>
      <c r="F278" s="10"/>
      <c r="G278" s="10"/>
      <c r="H278" s="10"/>
      <c r="I278" s="11"/>
      <c r="J278" s="10"/>
    </row>
    <row r="279" spans="1:10" ht="19.5" customHeight="1" x14ac:dyDescent="0.15">
      <c r="A279" s="6"/>
      <c r="B279" s="6"/>
      <c r="C279" s="6"/>
      <c r="D279" s="6"/>
      <c r="E279" s="6"/>
      <c r="F279" s="6"/>
      <c r="G279" s="6"/>
      <c r="H279" s="6"/>
      <c r="I279" s="7"/>
      <c r="J279" s="6"/>
    </row>
    <row r="280" spans="1:10" ht="19.5" customHeight="1" x14ac:dyDescent="0.15">
      <c r="A280" s="10"/>
      <c r="B280" s="10"/>
      <c r="C280" s="10"/>
      <c r="D280" s="10"/>
      <c r="E280" s="10"/>
      <c r="F280" s="10"/>
      <c r="G280" s="10"/>
      <c r="H280" s="10"/>
      <c r="I280" s="11"/>
      <c r="J280" s="10"/>
    </row>
    <row r="281" spans="1:10" ht="19.5" customHeight="1" x14ac:dyDescent="0.15">
      <c r="A281" s="6"/>
      <c r="B281" s="6"/>
      <c r="C281" s="6"/>
      <c r="D281" s="6"/>
      <c r="E281" s="6"/>
      <c r="F281" s="6"/>
      <c r="G281" s="6"/>
      <c r="H281" s="6"/>
      <c r="I281" s="7"/>
      <c r="J281" s="6"/>
    </row>
    <row r="282" spans="1:10" ht="19.5" customHeight="1" x14ac:dyDescent="0.15">
      <c r="A282" s="10"/>
      <c r="B282" s="10"/>
      <c r="C282" s="10"/>
      <c r="D282" s="10"/>
      <c r="E282" s="10"/>
      <c r="F282" s="10"/>
      <c r="G282" s="10"/>
      <c r="H282" s="10"/>
      <c r="I282" s="11"/>
      <c r="J282" s="10"/>
    </row>
    <row r="283" spans="1:10" ht="19.5" customHeight="1" x14ac:dyDescent="0.15">
      <c r="A283" s="6"/>
      <c r="B283" s="6"/>
      <c r="C283" s="6"/>
      <c r="D283" s="6"/>
      <c r="E283" s="6"/>
      <c r="F283" s="6"/>
      <c r="G283" s="6"/>
      <c r="H283" s="6"/>
      <c r="I283" s="7"/>
      <c r="J283" s="6"/>
    </row>
    <row r="284" spans="1:10" ht="19.5" customHeight="1" x14ac:dyDescent="0.15">
      <c r="A284" s="10"/>
      <c r="B284" s="10"/>
      <c r="C284" s="10"/>
      <c r="D284" s="10"/>
      <c r="E284" s="10"/>
      <c r="F284" s="10"/>
      <c r="G284" s="10"/>
      <c r="H284" s="10"/>
      <c r="I284" s="11"/>
      <c r="J284" s="10"/>
    </row>
    <row r="285" spans="1:10" ht="19.5" customHeight="1" x14ac:dyDescent="0.15">
      <c r="A285" s="6"/>
      <c r="B285" s="6"/>
      <c r="C285" s="6"/>
      <c r="D285" s="6"/>
      <c r="E285" s="6"/>
      <c r="F285" s="6"/>
      <c r="G285" s="6"/>
      <c r="H285" s="6"/>
      <c r="I285" s="7"/>
      <c r="J285" s="6"/>
    </row>
    <row r="286" spans="1:10" ht="19.5" customHeight="1" x14ac:dyDescent="0.15">
      <c r="A286" s="10"/>
      <c r="B286" s="10"/>
      <c r="C286" s="10"/>
      <c r="D286" s="10"/>
      <c r="E286" s="10"/>
      <c r="F286" s="10"/>
      <c r="G286" s="10"/>
      <c r="H286" s="10"/>
      <c r="I286" s="11"/>
      <c r="J286" s="10"/>
    </row>
    <row r="287" spans="1:10" ht="19.5" customHeight="1" x14ac:dyDescent="0.15">
      <c r="A287" s="6"/>
      <c r="B287" s="6"/>
      <c r="C287" s="6"/>
      <c r="D287" s="6"/>
      <c r="E287" s="6"/>
      <c r="F287" s="6"/>
      <c r="G287" s="6"/>
      <c r="H287" s="6"/>
      <c r="I287" s="7"/>
      <c r="J287" s="6"/>
    </row>
    <row r="288" spans="1:10" ht="19.5" customHeight="1" x14ac:dyDescent="0.15">
      <c r="A288" s="10"/>
      <c r="B288" s="10"/>
      <c r="C288" s="10"/>
      <c r="D288" s="10"/>
      <c r="E288" s="10"/>
      <c r="F288" s="10"/>
      <c r="G288" s="10"/>
      <c r="H288" s="10"/>
      <c r="I288" s="11"/>
      <c r="J288" s="10"/>
    </row>
    <row r="289" spans="1:10" ht="19.5" customHeight="1" x14ac:dyDescent="0.15">
      <c r="A289" s="6"/>
      <c r="B289" s="6"/>
      <c r="C289" s="6"/>
      <c r="D289" s="6"/>
      <c r="E289" s="6"/>
      <c r="F289" s="6"/>
      <c r="G289" s="6"/>
      <c r="H289" s="6"/>
      <c r="I289" s="7"/>
      <c r="J289" s="6"/>
    </row>
    <row r="290" spans="1:10" ht="19.5" customHeight="1" x14ac:dyDescent="0.15">
      <c r="A290" s="10"/>
      <c r="B290" s="10"/>
      <c r="C290" s="10"/>
      <c r="D290" s="10"/>
      <c r="E290" s="10"/>
      <c r="F290" s="10"/>
      <c r="G290" s="10"/>
      <c r="H290" s="10"/>
      <c r="I290" s="11"/>
      <c r="J290" s="10"/>
    </row>
    <row r="291" spans="1:10" ht="19.5" customHeight="1" x14ac:dyDescent="0.15">
      <c r="A291" s="6"/>
      <c r="B291" s="6"/>
      <c r="C291" s="6"/>
      <c r="D291" s="6"/>
      <c r="E291" s="6"/>
      <c r="F291" s="6"/>
      <c r="G291" s="6"/>
      <c r="H291" s="6"/>
      <c r="I291" s="7"/>
      <c r="J291" s="6"/>
    </row>
    <row r="292" spans="1:10" ht="19.5" customHeight="1" x14ac:dyDescent="0.15">
      <c r="A292" s="10"/>
      <c r="B292" s="10"/>
      <c r="C292" s="10"/>
      <c r="D292" s="10"/>
      <c r="E292" s="10"/>
      <c r="F292" s="10"/>
      <c r="G292" s="10"/>
      <c r="H292" s="10"/>
      <c r="I292" s="11"/>
      <c r="J292" s="10"/>
    </row>
    <row r="293" spans="1:10" ht="19.5" customHeight="1" x14ac:dyDescent="0.15">
      <c r="A293" s="6"/>
      <c r="B293" s="6"/>
      <c r="C293" s="6"/>
      <c r="D293" s="6"/>
      <c r="E293" s="6"/>
      <c r="F293" s="6"/>
      <c r="G293" s="6"/>
      <c r="H293" s="6"/>
      <c r="I293" s="7"/>
      <c r="J293" s="6"/>
    </row>
    <row r="294" spans="1:10" ht="19.5" customHeight="1" x14ac:dyDescent="0.15">
      <c r="A294" s="10"/>
      <c r="B294" s="10"/>
      <c r="C294" s="10"/>
      <c r="D294" s="10"/>
      <c r="E294" s="10"/>
      <c r="F294" s="10"/>
      <c r="G294" s="10"/>
      <c r="H294" s="10"/>
      <c r="I294" s="11"/>
      <c r="J294" s="10"/>
    </row>
    <row r="295" spans="1:10" ht="19.5" customHeight="1" x14ac:dyDescent="0.15">
      <c r="A295" s="6"/>
      <c r="B295" s="6"/>
      <c r="C295" s="6"/>
      <c r="D295" s="6"/>
      <c r="E295" s="6"/>
      <c r="F295" s="6"/>
      <c r="G295" s="6"/>
      <c r="H295" s="6"/>
      <c r="I295" s="7"/>
      <c r="J295" s="6"/>
    </row>
    <row r="296" spans="1:10" ht="19.5" customHeight="1" x14ac:dyDescent="0.15">
      <c r="A296" s="10"/>
      <c r="B296" s="10"/>
      <c r="C296" s="10"/>
      <c r="D296" s="10"/>
      <c r="E296" s="10"/>
      <c r="F296" s="10"/>
      <c r="G296" s="10"/>
      <c r="H296" s="10"/>
      <c r="I296" s="11"/>
      <c r="J296" s="10"/>
    </row>
    <row r="297" spans="1:10" ht="19.5" customHeight="1" x14ac:dyDescent="0.15">
      <c r="A297" s="6"/>
      <c r="B297" s="6"/>
      <c r="C297" s="6"/>
      <c r="D297" s="6"/>
      <c r="E297" s="6"/>
      <c r="F297" s="6"/>
      <c r="G297" s="6"/>
      <c r="H297" s="6"/>
      <c r="I297" s="7"/>
      <c r="J297" s="6"/>
    </row>
    <row r="298" spans="1:10" ht="19.5" customHeight="1" x14ac:dyDescent="0.15">
      <c r="A298" s="10"/>
      <c r="B298" s="10"/>
      <c r="C298" s="10"/>
      <c r="D298" s="10"/>
      <c r="E298" s="10"/>
      <c r="F298" s="10"/>
      <c r="G298" s="10"/>
      <c r="H298" s="10"/>
      <c r="I298" s="11"/>
      <c r="J298" s="10"/>
    </row>
    <row r="299" spans="1:10" ht="19.5" customHeight="1" x14ac:dyDescent="0.15">
      <c r="A299" s="6"/>
      <c r="B299" s="6"/>
      <c r="C299" s="6"/>
      <c r="D299" s="6"/>
      <c r="E299" s="6"/>
      <c r="F299" s="6"/>
      <c r="G299" s="6"/>
      <c r="H299" s="6"/>
      <c r="I299" s="7"/>
      <c r="J299" s="6"/>
    </row>
    <row r="300" spans="1:10" ht="19.5" customHeight="1" x14ac:dyDescent="0.15">
      <c r="A300" s="10"/>
      <c r="B300" s="10"/>
      <c r="C300" s="10"/>
      <c r="D300" s="10"/>
      <c r="E300" s="10"/>
      <c r="F300" s="10"/>
      <c r="G300" s="10"/>
      <c r="H300" s="10"/>
      <c r="I300" s="11"/>
      <c r="J300" s="10"/>
    </row>
    <row r="301" spans="1:10" ht="19.5" customHeight="1" x14ac:dyDescent="0.15">
      <c r="A301" s="6"/>
      <c r="B301" s="6"/>
      <c r="C301" s="6"/>
      <c r="D301" s="6"/>
      <c r="E301" s="6"/>
      <c r="F301" s="6"/>
      <c r="G301" s="6"/>
      <c r="H301" s="6"/>
      <c r="I301" s="7"/>
      <c r="J301" s="6"/>
    </row>
    <row r="302" spans="1:10" ht="19.5" customHeight="1" x14ac:dyDescent="0.15">
      <c r="A302" s="10"/>
      <c r="B302" s="10"/>
      <c r="C302" s="10"/>
      <c r="D302" s="10"/>
      <c r="E302" s="10"/>
      <c r="F302" s="10"/>
      <c r="G302" s="10"/>
      <c r="H302" s="10"/>
      <c r="I302" s="11"/>
      <c r="J302" s="10"/>
    </row>
    <row r="303" spans="1:10" ht="19.5" customHeight="1" x14ac:dyDescent="0.15">
      <c r="A303" s="6"/>
      <c r="B303" s="6"/>
      <c r="C303" s="6"/>
      <c r="D303" s="6"/>
      <c r="E303" s="6"/>
      <c r="F303" s="6"/>
      <c r="G303" s="6"/>
      <c r="H303" s="6"/>
      <c r="I303" s="7"/>
      <c r="J303" s="6"/>
    </row>
  </sheetData>
  <mergeCells count="2">
    <mergeCell ref="A1:J1"/>
    <mergeCell ref="A2:J2"/>
  </mergeCells>
  <conditionalFormatting sqref="C4:C303">
    <cfRule type="containsText" dxfId="3" priority="2" operator="containsText" text="HIGH">
      <formula>NOT(ISERROR(SEARCH("HIGH",C4)))</formula>
    </cfRule>
    <cfRule type="containsText" dxfId="2" priority="3" operator="containsText" text="MEDIUM">
      <formula>NOT(ISERROR(SEARCH("MEDIUM",C4)))</formula>
    </cfRule>
  </conditionalFormatting>
  <conditionalFormatting sqref="J4:J303">
    <cfRule type="containsText" dxfId="1" priority="4" operator="containsText" text="Overdue">
      <formula>NOT(ISERROR(SEARCH("Overdue",J4)))</formula>
    </cfRule>
    <cfRule type="containsText" dxfId="0" priority="5" operator="containsText" text="Completed">
      <formula>NOT(ISERROR(SEARCH("Completed",J4)))</formula>
    </cfRule>
  </conditionalFormatting>
  <dataValidations count="2">
    <dataValidation type="list" sqref="E4:E303" xr:uid="{00000000-0002-0000-0B00-000000000000}">
      <formula1>"PM Site Visit,SSV,HSQE Audit,Coaching Session,Engagement Visit,Post-Cut Inspection"</formula1>
      <formula2>0</formula2>
    </dataValidation>
    <dataValidation type="list" sqref="J4:J303" xr:uid="{00000000-0002-0000-0B00-000001000000}">
      <formula1>"Planned,Completed,Overdue,Cancelled"</formula1>
      <formula2>0</formula2>
    </dataValidation>
  </dataValidation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980B9"/>
  </sheetPr>
  <dimension ref="A1:H69"/>
  <sheetViews>
    <sheetView showGridLines="0" zoomScaleNormal="100" workbookViewId="0"/>
  </sheetViews>
  <sheetFormatPr baseColWidth="10" defaultColWidth="8.6640625" defaultRowHeight="15" customHeight="1" x14ac:dyDescent="0.2"/>
  <cols>
    <col min="1" max="1" width="6" style="1" customWidth="1"/>
    <col min="2" max="2" width="36" style="1" customWidth="1"/>
    <col min="3" max="3" width="16" style="1" customWidth="1"/>
    <col min="4" max="4" width="13" style="1" customWidth="1"/>
    <col min="5" max="5" width="12" style="1" customWidth="1"/>
    <col min="6" max="6" width="15" style="1" customWidth="1"/>
    <col min="7" max="7" width="28" style="1" customWidth="1"/>
    <col min="8" max="8" width="10" style="1" customWidth="1"/>
  </cols>
  <sheetData>
    <row r="1" spans="1:8" ht="36" customHeight="1" x14ac:dyDescent="0.2">
      <c r="A1" s="121" t="s">
        <v>2378</v>
      </c>
      <c r="B1" s="122"/>
      <c r="C1" s="122"/>
      <c r="D1" s="122"/>
      <c r="E1" s="122"/>
      <c r="F1" s="122"/>
      <c r="G1" s="122"/>
      <c r="H1" s="122"/>
    </row>
    <row r="2" spans="1:8" ht="30" customHeight="1" x14ac:dyDescent="0.2">
      <c r="A2" s="140" t="s">
        <v>2379</v>
      </c>
      <c r="B2" s="122"/>
      <c r="C2" s="122"/>
      <c r="D2" s="122"/>
      <c r="E2" s="122"/>
      <c r="F2" s="122"/>
      <c r="G2" s="122"/>
      <c r="H2" s="122"/>
    </row>
    <row r="4" spans="1:8" ht="27.75" customHeight="1" x14ac:dyDescent="0.2">
      <c r="A4" s="169" t="s">
        <v>2380</v>
      </c>
      <c r="B4" s="122"/>
      <c r="C4" s="122"/>
      <c r="D4" s="122"/>
      <c r="E4" s="122"/>
      <c r="F4" s="122"/>
      <c r="G4" s="122"/>
      <c r="H4" s="122"/>
    </row>
    <row r="5" spans="1:8" ht="21.75" customHeight="1" x14ac:dyDescent="0.15">
      <c r="A5" s="75" t="s">
        <v>2381</v>
      </c>
      <c r="B5" s="170"/>
      <c r="C5" s="119"/>
      <c r="D5" s="119"/>
      <c r="E5" s="119"/>
      <c r="F5" s="119"/>
      <c r="G5" s="119"/>
      <c r="H5" s="119"/>
    </row>
    <row r="6" spans="1:8" ht="21.75" customHeight="1" x14ac:dyDescent="0.15">
      <c r="A6" s="75" t="s">
        <v>2382</v>
      </c>
      <c r="B6" s="170"/>
      <c r="C6" s="119"/>
      <c r="D6" s="119"/>
      <c r="E6" s="119"/>
      <c r="F6" s="119"/>
      <c r="G6" s="119"/>
      <c r="H6" s="119"/>
    </row>
    <row r="7" spans="1:8" ht="21.75" customHeight="1" x14ac:dyDescent="0.15">
      <c r="A7" s="75" t="s">
        <v>2383</v>
      </c>
      <c r="B7" s="170"/>
      <c r="C7" s="119"/>
      <c r="D7" s="119"/>
      <c r="E7" s="119"/>
      <c r="F7" s="119"/>
      <c r="G7" s="119"/>
      <c r="H7" s="119"/>
    </row>
    <row r="8" spans="1:8" ht="21.75" customHeight="1" x14ac:dyDescent="0.15">
      <c r="A8" s="75" t="s">
        <v>2384</v>
      </c>
      <c r="B8" s="170"/>
      <c r="C8" s="119"/>
      <c r="D8" s="119"/>
      <c r="E8" s="119"/>
      <c r="F8" s="119"/>
      <c r="G8" s="119"/>
      <c r="H8" s="119"/>
    </row>
    <row r="9" spans="1:8" ht="21.75" customHeight="1" x14ac:dyDescent="0.15">
      <c r="A9" s="75" t="s">
        <v>2385</v>
      </c>
      <c r="B9" s="170"/>
      <c r="C9" s="119"/>
      <c r="D9" s="119"/>
      <c r="E9" s="119"/>
      <c r="F9" s="119"/>
      <c r="G9" s="119"/>
      <c r="H9" s="119"/>
    </row>
    <row r="11" spans="1:8" ht="25.5" customHeight="1" x14ac:dyDescent="0.2">
      <c r="A11" s="172" t="s">
        <v>2386</v>
      </c>
      <c r="B11" s="122"/>
      <c r="C11" s="122"/>
      <c r="D11" s="122"/>
      <c r="E11" s="122"/>
      <c r="F11" s="122"/>
      <c r="G11" s="122"/>
      <c r="H11" s="122"/>
    </row>
    <row r="12" spans="1:8" ht="30" customHeight="1" x14ac:dyDescent="0.15">
      <c r="A12" s="76" t="s">
        <v>2387</v>
      </c>
      <c r="B12" s="76" t="s">
        <v>2388</v>
      </c>
      <c r="C12" s="76" t="s">
        <v>2389</v>
      </c>
      <c r="D12" s="76" t="s">
        <v>2390</v>
      </c>
      <c r="E12" s="76" t="s">
        <v>27</v>
      </c>
      <c r="F12" s="76" t="s">
        <v>860</v>
      </c>
      <c r="G12" s="76" t="s">
        <v>263</v>
      </c>
      <c r="H12" s="76" t="s">
        <v>2391</v>
      </c>
    </row>
    <row r="13" spans="1:8" ht="19.5" customHeight="1" x14ac:dyDescent="0.15">
      <c r="A13" s="6">
        <v>1</v>
      </c>
      <c r="B13" s="7"/>
      <c r="C13" s="6"/>
      <c r="D13" s="6"/>
      <c r="E13" s="6" t="s">
        <v>2392</v>
      </c>
      <c r="F13" s="6"/>
      <c r="G13" s="7"/>
      <c r="H13" s="6" t="s">
        <v>268</v>
      </c>
    </row>
    <row r="14" spans="1:8" ht="19.5" customHeight="1" x14ac:dyDescent="0.15">
      <c r="A14" s="10">
        <v>2</v>
      </c>
      <c r="B14" s="11"/>
      <c r="C14" s="10"/>
      <c r="D14" s="10"/>
      <c r="E14" s="10" t="s">
        <v>2392</v>
      </c>
      <c r="F14" s="10"/>
      <c r="G14" s="11"/>
      <c r="H14" s="10" t="s">
        <v>268</v>
      </c>
    </row>
    <row r="15" spans="1:8" ht="19.5" customHeight="1" x14ac:dyDescent="0.15">
      <c r="A15" s="6">
        <v>3</v>
      </c>
      <c r="B15" s="7"/>
      <c r="C15" s="6"/>
      <c r="D15" s="6"/>
      <c r="E15" s="6" t="s">
        <v>2392</v>
      </c>
      <c r="F15" s="6"/>
      <c r="G15" s="7"/>
      <c r="H15" s="6" t="s">
        <v>268</v>
      </c>
    </row>
    <row r="16" spans="1:8" ht="19.5" customHeight="1" x14ac:dyDescent="0.15">
      <c r="A16" s="10">
        <v>4</v>
      </c>
      <c r="B16" s="11"/>
      <c r="C16" s="10"/>
      <c r="D16" s="10"/>
      <c r="E16" s="10" t="s">
        <v>2392</v>
      </c>
      <c r="F16" s="10"/>
      <c r="G16" s="11"/>
      <c r="H16" s="10" t="s">
        <v>268</v>
      </c>
    </row>
    <row r="17" spans="1:8" ht="19.5" customHeight="1" x14ac:dyDescent="0.15">
      <c r="A17" s="6">
        <v>5</v>
      </c>
      <c r="B17" s="7"/>
      <c r="C17" s="6"/>
      <c r="D17" s="6"/>
      <c r="E17" s="6" t="s">
        <v>2392</v>
      </c>
      <c r="F17" s="6"/>
      <c r="G17" s="7"/>
      <c r="H17" s="6" t="s">
        <v>268</v>
      </c>
    </row>
    <row r="18" spans="1:8" ht="19.5" customHeight="1" x14ac:dyDescent="0.15">
      <c r="A18" s="10">
        <v>6</v>
      </c>
      <c r="B18" s="11"/>
      <c r="C18" s="10"/>
      <c r="D18" s="10"/>
      <c r="E18" s="10" t="s">
        <v>2392</v>
      </c>
      <c r="F18" s="10"/>
      <c r="G18" s="11"/>
      <c r="H18" s="10" t="s">
        <v>268</v>
      </c>
    </row>
    <row r="19" spans="1:8" ht="19.5" customHeight="1" x14ac:dyDescent="0.15">
      <c r="A19" s="6">
        <v>7</v>
      </c>
      <c r="B19" s="7"/>
      <c r="C19" s="6"/>
      <c r="D19" s="6"/>
      <c r="E19" s="6" t="s">
        <v>2392</v>
      </c>
      <c r="F19" s="6"/>
      <c r="G19" s="7"/>
      <c r="H19" s="6" t="s">
        <v>268</v>
      </c>
    </row>
    <row r="20" spans="1:8" ht="19.5" customHeight="1" x14ac:dyDescent="0.15">
      <c r="A20" s="10">
        <v>8</v>
      </c>
      <c r="B20" s="11"/>
      <c r="C20" s="10"/>
      <c r="D20" s="10"/>
      <c r="E20" s="10" t="s">
        <v>2392</v>
      </c>
      <c r="F20" s="10"/>
      <c r="G20" s="11"/>
      <c r="H20" s="10" t="s">
        <v>268</v>
      </c>
    </row>
    <row r="21" spans="1:8" ht="19.5" customHeight="1" x14ac:dyDescent="0.15">
      <c r="A21" s="6">
        <v>9</v>
      </c>
      <c r="B21" s="7"/>
      <c r="C21" s="6"/>
      <c r="D21" s="6"/>
      <c r="E21" s="6" t="s">
        <v>2392</v>
      </c>
      <c r="F21" s="6"/>
      <c r="G21" s="7"/>
      <c r="H21" s="6" t="s">
        <v>268</v>
      </c>
    </row>
    <row r="22" spans="1:8" ht="19.5" customHeight="1" x14ac:dyDescent="0.15">
      <c r="A22" s="10">
        <v>10</v>
      </c>
      <c r="B22" s="11"/>
      <c r="C22" s="10"/>
      <c r="D22" s="10"/>
      <c r="E22" s="10" t="s">
        <v>2392</v>
      </c>
      <c r="F22" s="10"/>
      <c r="G22" s="11"/>
      <c r="H22" s="10" t="s">
        <v>268</v>
      </c>
    </row>
    <row r="23" spans="1:8" ht="19.5" customHeight="1" x14ac:dyDescent="0.15">
      <c r="A23" s="6">
        <v>11</v>
      </c>
      <c r="B23" s="7"/>
      <c r="C23" s="6"/>
      <c r="D23" s="6"/>
      <c r="E23" s="6" t="s">
        <v>2392</v>
      </c>
      <c r="F23" s="6"/>
      <c r="G23" s="7"/>
      <c r="H23" s="6" t="s">
        <v>268</v>
      </c>
    </row>
    <row r="24" spans="1:8" ht="19.5" customHeight="1" x14ac:dyDescent="0.15">
      <c r="A24" s="10">
        <v>12</v>
      </c>
      <c r="B24" s="11"/>
      <c r="C24" s="10"/>
      <c r="D24" s="10"/>
      <c r="E24" s="10" t="s">
        <v>2392</v>
      </c>
      <c r="F24" s="10"/>
      <c r="G24" s="11"/>
      <c r="H24" s="10" t="s">
        <v>268</v>
      </c>
    </row>
    <row r="25" spans="1:8" ht="19.5" customHeight="1" x14ac:dyDescent="0.15">
      <c r="A25" s="6">
        <v>13</v>
      </c>
      <c r="B25" s="7"/>
      <c r="C25" s="6"/>
      <c r="D25" s="6"/>
      <c r="E25" s="6" t="s">
        <v>2392</v>
      </c>
      <c r="F25" s="6"/>
      <c r="G25" s="7"/>
      <c r="H25" s="6" t="s">
        <v>268</v>
      </c>
    </row>
    <row r="26" spans="1:8" ht="19.5" customHeight="1" x14ac:dyDescent="0.15">
      <c r="A26" s="10">
        <v>14</v>
      </c>
      <c r="B26" s="11"/>
      <c r="C26" s="10"/>
      <c r="D26" s="10"/>
      <c r="E26" s="10" t="s">
        <v>2392</v>
      </c>
      <c r="F26" s="10"/>
      <c r="G26" s="11"/>
      <c r="H26" s="10" t="s">
        <v>268</v>
      </c>
    </row>
    <row r="27" spans="1:8" ht="19.5" customHeight="1" x14ac:dyDescent="0.15">
      <c r="A27" s="6">
        <v>15</v>
      </c>
      <c r="B27" s="7"/>
      <c r="C27" s="6"/>
      <c r="D27" s="6"/>
      <c r="E27" s="6" t="s">
        <v>2392</v>
      </c>
      <c r="F27" s="6"/>
      <c r="G27" s="7"/>
      <c r="H27" s="6" t="s">
        <v>268</v>
      </c>
    </row>
    <row r="28" spans="1:8" ht="19.5" customHeight="1" x14ac:dyDescent="0.15">
      <c r="A28" s="10">
        <v>16</v>
      </c>
      <c r="B28" s="11"/>
      <c r="C28" s="10"/>
      <c r="D28" s="10"/>
      <c r="E28" s="10" t="s">
        <v>2392</v>
      </c>
      <c r="F28" s="10"/>
      <c r="G28" s="11"/>
      <c r="H28" s="10" t="s">
        <v>268</v>
      </c>
    </row>
    <row r="29" spans="1:8" ht="19.5" customHeight="1" x14ac:dyDescent="0.15">
      <c r="A29" s="6">
        <v>17</v>
      </c>
      <c r="B29" s="7"/>
      <c r="C29" s="6"/>
      <c r="D29" s="6"/>
      <c r="E29" s="6" t="s">
        <v>2392</v>
      </c>
      <c r="F29" s="6"/>
      <c r="G29" s="7"/>
      <c r="H29" s="6" t="s">
        <v>268</v>
      </c>
    </row>
    <row r="30" spans="1:8" ht="19.5" customHeight="1" x14ac:dyDescent="0.15">
      <c r="A30" s="10">
        <v>18</v>
      </c>
      <c r="B30" s="11"/>
      <c r="C30" s="10"/>
      <c r="D30" s="10"/>
      <c r="E30" s="10" t="s">
        <v>2392</v>
      </c>
      <c r="F30" s="10"/>
      <c r="G30" s="11"/>
      <c r="H30" s="10" t="s">
        <v>268</v>
      </c>
    </row>
    <row r="31" spans="1:8" ht="19.5" customHeight="1" x14ac:dyDescent="0.15">
      <c r="A31" s="6">
        <v>19</v>
      </c>
      <c r="B31" s="7"/>
      <c r="C31" s="6"/>
      <c r="D31" s="6"/>
      <c r="E31" s="6" t="s">
        <v>2392</v>
      </c>
      <c r="F31" s="6"/>
      <c r="G31" s="7"/>
      <c r="H31" s="6" t="s">
        <v>268</v>
      </c>
    </row>
    <row r="32" spans="1:8" ht="19.5" customHeight="1" x14ac:dyDescent="0.15">
      <c r="A32" s="10">
        <v>20</v>
      </c>
      <c r="B32" s="11"/>
      <c r="C32" s="10"/>
      <c r="D32" s="10"/>
      <c r="E32" s="10" t="s">
        <v>2392</v>
      </c>
      <c r="F32" s="10"/>
      <c r="G32" s="11"/>
      <c r="H32" s="10" t="s">
        <v>268</v>
      </c>
    </row>
    <row r="33" spans="1:8" ht="19.5" customHeight="1" x14ac:dyDescent="0.15">
      <c r="A33" s="6">
        <v>21</v>
      </c>
      <c r="B33" s="7"/>
      <c r="C33" s="6"/>
      <c r="D33" s="6"/>
      <c r="E33" s="6" t="s">
        <v>2392</v>
      </c>
      <c r="F33" s="6"/>
      <c r="G33" s="7"/>
      <c r="H33" s="6" t="s">
        <v>268</v>
      </c>
    </row>
    <row r="34" spans="1:8" ht="19.5" customHeight="1" x14ac:dyDescent="0.15">
      <c r="A34" s="10">
        <v>22</v>
      </c>
      <c r="B34" s="11"/>
      <c r="C34" s="10"/>
      <c r="D34" s="10"/>
      <c r="E34" s="10" t="s">
        <v>2392</v>
      </c>
      <c r="F34" s="10"/>
      <c r="G34" s="11"/>
      <c r="H34" s="10" t="s">
        <v>268</v>
      </c>
    </row>
    <row r="35" spans="1:8" ht="27.75" customHeight="1" x14ac:dyDescent="0.15">
      <c r="A35" s="171" t="s">
        <v>2393</v>
      </c>
      <c r="B35" s="119"/>
      <c r="C35" s="119"/>
      <c r="D35" s="119"/>
      <c r="E35" s="119"/>
      <c r="F35" s="119"/>
      <c r="G35" s="119"/>
      <c r="H35" s="119"/>
    </row>
    <row r="38" spans="1:8" ht="27.75" customHeight="1" x14ac:dyDescent="0.2">
      <c r="A38" s="169" t="s">
        <v>2394</v>
      </c>
      <c r="B38" s="122"/>
      <c r="C38" s="122"/>
      <c r="D38" s="122"/>
      <c r="E38" s="122"/>
      <c r="F38" s="122"/>
      <c r="G38" s="122"/>
      <c r="H38" s="122"/>
    </row>
    <row r="39" spans="1:8" ht="21.75" customHeight="1" x14ac:dyDescent="0.15">
      <c r="A39" s="75" t="s">
        <v>2381</v>
      </c>
      <c r="B39" s="170"/>
      <c r="C39" s="119"/>
      <c r="D39" s="119"/>
      <c r="E39" s="119"/>
      <c r="F39" s="119"/>
      <c r="G39" s="119"/>
      <c r="H39" s="119"/>
    </row>
    <row r="40" spans="1:8" ht="21.75" customHeight="1" x14ac:dyDescent="0.15">
      <c r="A40" s="75" t="s">
        <v>2382</v>
      </c>
      <c r="B40" s="170"/>
      <c r="C40" s="119"/>
      <c r="D40" s="119"/>
      <c r="E40" s="119"/>
      <c r="F40" s="119"/>
      <c r="G40" s="119"/>
      <c r="H40" s="119"/>
    </row>
    <row r="41" spans="1:8" ht="21.75" customHeight="1" x14ac:dyDescent="0.15">
      <c r="A41" s="75" t="s">
        <v>2383</v>
      </c>
      <c r="B41" s="170"/>
      <c r="C41" s="119"/>
      <c r="D41" s="119"/>
      <c r="E41" s="119"/>
      <c r="F41" s="119"/>
      <c r="G41" s="119"/>
      <c r="H41" s="119"/>
    </row>
    <row r="42" spans="1:8" ht="21.75" customHeight="1" x14ac:dyDescent="0.15">
      <c r="A42" s="75" t="s">
        <v>2384</v>
      </c>
      <c r="B42" s="170"/>
      <c r="C42" s="119"/>
      <c r="D42" s="119"/>
      <c r="E42" s="119"/>
      <c r="F42" s="119"/>
      <c r="G42" s="119"/>
      <c r="H42" s="119"/>
    </row>
    <row r="43" spans="1:8" ht="21.75" customHeight="1" x14ac:dyDescent="0.15">
      <c r="A43" s="75" t="s">
        <v>2385</v>
      </c>
      <c r="B43" s="170"/>
      <c r="C43" s="119"/>
      <c r="D43" s="119"/>
      <c r="E43" s="119"/>
      <c r="F43" s="119"/>
      <c r="G43" s="119"/>
      <c r="H43" s="119"/>
    </row>
    <row r="45" spans="1:8" ht="25.5" customHeight="1" x14ac:dyDescent="0.2">
      <c r="A45" s="172" t="s">
        <v>2386</v>
      </c>
      <c r="B45" s="122"/>
      <c r="C45" s="122"/>
      <c r="D45" s="122"/>
      <c r="E45" s="122"/>
      <c r="F45" s="122"/>
      <c r="G45" s="122"/>
      <c r="H45" s="122"/>
    </row>
    <row r="46" spans="1:8" ht="30" customHeight="1" x14ac:dyDescent="0.15">
      <c r="A46" s="76" t="s">
        <v>2387</v>
      </c>
      <c r="B46" s="76" t="s">
        <v>2388</v>
      </c>
      <c r="C46" s="76" t="s">
        <v>2389</v>
      </c>
      <c r="D46" s="76" t="s">
        <v>2390</v>
      </c>
      <c r="E46" s="76" t="s">
        <v>27</v>
      </c>
      <c r="F46" s="76" t="s">
        <v>860</v>
      </c>
      <c r="G46" s="76" t="s">
        <v>263</v>
      </c>
      <c r="H46" s="76" t="s">
        <v>2391</v>
      </c>
    </row>
    <row r="47" spans="1:8" ht="19.5" customHeight="1" x14ac:dyDescent="0.15">
      <c r="A47" s="6">
        <v>1</v>
      </c>
      <c r="B47" s="7"/>
      <c r="C47" s="6"/>
      <c r="D47" s="6"/>
      <c r="E47" s="6" t="s">
        <v>2392</v>
      </c>
      <c r="F47" s="6"/>
      <c r="G47" s="7"/>
      <c r="H47" s="6" t="s">
        <v>268</v>
      </c>
    </row>
    <row r="48" spans="1:8" ht="19.5" customHeight="1" x14ac:dyDescent="0.15">
      <c r="A48" s="10">
        <v>2</v>
      </c>
      <c r="B48" s="11"/>
      <c r="C48" s="10"/>
      <c r="D48" s="10"/>
      <c r="E48" s="10" t="s">
        <v>2392</v>
      </c>
      <c r="F48" s="10"/>
      <c r="G48" s="11"/>
      <c r="H48" s="10" t="s">
        <v>268</v>
      </c>
    </row>
    <row r="49" spans="1:8" ht="19.5" customHeight="1" x14ac:dyDescent="0.15">
      <c r="A49" s="6">
        <v>3</v>
      </c>
      <c r="B49" s="7"/>
      <c r="C49" s="6"/>
      <c r="D49" s="6"/>
      <c r="E49" s="6" t="s">
        <v>2392</v>
      </c>
      <c r="F49" s="6"/>
      <c r="G49" s="7"/>
      <c r="H49" s="6" t="s">
        <v>268</v>
      </c>
    </row>
    <row r="50" spans="1:8" ht="19.5" customHeight="1" x14ac:dyDescent="0.15">
      <c r="A50" s="10">
        <v>4</v>
      </c>
      <c r="B50" s="11"/>
      <c r="C50" s="10"/>
      <c r="D50" s="10"/>
      <c r="E50" s="10" t="s">
        <v>2392</v>
      </c>
      <c r="F50" s="10"/>
      <c r="G50" s="11"/>
      <c r="H50" s="10" t="s">
        <v>268</v>
      </c>
    </row>
    <row r="51" spans="1:8" ht="19.5" customHeight="1" x14ac:dyDescent="0.15">
      <c r="A51" s="6">
        <v>5</v>
      </c>
      <c r="B51" s="7"/>
      <c r="C51" s="6"/>
      <c r="D51" s="6"/>
      <c r="E51" s="6" t="s">
        <v>2392</v>
      </c>
      <c r="F51" s="6"/>
      <c r="G51" s="7"/>
      <c r="H51" s="6" t="s">
        <v>268</v>
      </c>
    </row>
    <row r="52" spans="1:8" ht="19.5" customHeight="1" x14ac:dyDescent="0.15">
      <c r="A52" s="10">
        <v>6</v>
      </c>
      <c r="B52" s="11"/>
      <c r="C52" s="10"/>
      <c r="D52" s="10"/>
      <c r="E52" s="10" t="s">
        <v>2392</v>
      </c>
      <c r="F52" s="10"/>
      <c r="G52" s="11"/>
      <c r="H52" s="10" t="s">
        <v>268</v>
      </c>
    </row>
    <row r="53" spans="1:8" ht="19.5" customHeight="1" x14ac:dyDescent="0.15">
      <c r="A53" s="6">
        <v>7</v>
      </c>
      <c r="B53" s="7"/>
      <c r="C53" s="6"/>
      <c r="D53" s="6"/>
      <c r="E53" s="6" t="s">
        <v>2392</v>
      </c>
      <c r="F53" s="6"/>
      <c r="G53" s="7"/>
      <c r="H53" s="6" t="s">
        <v>268</v>
      </c>
    </row>
    <row r="54" spans="1:8" ht="19.5" customHeight="1" x14ac:dyDescent="0.15">
      <c r="A54" s="10">
        <v>8</v>
      </c>
      <c r="B54" s="11"/>
      <c r="C54" s="10"/>
      <c r="D54" s="10"/>
      <c r="E54" s="10" t="s">
        <v>2392</v>
      </c>
      <c r="F54" s="10"/>
      <c r="G54" s="11"/>
      <c r="H54" s="10" t="s">
        <v>268</v>
      </c>
    </row>
    <row r="55" spans="1:8" ht="19.5" customHeight="1" x14ac:dyDescent="0.15">
      <c r="A55" s="6">
        <v>9</v>
      </c>
      <c r="B55" s="7"/>
      <c r="C55" s="6"/>
      <c r="D55" s="6"/>
      <c r="E55" s="6" t="s">
        <v>2392</v>
      </c>
      <c r="F55" s="6"/>
      <c r="G55" s="7"/>
      <c r="H55" s="6" t="s">
        <v>268</v>
      </c>
    </row>
    <row r="56" spans="1:8" ht="19.5" customHeight="1" x14ac:dyDescent="0.15">
      <c r="A56" s="10">
        <v>10</v>
      </c>
      <c r="B56" s="11"/>
      <c r="C56" s="10"/>
      <c r="D56" s="10"/>
      <c r="E56" s="10" t="s">
        <v>2392</v>
      </c>
      <c r="F56" s="10"/>
      <c r="G56" s="11"/>
      <c r="H56" s="10" t="s">
        <v>268</v>
      </c>
    </row>
    <row r="57" spans="1:8" ht="19.5" customHeight="1" x14ac:dyDescent="0.15">
      <c r="A57" s="6">
        <v>11</v>
      </c>
      <c r="B57" s="7"/>
      <c r="C57" s="6"/>
      <c r="D57" s="6"/>
      <c r="E57" s="6" t="s">
        <v>2392</v>
      </c>
      <c r="F57" s="6"/>
      <c r="G57" s="7"/>
      <c r="H57" s="6" t="s">
        <v>268</v>
      </c>
    </row>
    <row r="58" spans="1:8" ht="19.5" customHeight="1" x14ac:dyDescent="0.15">
      <c r="A58" s="10">
        <v>12</v>
      </c>
      <c r="B58" s="11"/>
      <c r="C58" s="10"/>
      <c r="D58" s="10"/>
      <c r="E58" s="10" t="s">
        <v>2392</v>
      </c>
      <c r="F58" s="10"/>
      <c r="G58" s="11"/>
      <c r="H58" s="10" t="s">
        <v>268</v>
      </c>
    </row>
    <row r="59" spans="1:8" ht="19.5" customHeight="1" x14ac:dyDescent="0.15">
      <c r="A59" s="6">
        <v>13</v>
      </c>
      <c r="B59" s="7"/>
      <c r="C59" s="6"/>
      <c r="D59" s="6"/>
      <c r="E59" s="6" t="s">
        <v>2392</v>
      </c>
      <c r="F59" s="6"/>
      <c r="G59" s="7"/>
      <c r="H59" s="6" t="s">
        <v>268</v>
      </c>
    </row>
    <row r="60" spans="1:8" ht="19.5" customHeight="1" x14ac:dyDescent="0.15">
      <c r="A60" s="10">
        <v>14</v>
      </c>
      <c r="B60" s="11"/>
      <c r="C60" s="10"/>
      <c r="D60" s="10"/>
      <c r="E60" s="10" t="s">
        <v>2392</v>
      </c>
      <c r="F60" s="10"/>
      <c r="G60" s="11"/>
      <c r="H60" s="10" t="s">
        <v>268</v>
      </c>
    </row>
    <row r="61" spans="1:8" ht="19.5" customHeight="1" x14ac:dyDescent="0.15">
      <c r="A61" s="6">
        <v>15</v>
      </c>
      <c r="B61" s="7"/>
      <c r="C61" s="6"/>
      <c r="D61" s="6"/>
      <c r="E61" s="6" t="s">
        <v>2392</v>
      </c>
      <c r="F61" s="6"/>
      <c r="G61" s="7"/>
      <c r="H61" s="6" t="s">
        <v>268</v>
      </c>
    </row>
    <row r="62" spans="1:8" ht="19.5" customHeight="1" x14ac:dyDescent="0.15">
      <c r="A62" s="10">
        <v>16</v>
      </c>
      <c r="B62" s="11"/>
      <c r="C62" s="10"/>
      <c r="D62" s="10"/>
      <c r="E62" s="10" t="s">
        <v>2392</v>
      </c>
      <c r="F62" s="10"/>
      <c r="G62" s="11"/>
      <c r="H62" s="10" t="s">
        <v>268</v>
      </c>
    </row>
    <row r="63" spans="1:8" ht="19.5" customHeight="1" x14ac:dyDescent="0.15">
      <c r="A63" s="6">
        <v>17</v>
      </c>
      <c r="B63" s="7"/>
      <c r="C63" s="6"/>
      <c r="D63" s="6"/>
      <c r="E63" s="6" t="s">
        <v>2392</v>
      </c>
      <c r="F63" s="6"/>
      <c r="G63" s="7"/>
      <c r="H63" s="6" t="s">
        <v>268</v>
      </c>
    </row>
    <row r="64" spans="1:8" ht="19.5" customHeight="1" x14ac:dyDescent="0.15">
      <c r="A64" s="10">
        <v>18</v>
      </c>
      <c r="B64" s="11"/>
      <c r="C64" s="10"/>
      <c r="D64" s="10"/>
      <c r="E64" s="10" t="s">
        <v>2392</v>
      </c>
      <c r="F64" s="10"/>
      <c r="G64" s="11"/>
      <c r="H64" s="10" t="s">
        <v>268</v>
      </c>
    </row>
    <row r="65" spans="1:8" ht="19.5" customHeight="1" x14ac:dyDescent="0.15">
      <c r="A65" s="6">
        <v>19</v>
      </c>
      <c r="B65" s="7"/>
      <c r="C65" s="6"/>
      <c r="D65" s="6"/>
      <c r="E65" s="6" t="s">
        <v>2392</v>
      </c>
      <c r="F65" s="6"/>
      <c r="G65" s="7"/>
      <c r="H65" s="6" t="s">
        <v>268</v>
      </c>
    </row>
    <row r="66" spans="1:8" ht="19.5" customHeight="1" x14ac:dyDescent="0.15">
      <c r="A66" s="10">
        <v>20</v>
      </c>
      <c r="B66" s="11"/>
      <c r="C66" s="10"/>
      <c r="D66" s="10"/>
      <c r="E66" s="10" t="s">
        <v>2392</v>
      </c>
      <c r="F66" s="10"/>
      <c r="G66" s="11"/>
      <c r="H66" s="10" t="s">
        <v>268</v>
      </c>
    </row>
    <row r="67" spans="1:8" ht="19.5" customHeight="1" x14ac:dyDescent="0.15">
      <c r="A67" s="6">
        <v>21</v>
      </c>
      <c r="B67" s="7"/>
      <c r="C67" s="6"/>
      <c r="D67" s="6"/>
      <c r="E67" s="6" t="s">
        <v>2392</v>
      </c>
      <c r="F67" s="6"/>
      <c r="G67" s="7"/>
      <c r="H67" s="6" t="s">
        <v>268</v>
      </c>
    </row>
    <row r="68" spans="1:8" ht="19.5" customHeight="1" x14ac:dyDescent="0.15">
      <c r="A68" s="10">
        <v>22</v>
      </c>
      <c r="B68" s="11"/>
      <c r="C68" s="10"/>
      <c r="D68" s="10"/>
      <c r="E68" s="10" t="s">
        <v>2392</v>
      </c>
      <c r="F68" s="10"/>
      <c r="G68" s="11"/>
      <c r="H68" s="10" t="s">
        <v>268</v>
      </c>
    </row>
    <row r="69" spans="1:8" ht="27.75" customHeight="1" x14ac:dyDescent="0.15">
      <c r="A69" s="171" t="s">
        <v>2393</v>
      </c>
      <c r="B69" s="119"/>
      <c r="C69" s="119"/>
      <c r="D69" s="119"/>
      <c r="E69" s="119"/>
      <c r="F69" s="119"/>
      <c r="G69" s="119"/>
      <c r="H69" s="119"/>
    </row>
  </sheetData>
  <mergeCells count="18">
    <mergeCell ref="A69:H69"/>
    <mergeCell ref="B39:H39"/>
    <mergeCell ref="B6:H6"/>
    <mergeCell ref="A11:H11"/>
    <mergeCell ref="B7:H7"/>
    <mergeCell ref="A45:H45"/>
    <mergeCell ref="B41:H41"/>
    <mergeCell ref="B42:H42"/>
    <mergeCell ref="A38:H38"/>
    <mergeCell ref="A2:H2"/>
    <mergeCell ref="B43:H43"/>
    <mergeCell ref="B5:H5"/>
    <mergeCell ref="A1:H1"/>
    <mergeCell ref="A4:H4"/>
    <mergeCell ref="B8:H8"/>
    <mergeCell ref="B40:H40"/>
    <mergeCell ref="B9:H9"/>
    <mergeCell ref="A35:H35"/>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4A100"/>
  </sheetPr>
  <dimension ref="A1:E54"/>
  <sheetViews>
    <sheetView showGridLines="0" zoomScaleNormal="100" workbookViewId="0"/>
  </sheetViews>
  <sheetFormatPr baseColWidth="10" defaultColWidth="8.6640625" defaultRowHeight="15" customHeight="1" x14ac:dyDescent="0.2"/>
  <cols>
    <col min="1" max="1" width="6" style="1" customWidth="1"/>
    <col min="2" max="2" width="30" style="1" customWidth="1"/>
    <col min="3" max="3" width="54" style="1" customWidth="1"/>
    <col min="4" max="4" width="16" style="1" customWidth="1"/>
  </cols>
  <sheetData>
    <row r="1" spans="1:5" ht="36" customHeight="1" x14ac:dyDescent="0.2">
      <c r="A1" s="121" t="s">
        <v>2395</v>
      </c>
      <c r="B1" s="122"/>
      <c r="C1" s="122"/>
      <c r="D1" s="122"/>
    </row>
    <row r="2" spans="1:5" ht="30" customHeight="1" x14ac:dyDescent="0.2">
      <c r="A2" s="140" t="s">
        <v>2396</v>
      </c>
      <c r="B2" s="122"/>
      <c r="C2" s="122"/>
      <c r="D2" s="122"/>
    </row>
    <row r="4" spans="1:5" ht="25.5" customHeight="1" x14ac:dyDescent="0.2">
      <c r="A4" s="125" t="s">
        <v>2397</v>
      </c>
      <c r="B4" s="122"/>
      <c r="C4" s="122"/>
      <c r="D4" s="122"/>
    </row>
    <row r="5" spans="1:5" ht="25.5" customHeight="1" x14ac:dyDescent="0.15">
      <c r="A5" s="5" t="s">
        <v>224</v>
      </c>
      <c r="B5" s="5" t="s">
        <v>2398</v>
      </c>
      <c r="C5" s="5" t="s">
        <v>2399</v>
      </c>
      <c r="D5" s="5" t="s">
        <v>2400</v>
      </c>
    </row>
    <row r="6" spans="1:5" ht="25.5" customHeight="1" x14ac:dyDescent="0.15">
      <c r="A6" s="32" t="s">
        <v>2401</v>
      </c>
      <c r="B6" s="11" t="s">
        <v>2402</v>
      </c>
      <c r="C6" s="11" t="s">
        <v>2403</v>
      </c>
      <c r="D6" s="11" t="s">
        <v>2404</v>
      </c>
    </row>
    <row r="7" spans="1:5" ht="25.5" customHeight="1" x14ac:dyDescent="0.15">
      <c r="A7" s="77" t="s">
        <v>2405</v>
      </c>
      <c r="B7" s="78" t="s">
        <v>2406</v>
      </c>
      <c r="C7" s="78" t="s">
        <v>2407</v>
      </c>
      <c r="D7" s="78" t="s">
        <v>2408</v>
      </c>
    </row>
    <row r="8" spans="1:5" ht="25.5" customHeight="1" x14ac:dyDescent="0.15">
      <c r="A8" s="32" t="s">
        <v>2409</v>
      </c>
      <c r="B8" s="11" t="s">
        <v>2410</v>
      </c>
      <c r="C8" s="11" t="s">
        <v>2411</v>
      </c>
      <c r="D8" s="11" t="s">
        <v>2412</v>
      </c>
    </row>
    <row r="9" spans="1:5" ht="25.5" customHeight="1" x14ac:dyDescent="0.15">
      <c r="A9" s="79"/>
      <c r="B9" s="79"/>
      <c r="C9" s="79"/>
      <c r="D9" s="79"/>
      <c r="E9" s="80"/>
    </row>
    <row r="12" spans="1:5" ht="25.5" customHeight="1" x14ac:dyDescent="0.15">
      <c r="A12" s="173" t="s">
        <v>2413</v>
      </c>
      <c r="B12" s="119"/>
      <c r="C12" s="119"/>
      <c r="D12" s="119"/>
    </row>
    <row r="13" spans="1:5" ht="21.75" customHeight="1" x14ac:dyDescent="0.15">
      <c r="A13" s="81" t="s">
        <v>1553</v>
      </c>
      <c r="B13" s="175" t="s">
        <v>2414</v>
      </c>
      <c r="C13" s="119"/>
      <c r="D13" s="119"/>
    </row>
    <row r="14" spans="1:5" ht="21.75" customHeight="1" x14ac:dyDescent="0.15">
      <c r="A14" s="81" t="s">
        <v>1187</v>
      </c>
      <c r="B14" s="174" t="s">
        <v>2415</v>
      </c>
      <c r="C14" s="119"/>
      <c r="D14" s="119"/>
    </row>
    <row r="16" spans="1:5" ht="25.5" customHeight="1" x14ac:dyDescent="0.15">
      <c r="A16" s="173" t="s">
        <v>2416</v>
      </c>
      <c r="B16" s="119"/>
      <c r="C16" s="119"/>
      <c r="D16" s="119"/>
    </row>
    <row r="17" spans="1:4" ht="21.75" customHeight="1" x14ac:dyDescent="0.15">
      <c r="A17" s="81" t="s">
        <v>2417</v>
      </c>
      <c r="B17" s="175" t="s">
        <v>2418</v>
      </c>
      <c r="C17" s="119"/>
      <c r="D17" s="119"/>
    </row>
    <row r="18" spans="1:4" ht="21.75" customHeight="1" x14ac:dyDescent="0.15">
      <c r="A18" s="81" t="s">
        <v>1453</v>
      </c>
      <c r="B18" s="174" t="s">
        <v>2419</v>
      </c>
      <c r="C18" s="119"/>
      <c r="D18" s="119"/>
    </row>
    <row r="19" spans="1:4" ht="21.75" customHeight="1" x14ac:dyDescent="0.15">
      <c r="A19" s="81" t="s">
        <v>1623</v>
      </c>
      <c r="B19" s="175" t="s">
        <v>2420</v>
      </c>
      <c r="C19" s="119"/>
      <c r="D19" s="119"/>
    </row>
    <row r="20" spans="1:4" ht="21.75" customHeight="1" x14ac:dyDescent="0.15">
      <c r="A20" s="81" t="s">
        <v>1256</v>
      </c>
      <c r="B20" s="174" t="s">
        <v>2421</v>
      </c>
      <c r="C20" s="119"/>
      <c r="D20" s="119"/>
    </row>
    <row r="21" spans="1:4" ht="21.75" customHeight="1" x14ac:dyDescent="0.15">
      <c r="A21" s="81" t="s">
        <v>1234</v>
      </c>
      <c r="B21" s="175" t="s">
        <v>2422</v>
      </c>
      <c r="C21" s="119"/>
      <c r="D21" s="119"/>
    </row>
    <row r="23" spans="1:4" ht="25.5" customHeight="1" x14ac:dyDescent="0.15">
      <c r="A23" s="173" t="s">
        <v>2423</v>
      </c>
      <c r="B23" s="119"/>
      <c r="C23" s="119"/>
      <c r="D23" s="119"/>
    </row>
    <row r="24" spans="1:4" ht="21.75" customHeight="1" x14ac:dyDescent="0.15">
      <c r="A24" s="81" t="s">
        <v>2424</v>
      </c>
      <c r="B24" s="174" t="s">
        <v>2425</v>
      </c>
      <c r="C24" s="119"/>
      <c r="D24" s="119"/>
    </row>
    <row r="25" spans="1:4" ht="21.75" customHeight="1" x14ac:dyDescent="0.15">
      <c r="A25" s="81" t="s">
        <v>1139</v>
      </c>
      <c r="B25" s="175" t="s">
        <v>2426</v>
      </c>
      <c r="C25" s="119"/>
      <c r="D25" s="119"/>
    </row>
    <row r="26" spans="1:4" ht="21.75" customHeight="1" x14ac:dyDescent="0.15">
      <c r="A26" s="81" t="s">
        <v>2427</v>
      </c>
      <c r="B26" s="174" t="s">
        <v>2428</v>
      </c>
      <c r="C26" s="119"/>
      <c r="D26" s="119"/>
    </row>
    <row r="27" spans="1:4" ht="21.75" customHeight="1" x14ac:dyDescent="0.15">
      <c r="A27" s="81" t="s">
        <v>2429</v>
      </c>
      <c r="B27" s="175" t="s">
        <v>2430</v>
      </c>
      <c r="C27" s="119"/>
      <c r="D27" s="119"/>
    </row>
    <row r="28" spans="1:4" ht="21.75" customHeight="1" x14ac:dyDescent="0.15">
      <c r="A28" s="81" t="s">
        <v>1360</v>
      </c>
      <c r="B28" s="174" t="s">
        <v>2431</v>
      </c>
      <c r="C28" s="119"/>
      <c r="D28" s="119"/>
    </row>
    <row r="29" spans="1:4" ht="21.75" customHeight="1" x14ac:dyDescent="0.15">
      <c r="A29" s="81" t="s">
        <v>2432</v>
      </c>
      <c r="B29" s="175" t="s">
        <v>2433</v>
      </c>
      <c r="C29" s="119"/>
      <c r="D29" s="119"/>
    </row>
    <row r="31" spans="1:4" ht="25.5" customHeight="1" x14ac:dyDescent="0.15">
      <c r="A31" s="173" t="s">
        <v>2434</v>
      </c>
      <c r="B31" s="119"/>
      <c r="C31" s="119"/>
      <c r="D31" s="119"/>
    </row>
    <row r="32" spans="1:4" ht="21.75" customHeight="1" x14ac:dyDescent="0.15">
      <c r="A32" s="81" t="s">
        <v>2435</v>
      </c>
      <c r="B32" s="174" t="s">
        <v>2436</v>
      </c>
      <c r="C32" s="119"/>
      <c r="D32" s="119"/>
    </row>
    <row r="33" spans="1:5" ht="21.75" customHeight="1" x14ac:dyDescent="0.15">
      <c r="A33" s="81" t="s">
        <v>1411</v>
      </c>
      <c r="B33" s="175" t="s">
        <v>2437</v>
      </c>
      <c r="C33" s="119"/>
      <c r="D33" s="119"/>
    </row>
    <row r="34" spans="1:5" ht="21.75" customHeight="1" x14ac:dyDescent="0.15">
      <c r="A34" s="81" t="s">
        <v>2438</v>
      </c>
      <c r="B34" s="174" t="s">
        <v>2439</v>
      </c>
      <c r="C34" s="119"/>
      <c r="D34" s="119"/>
    </row>
    <row r="35" spans="1:5" ht="21.75" customHeight="1" x14ac:dyDescent="0.15">
      <c r="A35" s="81" t="s">
        <v>1954</v>
      </c>
      <c r="B35" s="175" t="s">
        <v>2440</v>
      </c>
      <c r="C35" s="119"/>
      <c r="D35" s="119"/>
    </row>
    <row r="36" spans="1:5" ht="21.75" customHeight="1" x14ac:dyDescent="0.15">
      <c r="A36" s="81" t="s">
        <v>2441</v>
      </c>
      <c r="B36" s="174" t="s">
        <v>2442</v>
      </c>
      <c r="C36" s="119"/>
      <c r="D36" s="119"/>
    </row>
    <row r="38" spans="1:5" ht="25.5" customHeight="1" x14ac:dyDescent="0.15">
      <c r="A38" s="83"/>
      <c r="B38" s="80"/>
      <c r="C38" s="80"/>
      <c r="D38" s="80"/>
      <c r="E38" s="80"/>
    </row>
    <row r="39" spans="1:5" ht="21.75" customHeight="1" x14ac:dyDescent="0.15">
      <c r="A39" s="84"/>
      <c r="B39" s="85"/>
      <c r="C39" s="80"/>
      <c r="D39" s="80"/>
      <c r="E39" s="80"/>
    </row>
    <row r="40" spans="1:5" ht="21.75" customHeight="1" x14ac:dyDescent="0.15">
      <c r="A40" s="84"/>
      <c r="B40" s="85"/>
      <c r="C40" s="80"/>
      <c r="D40" s="80"/>
      <c r="E40" s="80"/>
    </row>
    <row r="41" spans="1:5" ht="21.75" customHeight="1" x14ac:dyDescent="0.15">
      <c r="A41" s="81" t="s">
        <v>1817</v>
      </c>
      <c r="B41" s="175" t="s">
        <v>2443</v>
      </c>
      <c r="C41" s="119"/>
      <c r="D41" s="119"/>
    </row>
    <row r="43" spans="1:5" ht="25.5" customHeight="1" x14ac:dyDescent="0.15">
      <c r="A43" s="173" t="s">
        <v>2444</v>
      </c>
      <c r="B43" s="119"/>
      <c r="C43" s="119"/>
      <c r="D43" s="119"/>
    </row>
    <row r="44" spans="1:5" ht="21.75" customHeight="1" x14ac:dyDescent="0.15">
      <c r="A44" s="81" t="s">
        <v>2445</v>
      </c>
      <c r="B44" s="174" t="s">
        <v>2446</v>
      </c>
      <c r="C44" s="119"/>
      <c r="D44" s="119"/>
    </row>
    <row r="45" spans="1:5" ht="21.75" customHeight="1" x14ac:dyDescent="0.15">
      <c r="A45" s="81" t="s">
        <v>1828</v>
      </c>
      <c r="B45" s="175" t="s">
        <v>2447</v>
      </c>
      <c r="C45" s="119"/>
      <c r="D45" s="119"/>
    </row>
    <row r="46" spans="1:5" ht="21.75" customHeight="1" x14ac:dyDescent="0.15">
      <c r="A46" s="81" t="s">
        <v>2448</v>
      </c>
      <c r="B46" s="174" t="s">
        <v>2449</v>
      </c>
      <c r="C46" s="119"/>
      <c r="D46" s="119"/>
    </row>
    <row r="47" spans="1:5" ht="21.75" customHeight="1" x14ac:dyDescent="0.15">
      <c r="A47" s="81" t="s">
        <v>1173</v>
      </c>
      <c r="B47" s="175" t="s">
        <v>2450</v>
      </c>
      <c r="C47" s="119"/>
      <c r="D47" s="119"/>
    </row>
    <row r="48" spans="1:5" ht="21.75" customHeight="1" x14ac:dyDescent="0.15">
      <c r="A48" s="81" t="s">
        <v>2451</v>
      </c>
      <c r="B48" s="174" t="s">
        <v>2452</v>
      </c>
      <c r="C48" s="119"/>
      <c r="D48" s="119"/>
    </row>
    <row r="50" spans="1:4" ht="25.5" customHeight="1" x14ac:dyDescent="0.15">
      <c r="A50" s="173" t="s">
        <v>2453</v>
      </c>
      <c r="B50" s="119"/>
      <c r="C50" s="119"/>
      <c r="D50" s="119"/>
    </row>
    <row r="51" spans="1:4" ht="21.75" customHeight="1" x14ac:dyDescent="0.15">
      <c r="A51" s="81" t="s">
        <v>2454</v>
      </c>
      <c r="B51" s="175" t="s">
        <v>2455</v>
      </c>
      <c r="C51" s="119"/>
      <c r="D51" s="119"/>
    </row>
    <row r="52" spans="1:4" ht="21.75" customHeight="1" x14ac:dyDescent="0.15">
      <c r="A52" s="81" t="s">
        <v>2456</v>
      </c>
      <c r="B52" s="174" t="s">
        <v>2457</v>
      </c>
      <c r="C52" s="119"/>
      <c r="D52" s="119"/>
    </row>
    <row r="53" spans="1:4" ht="21.75" customHeight="1" x14ac:dyDescent="0.15">
      <c r="A53" s="81" t="s">
        <v>2458</v>
      </c>
      <c r="B53" s="175" t="s">
        <v>2459</v>
      </c>
      <c r="C53" s="119"/>
      <c r="D53" s="119"/>
    </row>
    <row r="54" spans="1:4" ht="21.75" customHeight="1" x14ac:dyDescent="0.15">
      <c r="A54" s="81" t="s">
        <v>2460</v>
      </c>
      <c r="B54" s="174" t="s">
        <v>2461</v>
      </c>
      <c r="C54" s="119"/>
      <c r="D54" s="119"/>
    </row>
  </sheetData>
  <mergeCells count="37">
    <mergeCell ref="B54:D54"/>
    <mergeCell ref="B46:D46"/>
    <mergeCell ref="A12:D12"/>
    <mergeCell ref="A50:D50"/>
    <mergeCell ref="B18:D18"/>
    <mergeCell ref="B27:D27"/>
    <mergeCell ref="B52:D52"/>
    <mergeCell ref="B21:D21"/>
    <mergeCell ref="B48:D48"/>
    <mergeCell ref="A1:D1"/>
    <mergeCell ref="B36:D36"/>
    <mergeCell ref="B45:D45"/>
    <mergeCell ref="B41:D41"/>
    <mergeCell ref="B32:D32"/>
    <mergeCell ref="B35:D35"/>
    <mergeCell ref="B26:D26"/>
    <mergeCell ref="A16:D16"/>
    <mergeCell ref="B25:D25"/>
    <mergeCell ref="A2:D2"/>
    <mergeCell ref="B28:D28"/>
    <mergeCell ref="B19:D19"/>
    <mergeCell ref="A31:D31"/>
    <mergeCell ref="B24:D24"/>
    <mergeCell ref="B51:D51"/>
    <mergeCell ref="B20:D20"/>
    <mergeCell ref="B33:D33"/>
    <mergeCell ref="B47:D47"/>
    <mergeCell ref="A43:D43"/>
    <mergeCell ref="B44:D44"/>
    <mergeCell ref="B53:D53"/>
    <mergeCell ref="B29:D29"/>
    <mergeCell ref="B34:D34"/>
    <mergeCell ref="A23:D23"/>
    <mergeCell ref="B14:D14"/>
    <mergeCell ref="A4:D4"/>
    <mergeCell ref="B17:D17"/>
    <mergeCell ref="B13:D13"/>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9E2DC"/>
  </sheetPr>
  <dimension ref="A1:E32"/>
  <sheetViews>
    <sheetView showGridLines="0" zoomScaleNormal="100" workbookViewId="0"/>
  </sheetViews>
  <sheetFormatPr baseColWidth="10" defaultColWidth="8.6640625" defaultRowHeight="15" customHeight="1" x14ac:dyDescent="0.2"/>
  <cols>
    <col min="1" max="1" width="30" style="1" customWidth="1"/>
    <col min="2" max="5" width="18" style="1" customWidth="1"/>
  </cols>
  <sheetData>
    <row r="1" spans="1:5" ht="36" customHeight="1" x14ac:dyDescent="0.2">
      <c r="A1" s="121" t="s">
        <v>2462</v>
      </c>
      <c r="B1" s="122"/>
      <c r="C1" s="122"/>
      <c r="D1" s="122"/>
      <c r="E1" s="122"/>
    </row>
    <row r="2" spans="1:5" ht="31.5" customHeight="1" x14ac:dyDescent="0.15">
      <c r="A2" s="180" t="s">
        <v>2463</v>
      </c>
      <c r="B2" s="119"/>
      <c r="C2" s="119"/>
      <c r="D2" s="119"/>
      <c r="E2" s="119"/>
    </row>
    <row r="3" spans="1:5" ht="43.5" customHeight="1" x14ac:dyDescent="0.15">
      <c r="A3" s="179" t="s">
        <v>2464</v>
      </c>
      <c r="B3" s="119"/>
      <c r="C3" s="119"/>
      <c r="D3" s="119"/>
      <c r="E3" s="119"/>
    </row>
    <row r="4" spans="1:5" ht="7.5" customHeight="1" x14ac:dyDescent="0.2">
      <c r="A4" s="145" t="s">
        <v>253</v>
      </c>
      <c r="B4" s="122"/>
      <c r="C4" s="122"/>
      <c r="D4" s="122"/>
      <c r="E4" s="122"/>
    </row>
    <row r="5" spans="1:5" ht="31.5" customHeight="1" x14ac:dyDescent="0.15">
      <c r="A5" s="176" t="s">
        <v>2465</v>
      </c>
      <c r="B5" s="119"/>
      <c r="C5" s="119"/>
      <c r="D5" s="119"/>
      <c r="E5" s="119"/>
    </row>
    <row r="6" spans="1:5" ht="36" customHeight="1" x14ac:dyDescent="0.15">
      <c r="A6" s="86" t="s">
        <v>2466</v>
      </c>
      <c r="B6" s="119"/>
      <c r="C6" s="119"/>
      <c r="D6" s="119"/>
      <c r="E6" s="119"/>
    </row>
    <row r="7" spans="1:5" ht="36" customHeight="1" x14ac:dyDescent="0.15">
      <c r="A7" s="87" t="s">
        <v>2467</v>
      </c>
      <c r="B7" s="174" t="s">
        <v>2468</v>
      </c>
      <c r="C7" s="119"/>
      <c r="D7" s="119"/>
      <c r="E7" s="119"/>
    </row>
    <row r="8" spans="1:5" ht="36" customHeight="1" x14ac:dyDescent="0.15">
      <c r="A8" s="87" t="s">
        <v>2469</v>
      </c>
      <c r="B8" s="174" t="s">
        <v>2470</v>
      </c>
      <c r="C8" s="119"/>
      <c r="D8" s="119"/>
      <c r="E8" s="119"/>
    </row>
    <row r="9" spans="1:5" ht="36" customHeight="1" x14ac:dyDescent="0.15">
      <c r="A9" s="87" t="s">
        <v>2471</v>
      </c>
      <c r="B9" s="174" t="s">
        <v>2472</v>
      </c>
      <c r="C9" s="119"/>
      <c r="D9" s="119"/>
      <c r="E9" s="119"/>
    </row>
    <row r="10" spans="1:5" ht="36" customHeight="1" x14ac:dyDescent="0.15">
      <c r="A10" s="87" t="s">
        <v>239</v>
      </c>
      <c r="B10" s="174" t="s">
        <v>2473</v>
      </c>
      <c r="C10" s="119"/>
      <c r="D10" s="119"/>
      <c r="E10" s="119"/>
    </row>
    <row r="11" spans="1:5" ht="36" customHeight="1" x14ac:dyDescent="0.15">
      <c r="A11" s="87" t="s">
        <v>243</v>
      </c>
      <c r="B11" s="82" t="s">
        <v>2474</v>
      </c>
      <c r="C11" s="93"/>
      <c r="D11" s="93"/>
      <c r="E11" s="93"/>
    </row>
    <row r="12" spans="1:5" ht="36" customHeight="1" x14ac:dyDescent="0.15">
      <c r="A12" s="79"/>
      <c r="B12" s="181"/>
      <c r="C12" s="119"/>
      <c r="D12" s="119"/>
      <c r="E12" s="119"/>
    </row>
    <row r="13" spans="1:5" ht="7.5" customHeight="1" x14ac:dyDescent="0.15">
      <c r="A13" s="184" t="s">
        <v>248</v>
      </c>
      <c r="B13" s="119"/>
      <c r="C13" s="119"/>
      <c r="D13" s="119"/>
      <c r="E13" s="152"/>
    </row>
    <row r="14" spans="1:5" ht="31.5" customHeight="1" x14ac:dyDescent="0.15">
      <c r="A14" s="176" t="s">
        <v>2475</v>
      </c>
      <c r="B14" s="119"/>
      <c r="C14" s="119"/>
      <c r="D14" s="119"/>
      <c r="E14" s="119"/>
    </row>
    <row r="15" spans="1:5" ht="36" customHeight="1" x14ac:dyDescent="0.15">
      <c r="A15" s="86" t="s">
        <v>2476</v>
      </c>
      <c r="B15" s="119"/>
      <c r="C15" s="119"/>
      <c r="D15" s="119"/>
      <c r="E15" s="119"/>
    </row>
    <row r="16" spans="1:5" ht="36" customHeight="1" x14ac:dyDescent="0.15">
      <c r="A16" s="87" t="s">
        <v>2477</v>
      </c>
      <c r="B16" s="174" t="s">
        <v>2478</v>
      </c>
      <c r="C16" s="119"/>
      <c r="D16" s="119"/>
      <c r="E16" s="119"/>
    </row>
    <row r="17" spans="1:5" ht="7.5" customHeight="1" x14ac:dyDescent="0.15">
      <c r="A17" s="184" t="s">
        <v>2479</v>
      </c>
      <c r="B17" s="119"/>
      <c r="C17" s="119"/>
      <c r="D17" s="119"/>
      <c r="E17" s="152"/>
    </row>
    <row r="18" spans="1:5" ht="31.5" customHeight="1" x14ac:dyDescent="0.15">
      <c r="A18" s="176"/>
      <c r="B18" s="119"/>
      <c r="C18" s="119"/>
      <c r="D18" s="119"/>
      <c r="E18" s="119"/>
    </row>
    <row r="19" spans="1:5" ht="36" customHeight="1" x14ac:dyDescent="0.15">
      <c r="A19" s="86" t="s">
        <v>2480</v>
      </c>
      <c r="B19" s="119"/>
      <c r="C19" s="119"/>
      <c r="D19" s="119"/>
      <c r="E19" s="119"/>
    </row>
    <row r="20" spans="1:5" ht="36" customHeight="1" x14ac:dyDescent="0.15">
      <c r="A20" s="88" t="s">
        <v>2481</v>
      </c>
      <c r="B20" s="177" t="s">
        <v>2482</v>
      </c>
      <c r="C20" s="119"/>
      <c r="D20" s="119"/>
      <c r="E20" s="119"/>
    </row>
    <row r="21" spans="1:5" ht="36" customHeight="1" x14ac:dyDescent="0.15">
      <c r="A21" s="89" t="s">
        <v>2483</v>
      </c>
      <c r="B21" s="182" t="s">
        <v>2484</v>
      </c>
      <c r="C21" s="119"/>
      <c r="D21" s="119"/>
      <c r="E21" s="119"/>
    </row>
    <row r="22" spans="1:5" ht="36" customHeight="1" x14ac:dyDescent="0.15">
      <c r="A22" s="90" t="s">
        <v>2485</v>
      </c>
      <c r="B22" s="178" t="s">
        <v>2486</v>
      </c>
      <c r="C22" s="119"/>
      <c r="D22" s="119"/>
      <c r="E22" s="119"/>
    </row>
    <row r="23" spans="1:5" ht="7.5" customHeight="1" x14ac:dyDescent="0.15">
      <c r="A23" s="183" t="s">
        <v>2487</v>
      </c>
      <c r="B23" s="119"/>
      <c r="C23" s="119"/>
      <c r="D23" s="119"/>
      <c r="E23" s="152"/>
    </row>
    <row r="24" spans="1:5" ht="31.5" customHeight="1" x14ac:dyDescent="0.15">
      <c r="A24" s="176"/>
      <c r="B24" s="119"/>
      <c r="C24" s="119"/>
      <c r="D24" s="119"/>
      <c r="E24" s="119"/>
    </row>
    <row r="25" spans="1:5" ht="36" customHeight="1" x14ac:dyDescent="0.15">
      <c r="A25" s="86" t="s">
        <v>2488</v>
      </c>
      <c r="B25" s="119"/>
      <c r="C25" s="119"/>
      <c r="D25" s="119"/>
      <c r="E25" s="119"/>
    </row>
    <row r="26" spans="1:5" ht="36" customHeight="1" x14ac:dyDescent="0.15">
      <c r="A26" s="87" t="s">
        <v>2489</v>
      </c>
      <c r="B26" s="174" t="s">
        <v>2490</v>
      </c>
      <c r="C26" s="119"/>
      <c r="D26" s="119"/>
      <c r="E26" s="119"/>
    </row>
    <row r="27" spans="1:5" ht="36" customHeight="1" x14ac:dyDescent="0.15">
      <c r="A27" s="87" t="s">
        <v>2491</v>
      </c>
      <c r="B27" s="174" t="s">
        <v>2492</v>
      </c>
      <c r="C27" s="119"/>
      <c r="D27" s="119"/>
      <c r="E27" s="119"/>
    </row>
    <row r="28" spans="1:5" ht="36" customHeight="1" x14ac:dyDescent="0.15">
      <c r="A28" s="87" t="s">
        <v>2493</v>
      </c>
      <c r="B28" s="174" t="s">
        <v>2494</v>
      </c>
      <c r="C28" s="119"/>
      <c r="D28" s="119"/>
      <c r="E28" s="119"/>
    </row>
    <row r="29" spans="1:5" ht="36" customHeight="1" x14ac:dyDescent="0.15">
      <c r="A29" s="87" t="s">
        <v>2495</v>
      </c>
      <c r="B29" s="174" t="s">
        <v>2496</v>
      </c>
      <c r="C29" s="119"/>
      <c r="D29" s="119"/>
      <c r="E29" s="119"/>
    </row>
    <row r="30" spans="1:5" ht="36" customHeight="1" x14ac:dyDescent="0.15">
      <c r="A30" s="87" t="s">
        <v>2497</v>
      </c>
      <c r="B30" s="174" t="s">
        <v>2498</v>
      </c>
      <c r="C30" s="119"/>
      <c r="D30" s="119"/>
      <c r="E30" s="119"/>
    </row>
    <row r="31" spans="1:5" ht="36" customHeight="1" x14ac:dyDescent="0.15">
      <c r="A31" s="87" t="s">
        <v>2499</v>
      </c>
      <c r="B31" s="174" t="s">
        <v>2500</v>
      </c>
      <c r="C31" s="119"/>
      <c r="D31" s="119"/>
      <c r="E31" s="119"/>
    </row>
    <row r="32" spans="1:5" ht="52" x14ac:dyDescent="0.15">
      <c r="A32" s="87" t="s">
        <v>2501</v>
      </c>
      <c r="B32" s="82" t="s">
        <v>2502</v>
      </c>
      <c r="C32" s="93"/>
      <c r="D32" s="93"/>
      <c r="E32" s="93"/>
    </row>
  </sheetData>
  <mergeCells count="30">
    <mergeCell ref="B31:E31"/>
    <mergeCell ref="B27:E27"/>
    <mergeCell ref="A2:E2"/>
    <mergeCell ref="B12:E12"/>
    <mergeCell ref="B21:E21"/>
    <mergeCell ref="A5:E5"/>
    <mergeCell ref="A23:E23"/>
    <mergeCell ref="A14:E14"/>
    <mergeCell ref="A17:E17"/>
    <mergeCell ref="A4:E4"/>
    <mergeCell ref="B8:E8"/>
    <mergeCell ref="B29:E29"/>
    <mergeCell ref="A13:E13"/>
    <mergeCell ref="B19:E19"/>
    <mergeCell ref="B10:E10"/>
    <mergeCell ref="B28:E28"/>
    <mergeCell ref="A1:E1"/>
    <mergeCell ref="B20:E20"/>
    <mergeCell ref="B26:E26"/>
    <mergeCell ref="B16:E16"/>
    <mergeCell ref="B7:E7"/>
    <mergeCell ref="B25:E25"/>
    <mergeCell ref="A18:E18"/>
    <mergeCell ref="B22:E22"/>
    <mergeCell ref="A3:E3"/>
    <mergeCell ref="B9:E9"/>
    <mergeCell ref="A24:E24"/>
    <mergeCell ref="B6:E6"/>
    <mergeCell ref="B30:E30"/>
    <mergeCell ref="B15:E15"/>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5"/>
  <sheetViews>
    <sheetView zoomScaleNormal="100" workbookViewId="0"/>
  </sheetViews>
  <sheetFormatPr baseColWidth="10" defaultColWidth="8.6640625" defaultRowHeight="15" customHeight="1" x14ac:dyDescent="0.2"/>
  <cols>
    <col min="1" max="1" width="22" style="1" customWidth="1"/>
    <col min="2" max="2" width="110" style="1" customWidth="1"/>
  </cols>
  <sheetData>
    <row r="1" spans="1:4" ht="15" customHeight="1" x14ac:dyDescent="0.2">
      <c r="A1" s="91" t="s">
        <v>2503</v>
      </c>
      <c r="B1" s="91" t="s">
        <v>2504</v>
      </c>
      <c r="C1" s="1"/>
      <c r="D1" s="1"/>
    </row>
    <row r="2" spans="1:4" ht="28.25" customHeight="1" x14ac:dyDescent="0.2">
      <c r="A2" s="1" t="s">
        <v>2505</v>
      </c>
      <c r="B2" s="92" t="s">
        <v>2506</v>
      </c>
      <c r="C2" s="1"/>
      <c r="D2" s="1"/>
    </row>
    <row r="3" spans="1:4" ht="15" customHeight="1" x14ac:dyDescent="0.2">
      <c r="A3" s="1" t="s">
        <v>2507</v>
      </c>
      <c r="B3" s="92" t="s">
        <v>2508</v>
      </c>
      <c r="C3" s="1"/>
      <c r="D3" s="1"/>
    </row>
    <row r="4" spans="1:4" ht="15" customHeight="1" x14ac:dyDescent="0.2">
      <c r="A4" s="1" t="s">
        <v>2509</v>
      </c>
      <c r="B4" s="92" t="s">
        <v>2510</v>
      </c>
      <c r="C4" s="1"/>
      <c r="D4" s="1"/>
    </row>
    <row r="5" spans="1:4" ht="28.25" customHeight="1" x14ac:dyDescent="0.2">
      <c r="A5" s="1" t="s">
        <v>2511</v>
      </c>
      <c r="B5" s="92" t="s">
        <v>2512</v>
      </c>
      <c r="C5" s="1" t="s">
        <v>2513</v>
      </c>
      <c r="D5" s="1" t="s">
        <v>2514</v>
      </c>
    </row>
    <row r="6" spans="1:4" ht="15" customHeight="1" x14ac:dyDescent="0.2">
      <c r="A6" s="1" t="s">
        <v>2515</v>
      </c>
      <c r="B6" s="92" t="s">
        <v>2516</v>
      </c>
      <c r="C6" s="1" t="s">
        <v>2517</v>
      </c>
      <c r="D6" s="1" t="s">
        <v>2518</v>
      </c>
    </row>
    <row r="7" spans="1:4" ht="15" customHeight="1" x14ac:dyDescent="0.2">
      <c r="A7" s="1" t="s">
        <v>2519</v>
      </c>
      <c r="B7" s="92" t="s">
        <v>2520</v>
      </c>
      <c r="C7" s="1" t="s">
        <v>2521</v>
      </c>
      <c r="D7" s="1" t="s">
        <v>2522</v>
      </c>
    </row>
    <row r="8" spans="1:4" ht="15" customHeight="1" x14ac:dyDescent="0.2">
      <c r="A8" s="1" t="s">
        <v>2523</v>
      </c>
      <c r="B8" s="92" t="s">
        <v>2524</v>
      </c>
      <c r="C8" s="1" t="s">
        <v>2525</v>
      </c>
      <c r="D8" s="1" t="s">
        <v>2526</v>
      </c>
    </row>
    <row r="9" spans="1:4" ht="15" customHeight="1" x14ac:dyDescent="0.2">
      <c r="A9" s="1" t="s">
        <v>2527</v>
      </c>
      <c r="B9" s="1" t="s">
        <v>2528</v>
      </c>
      <c r="C9" s="1" t="s">
        <v>2529</v>
      </c>
      <c r="D9" s="1" t="s">
        <v>2530</v>
      </c>
    </row>
    <row r="10" spans="1:4" ht="15" customHeight="1" x14ac:dyDescent="0.2">
      <c r="A10" s="1" t="s">
        <v>2531</v>
      </c>
      <c r="B10" s="1" t="s">
        <v>2532</v>
      </c>
      <c r="C10" s="1" t="s">
        <v>2533</v>
      </c>
      <c r="D10" s="1" t="s">
        <v>2534</v>
      </c>
    </row>
    <row r="11" spans="1:4" ht="15" customHeight="1" x14ac:dyDescent="0.2">
      <c r="A11" s="1" t="s">
        <v>2535</v>
      </c>
      <c r="B11" s="1" t="s">
        <v>2536</v>
      </c>
      <c r="C11" s="1" t="s">
        <v>2537</v>
      </c>
      <c r="D11" s="1" t="s">
        <v>2538</v>
      </c>
    </row>
    <row r="12" spans="1:4" ht="15" customHeight="1" x14ac:dyDescent="0.2">
      <c r="C12" s="1"/>
      <c r="D12" s="1"/>
    </row>
    <row r="13" spans="1:4" ht="15" customHeight="1" x14ac:dyDescent="0.2">
      <c r="A13" s="1" t="s">
        <v>2539</v>
      </c>
      <c r="B13" s="1" t="s">
        <v>2540</v>
      </c>
      <c r="C13" s="1" t="s">
        <v>2541</v>
      </c>
      <c r="D13" s="1" t="s">
        <v>2542</v>
      </c>
    </row>
    <row r="14" spans="1:4" ht="15" customHeight="1" x14ac:dyDescent="0.2">
      <c r="A14" s="1" t="s">
        <v>2543</v>
      </c>
      <c r="B14" s="1" t="s">
        <v>2544</v>
      </c>
      <c r="C14" s="1" t="s">
        <v>2545</v>
      </c>
      <c r="D14" s="1" t="s">
        <v>2546</v>
      </c>
    </row>
    <row r="15" spans="1:4" ht="15" customHeight="1" x14ac:dyDescent="0.2">
      <c r="A15" s="1" t="s">
        <v>2547</v>
      </c>
      <c r="B15" s="1" t="s">
        <v>2548</v>
      </c>
      <c r="C15" s="1" t="s">
        <v>2549</v>
      </c>
      <c r="D15" s="1" t="s">
        <v>2550</v>
      </c>
    </row>
    <row r="16" spans="1:4" ht="15" customHeight="1" x14ac:dyDescent="0.2">
      <c r="A16" s="1" t="s">
        <v>2551</v>
      </c>
      <c r="B16" s="1" t="s">
        <v>2552</v>
      </c>
      <c r="C16" s="1" t="s">
        <v>2553</v>
      </c>
      <c r="D16" s="1" t="s">
        <v>2554</v>
      </c>
    </row>
    <row r="17" spans="1:4" ht="15" customHeight="1" x14ac:dyDescent="0.2">
      <c r="A17" s="1" t="s">
        <v>2555</v>
      </c>
      <c r="B17" s="1" t="s">
        <v>2556</v>
      </c>
      <c r="C17" s="1" t="s">
        <v>2557</v>
      </c>
      <c r="D17" s="1" t="s">
        <v>2558</v>
      </c>
    </row>
    <row r="18" spans="1:4" ht="15" customHeight="1" x14ac:dyDescent="0.2">
      <c r="C18" s="1"/>
      <c r="D18" s="1"/>
    </row>
    <row r="19" spans="1:4" ht="15" customHeight="1" x14ac:dyDescent="0.2">
      <c r="A19" s="1" t="s">
        <v>2559</v>
      </c>
      <c r="C19" s="1"/>
      <c r="D19" s="1"/>
    </row>
    <row r="20" spans="1:4" ht="15" customHeight="1" x14ac:dyDescent="0.2">
      <c r="A20" s="1" t="s">
        <v>2560</v>
      </c>
      <c r="B20" s="1">
        <f>Dashboard!A6</f>
        <v>73</v>
      </c>
      <c r="C20" s="1"/>
      <c r="D20" s="1"/>
    </row>
    <row r="21" spans="1:4" ht="15" customHeight="1" x14ac:dyDescent="0.2">
      <c r="A21" s="1" t="s">
        <v>2561</v>
      </c>
      <c r="B21" s="1">
        <f>Dashboard!D6</f>
        <v>0</v>
      </c>
      <c r="C21" s="1"/>
      <c r="D21" s="1"/>
    </row>
    <row r="22" spans="1:4" ht="15" customHeight="1" x14ac:dyDescent="0.2">
      <c r="A22" s="1" t="s">
        <v>2562</v>
      </c>
      <c r="B22" s="1">
        <f>Dashboard!H6</f>
        <v>0</v>
      </c>
      <c r="C22" s="1"/>
      <c r="D22" s="1"/>
    </row>
    <row r="23" spans="1:4" ht="15" customHeight="1" x14ac:dyDescent="0.2">
      <c r="A23" s="1" t="s">
        <v>2563</v>
      </c>
      <c r="B23" s="1">
        <f>Dashboard!L6</f>
        <v>73</v>
      </c>
      <c r="C23" s="1"/>
      <c r="D23" s="1"/>
    </row>
    <row r="24" spans="1:4" ht="13" x14ac:dyDescent="0.15">
      <c r="A24" t="s">
        <v>2564</v>
      </c>
      <c r="B24" t="s">
        <v>2565</v>
      </c>
      <c r="C24" t="s">
        <v>2566</v>
      </c>
      <c r="D24" t="s">
        <v>2567</v>
      </c>
    </row>
    <row r="25" spans="1:4" ht="13" x14ac:dyDescent="0.15">
      <c r="A25" t="s">
        <v>2568</v>
      </c>
      <c r="B25" t="s">
        <v>2569</v>
      </c>
      <c r="C25" t="s">
        <v>2570</v>
      </c>
      <c r="D25" t="s">
        <v>2567</v>
      </c>
    </row>
    <row r="26" spans="1:4" ht="13" x14ac:dyDescent="0.15">
      <c r="A26" t="s">
        <v>2571</v>
      </c>
      <c r="B26" t="s">
        <v>2572</v>
      </c>
      <c r="C26" t="s">
        <v>2573</v>
      </c>
      <c r="D26" t="s">
        <v>2567</v>
      </c>
    </row>
    <row r="27" spans="1:4" ht="13" x14ac:dyDescent="0.15">
      <c r="A27" t="s">
        <v>2574</v>
      </c>
      <c r="B27" t="s">
        <v>2575</v>
      </c>
      <c r="C27" t="s">
        <v>2576</v>
      </c>
      <c r="D27" t="s">
        <v>2567</v>
      </c>
    </row>
    <row r="28" spans="1:4" ht="13" x14ac:dyDescent="0.15">
      <c r="A28" t="s">
        <v>2577</v>
      </c>
      <c r="B28" t="s">
        <v>2578</v>
      </c>
      <c r="C28" t="s">
        <v>2579</v>
      </c>
      <c r="D28" t="s">
        <v>2567</v>
      </c>
    </row>
    <row r="29" spans="1:4" ht="13" x14ac:dyDescent="0.15">
      <c r="A29" t="s">
        <v>2580</v>
      </c>
      <c r="B29" t="s">
        <v>2581</v>
      </c>
      <c r="C29" t="s">
        <v>2582</v>
      </c>
      <c r="D29" t="s">
        <v>2567</v>
      </c>
    </row>
    <row r="30" spans="1:4" ht="13" x14ac:dyDescent="0.15">
      <c r="A30" t="s">
        <v>2583</v>
      </c>
      <c r="B30" t="s">
        <v>2584</v>
      </c>
      <c r="C30" t="s">
        <v>2585</v>
      </c>
      <c r="D30" t="s">
        <v>2567</v>
      </c>
    </row>
    <row r="31" spans="1:4" ht="13" x14ac:dyDescent="0.15">
      <c r="A31" t="s">
        <v>2586</v>
      </c>
      <c r="B31" t="s">
        <v>2587</v>
      </c>
      <c r="C31" t="s">
        <v>2588</v>
      </c>
      <c r="D31" t="s">
        <v>2567</v>
      </c>
    </row>
    <row r="32" spans="1:4" ht="13" x14ac:dyDescent="0.15">
      <c r="A32" t="s">
        <v>2589</v>
      </c>
      <c r="B32" t="s">
        <v>2590</v>
      </c>
      <c r="C32" t="s">
        <v>2591</v>
      </c>
      <c r="D32" t="s">
        <v>2567</v>
      </c>
    </row>
    <row r="33" spans="1:4" ht="13" x14ac:dyDescent="0.15">
      <c r="A33" t="s">
        <v>2592</v>
      </c>
      <c r="B33" t="s">
        <v>2593</v>
      </c>
      <c r="C33" t="s">
        <v>2594</v>
      </c>
      <c r="D33" t="s">
        <v>2567</v>
      </c>
    </row>
    <row r="34" spans="1:4" ht="13" x14ac:dyDescent="0.15">
      <c r="A34" t="s">
        <v>2595</v>
      </c>
      <c r="B34" t="s">
        <v>2596</v>
      </c>
      <c r="C34" t="s">
        <v>2597</v>
      </c>
      <c r="D34" t="s">
        <v>2567</v>
      </c>
    </row>
    <row r="35" spans="1:4" ht="13" x14ac:dyDescent="0.15">
      <c r="A35" t="s">
        <v>2598</v>
      </c>
      <c r="B35" t="s">
        <v>2599</v>
      </c>
      <c r="C35" t="s">
        <v>2600</v>
      </c>
      <c r="D35" t="s">
        <v>2567</v>
      </c>
    </row>
    <row r="36" spans="1:4" ht="13" x14ac:dyDescent="0.15">
      <c r="A36" t="s">
        <v>2601</v>
      </c>
      <c r="B36" t="s">
        <v>2602</v>
      </c>
      <c r="C36" t="s">
        <v>2603</v>
      </c>
      <c r="D36" t="s">
        <v>2604</v>
      </c>
    </row>
    <row r="37" spans="1:4" ht="13" x14ac:dyDescent="0.15">
      <c r="A37" t="s">
        <v>2598</v>
      </c>
      <c r="B37" t="s">
        <v>2605</v>
      </c>
      <c r="C37" t="s">
        <v>2606</v>
      </c>
      <c r="D37" t="s">
        <v>2567</v>
      </c>
    </row>
    <row r="38" spans="1:4" ht="13" x14ac:dyDescent="0.15">
      <c r="A38" t="s">
        <v>2607</v>
      </c>
      <c r="B38" t="s">
        <v>2608</v>
      </c>
      <c r="C38" t="s">
        <v>2603</v>
      </c>
      <c r="D38" t="s">
        <v>2604</v>
      </c>
    </row>
    <row r="39" spans="1:4" ht="13" x14ac:dyDescent="0.15">
      <c r="A39" t="s">
        <v>2609</v>
      </c>
      <c r="B39" t="s">
        <v>2610</v>
      </c>
      <c r="C39" t="s">
        <v>2611</v>
      </c>
      <c r="D39" t="s">
        <v>2567</v>
      </c>
    </row>
    <row r="40" spans="1:4" ht="13" x14ac:dyDescent="0.15">
      <c r="A40" t="s">
        <v>2612</v>
      </c>
      <c r="B40" t="s">
        <v>2613</v>
      </c>
      <c r="C40" t="s">
        <v>2614</v>
      </c>
      <c r="D40" t="s">
        <v>2567</v>
      </c>
    </row>
    <row r="41" spans="1:4" ht="13" x14ac:dyDescent="0.15">
      <c r="A41" t="s">
        <v>2615</v>
      </c>
      <c r="B41" t="s">
        <v>2616</v>
      </c>
      <c r="C41" t="s">
        <v>2617</v>
      </c>
      <c r="D41" t="s">
        <v>2618</v>
      </c>
    </row>
    <row r="42" spans="1:4" ht="13" x14ac:dyDescent="0.15">
      <c r="A42" t="s">
        <v>2619</v>
      </c>
      <c r="B42" t="s">
        <v>2620</v>
      </c>
      <c r="C42" t="s">
        <v>2621</v>
      </c>
      <c r="D42" t="s">
        <v>2567</v>
      </c>
    </row>
    <row r="43" spans="1:4" ht="13" x14ac:dyDescent="0.15">
      <c r="A43" t="s">
        <v>2622</v>
      </c>
      <c r="B43" t="s">
        <v>2623</v>
      </c>
      <c r="C43" t="s">
        <v>2624</v>
      </c>
      <c r="D43" t="s">
        <v>2567</v>
      </c>
    </row>
    <row r="44" spans="1:4" ht="13" x14ac:dyDescent="0.15">
      <c r="A44" t="s">
        <v>2625</v>
      </c>
      <c r="B44" t="s">
        <v>2626</v>
      </c>
      <c r="C44" t="s">
        <v>2627</v>
      </c>
      <c r="D44" t="s">
        <v>2567</v>
      </c>
    </row>
    <row r="45" spans="1:4" ht="13" x14ac:dyDescent="0.15">
      <c r="A45" t="s">
        <v>2628</v>
      </c>
      <c r="B45" t="s">
        <v>2629</v>
      </c>
      <c r="C45" t="s">
        <v>2630</v>
      </c>
      <c r="D45" t="s">
        <v>2567</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3"/>
  <sheetViews>
    <sheetView workbookViewId="0"/>
  </sheetViews>
  <sheetFormatPr baseColWidth="10" defaultColWidth="8.83203125" defaultRowHeight="13" x14ac:dyDescent="0.15"/>
  <cols>
    <col min="1" max="1" width="120" customWidth="1"/>
  </cols>
  <sheetData>
    <row r="1" spans="1:2" ht="17" x14ac:dyDescent="0.2">
      <c r="A1" s="186" t="s">
        <v>2631</v>
      </c>
      <c r="B1" s="146"/>
    </row>
    <row r="2" spans="1:2" x14ac:dyDescent="0.15">
      <c r="A2" s="185" t="s">
        <v>2632</v>
      </c>
      <c r="B2" s="146"/>
    </row>
    <row r="3" spans="1:2" ht="409.6" customHeight="1" x14ac:dyDescent="0.15">
      <c r="A3" s="103" t="s">
        <v>2633</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Field Teams</vt:lpstr>
      <vt:lpstr>Settings</vt:lpstr>
      <vt:lpstr>Monthly Matrix</vt:lpstr>
      <vt:lpstr>Data - Skillko</vt:lpstr>
      <vt:lpstr>Data - HSQE Events</vt:lpstr>
      <vt:lpstr>Data - Post-Cut Quality</vt:lpstr>
      <vt:lpstr>Data - SSV</vt:lpstr>
      <vt:lpstr>Pole Results</vt:lpstr>
      <vt:lpstr>Historical Scores</vt:lpstr>
      <vt:lpstr>Action Log</vt:lpstr>
      <vt:lpstr>Audit Schedule</vt:lpstr>
      <vt:lpstr>FT Reps Meetings</vt:lpstr>
      <vt:lpstr>Monthly Import Guide</vt:lpstr>
      <vt:lpstr>Scoring Guide</vt:lpstr>
      <vt:lpstr>Debug Review</vt:lpstr>
      <vt:lpstr>PQ_Code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Angus</cp:lastModifiedBy>
  <cp:revision>0</cp:revision>
  <dcterms:created xsi:type="dcterms:W3CDTF">2026-04-29T09:50:32Z</dcterms:created>
  <dcterms:modified xsi:type="dcterms:W3CDTF">2026-05-01T14:17:02Z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b0f841-d90f-4ed9-b11e-502f26da33c0_Enabled">
    <vt:lpwstr>true</vt:lpwstr>
  </property>
  <property fmtid="{D5CDD505-2E9C-101B-9397-08002B2CF9AE}" pid="3" name="MSIP_Label_0ab0f841-d90f-4ed9-b11e-502f26da33c0_SetDate">
    <vt:lpwstr>2026-05-01T14:17:01Z</vt:lpwstr>
  </property>
  <property fmtid="{D5CDD505-2E9C-101B-9397-08002B2CF9AE}" pid="4" name="MSIP_Label_0ab0f841-d90f-4ed9-b11e-502f26da33c0_Method">
    <vt:lpwstr>Standard</vt:lpwstr>
  </property>
  <property fmtid="{D5CDD505-2E9C-101B-9397-08002B2CF9AE}" pid="5" name="MSIP_Label_0ab0f841-d90f-4ed9-b11e-502f26da33c0_Name">
    <vt:lpwstr>Internal</vt:lpwstr>
  </property>
  <property fmtid="{D5CDD505-2E9C-101B-9397-08002B2CF9AE}" pid="6" name="MSIP_Label_0ab0f841-d90f-4ed9-b11e-502f26da33c0_SiteId">
    <vt:lpwstr>3ef9f654-aa07-41b8-88ad-a411c62bd12c</vt:lpwstr>
  </property>
  <property fmtid="{D5CDD505-2E9C-101B-9397-08002B2CF9AE}" pid="7" name="MSIP_Label_0ab0f841-d90f-4ed9-b11e-502f26da33c0_ActionId">
    <vt:lpwstr>9087ff3c-a7c5-4cc0-8aa4-1c8cb34bf298</vt:lpwstr>
  </property>
  <property fmtid="{D5CDD505-2E9C-101B-9397-08002B2CF9AE}" pid="8" name="MSIP_Label_0ab0f841-d90f-4ed9-b11e-502f26da33c0_ContentBits">
    <vt:lpwstr>0</vt:lpwstr>
  </property>
</Properties>
</file>